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hush\Downloads\"/>
    </mc:Choice>
  </mc:AlternateContent>
  <xr:revisionPtr revIDLastSave="0" documentId="13_ncr:1_{C98FDDE6-CB4C-4A19-8195-1DE0C862D832}" xr6:coauthVersionLast="47" xr6:coauthVersionMax="47" xr10:uidLastSave="{00000000-0000-0000-0000-000000000000}"/>
  <bookViews>
    <workbookView xWindow="-108" yWindow="-108" windowWidth="23256" windowHeight="12456" firstSheet="1" activeTab="5" xr2:uid="{00000000-000D-0000-FFFF-FFFF00000000}"/>
  </bookViews>
  <sheets>
    <sheet name="CustomerMaster" sheetId="2" r:id="rId1"/>
    <sheet name="ProductMaster" sheetId="3" r:id="rId2"/>
    <sheet name="RegionMaster" sheetId="4" r:id="rId3"/>
    <sheet name="FlipkartSales" sheetId="1" r:id="rId4"/>
    <sheet name="pivot" sheetId="5" r:id="rId5"/>
    <sheet name="Dashboard" sheetId="7" r:id="rId6"/>
  </sheets>
  <definedNames>
    <definedName name="_xlnm._FilterDatabase" localSheetId="3" hidden="1">FlipkartSales!$A$1:$T$1001</definedName>
    <definedName name="Slicer_Category">#N/A</definedName>
    <definedName name="Slicer_PaymentMethod">#N/A</definedName>
    <definedName name="Slicer_Region">#N/A</definedName>
  </definedNames>
  <calcPr calcId="191029"/>
  <pivotCaches>
    <pivotCache cacheId="6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M11" i="5"/>
  <c r="M10" i="5"/>
  <c r="M9" i="5"/>
  <c r="M8" i="5"/>
  <c r="M7" i="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2" i="1"/>
  <c r="Q2" i="1" s="1"/>
  <c r="O3" i="1"/>
  <c r="Q3" i="1" s="1"/>
  <c r="O4" i="1"/>
  <c r="Q4" i="1" s="1"/>
  <c r="O5" i="1"/>
  <c r="Q5" i="1" s="1"/>
  <c r="O6" i="1"/>
  <c r="Q6" i="1" s="1"/>
  <c r="O7" i="1"/>
  <c r="Q7" i="1" s="1"/>
  <c r="O8" i="1"/>
  <c r="Q8" i="1" s="1"/>
  <c r="O9" i="1"/>
  <c r="Q9" i="1" s="1"/>
  <c r="O10" i="1"/>
  <c r="Q10" i="1" s="1"/>
  <c r="O11" i="1"/>
  <c r="Q11" i="1" s="1"/>
  <c r="O12" i="1"/>
  <c r="Q12" i="1" s="1"/>
  <c r="O13" i="1"/>
  <c r="Q13" i="1" s="1"/>
  <c r="O14" i="1"/>
  <c r="Q14" i="1" s="1"/>
  <c r="O15" i="1"/>
  <c r="Q15" i="1" s="1"/>
  <c r="O16" i="1"/>
  <c r="Q16" i="1" s="1"/>
  <c r="O17" i="1"/>
  <c r="Q17" i="1" s="1"/>
  <c r="O18" i="1"/>
  <c r="Q18" i="1" s="1"/>
  <c r="O19" i="1"/>
  <c r="Q19" i="1" s="1"/>
  <c r="O20" i="1"/>
  <c r="Q20" i="1" s="1"/>
  <c r="O21" i="1"/>
  <c r="Q21" i="1" s="1"/>
  <c r="O22" i="1"/>
  <c r="Q22" i="1" s="1"/>
  <c r="O23" i="1"/>
  <c r="Q23" i="1" s="1"/>
  <c r="O24" i="1"/>
  <c r="Q24" i="1" s="1"/>
  <c r="O25" i="1"/>
  <c r="Q25" i="1" s="1"/>
  <c r="O26" i="1"/>
  <c r="Q26" i="1" s="1"/>
  <c r="O27" i="1"/>
  <c r="Q27" i="1" s="1"/>
  <c r="O28" i="1"/>
  <c r="Q28" i="1" s="1"/>
  <c r="O29" i="1"/>
  <c r="Q29" i="1" s="1"/>
  <c r="O30" i="1"/>
  <c r="Q30" i="1" s="1"/>
  <c r="O31" i="1"/>
  <c r="Q31" i="1" s="1"/>
  <c r="O32" i="1"/>
  <c r="Q32" i="1" s="1"/>
  <c r="O33" i="1"/>
  <c r="Q33" i="1" s="1"/>
  <c r="O34" i="1"/>
  <c r="Q34" i="1" s="1"/>
  <c r="O35" i="1"/>
  <c r="Q35" i="1" s="1"/>
  <c r="O36" i="1"/>
  <c r="Q36" i="1" s="1"/>
  <c r="O37" i="1"/>
  <c r="Q37" i="1" s="1"/>
  <c r="O38" i="1"/>
  <c r="Q38" i="1" s="1"/>
  <c r="O39" i="1"/>
  <c r="Q39" i="1" s="1"/>
  <c r="O40" i="1"/>
  <c r="Q40" i="1" s="1"/>
  <c r="O41" i="1"/>
  <c r="Q41" i="1" s="1"/>
  <c r="O42" i="1"/>
  <c r="Q42" i="1" s="1"/>
  <c r="O43" i="1"/>
  <c r="Q43" i="1" s="1"/>
  <c r="O44" i="1"/>
  <c r="Q44" i="1" s="1"/>
  <c r="O45" i="1"/>
  <c r="Q45" i="1" s="1"/>
  <c r="O46" i="1"/>
  <c r="Q46" i="1" s="1"/>
  <c r="O47" i="1"/>
  <c r="Q47" i="1" s="1"/>
  <c r="O48" i="1"/>
  <c r="Q48" i="1" s="1"/>
  <c r="O49" i="1"/>
  <c r="Q49" i="1" s="1"/>
  <c r="O50" i="1"/>
  <c r="Q50" i="1" s="1"/>
  <c r="O51" i="1"/>
  <c r="Q51" i="1" s="1"/>
  <c r="O52" i="1"/>
  <c r="Q52" i="1" s="1"/>
  <c r="O53" i="1"/>
  <c r="Q53" i="1" s="1"/>
  <c r="O54" i="1"/>
  <c r="Q54" i="1" s="1"/>
  <c r="O55" i="1"/>
  <c r="Q55" i="1" s="1"/>
  <c r="O56" i="1"/>
  <c r="Q56" i="1" s="1"/>
  <c r="O57" i="1"/>
  <c r="Q57" i="1" s="1"/>
  <c r="O58" i="1"/>
  <c r="Q58" i="1" s="1"/>
  <c r="O59" i="1"/>
  <c r="Q59" i="1" s="1"/>
  <c r="O60" i="1"/>
  <c r="Q60" i="1" s="1"/>
  <c r="O61" i="1"/>
  <c r="Q61" i="1" s="1"/>
  <c r="O62" i="1"/>
  <c r="Q62" i="1" s="1"/>
  <c r="O63" i="1"/>
  <c r="Q63" i="1" s="1"/>
  <c r="O64" i="1"/>
  <c r="Q64" i="1" s="1"/>
  <c r="O65" i="1"/>
  <c r="Q65" i="1" s="1"/>
  <c r="O66" i="1"/>
  <c r="Q66" i="1" s="1"/>
  <c r="O67" i="1"/>
  <c r="Q67" i="1" s="1"/>
  <c r="O68" i="1"/>
  <c r="Q68" i="1" s="1"/>
  <c r="O69" i="1"/>
  <c r="Q69" i="1" s="1"/>
  <c r="O70" i="1"/>
  <c r="Q70" i="1" s="1"/>
  <c r="O71" i="1"/>
  <c r="Q71" i="1" s="1"/>
  <c r="O72" i="1"/>
  <c r="Q72" i="1" s="1"/>
  <c r="O73" i="1"/>
  <c r="Q73" i="1" s="1"/>
  <c r="O74" i="1"/>
  <c r="Q74" i="1" s="1"/>
  <c r="O75" i="1"/>
  <c r="Q75" i="1" s="1"/>
  <c r="O76" i="1"/>
  <c r="Q76" i="1" s="1"/>
  <c r="O77" i="1"/>
  <c r="Q77" i="1" s="1"/>
  <c r="O78" i="1"/>
  <c r="Q78" i="1" s="1"/>
  <c r="O79" i="1"/>
  <c r="Q79" i="1" s="1"/>
  <c r="O80" i="1"/>
  <c r="Q80" i="1" s="1"/>
  <c r="O81" i="1"/>
  <c r="Q81" i="1" s="1"/>
  <c r="O82" i="1"/>
  <c r="Q82" i="1" s="1"/>
  <c r="O83" i="1"/>
  <c r="Q83" i="1" s="1"/>
  <c r="O84" i="1"/>
  <c r="Q84" i="1" s="1"/>
  <c r="O85" i="1"/>
  <c r="Q85" i="1" s="1"/>
  <c r="O86" i="1"/>
  <c r="Q86" i="1" s="1"/>
  <c r="O87" i="1"/>
  <c r="Q87" i="1" s="1"/>
  <c r="O88" i="1"/>
  <c r="Q88" i="1" s="1"/>
  <c r="O89" i="1"/>
  <c r="Q89" i="1" s="1"/>
  <c r="O90" i="1"/>
  <c r="Q90" i="1" s="1"/>
  <c r="O91" i="1"/>
  <c r="Q91" i="1" s="1"/>
  <c r="O92" i="1"/>
  <c r="Q92" i="1" s="1"/>
  <c r="O93" i="1"/>
  <c r="Q93" i="1" s="1"/>
  <c r="O94" i="1"/>
  <c r="Q94" i="1" s="1"/>
  <c r="O95" i="1"/>
  <c r="Q95" i="1" s="1"/>
  <c r="O96" i="1"/>
  <c r="Q96" i="1" s="1"/>
  <c r="O97" i="1"/>
  <c r="Q97" i="1" s="1"/>
  <c r="O98" i="1"/>
  <c r="Q98" i="1" s="1"/>
  <c r="O99" i="1"/>
  <c r="Q99" i="1" s="1"/>
  <c r="O100" i="1"/>
  <c r="Q100" i="1" s="1"/>
  <c r="O101" i="1"/>
  <c r="Q101" i="1" s="1"/>
  <c r="O102" i="1"/>
  <c r="Q102" i="1" s="1"/>
  <c r="O103" i="1"/>
  <c r="Q103" i="1" s="1"/>
  <c r="O104" i="1"/>
  <c r="Q104" i="1" s="1"/>
  <c r="O105" i="1"/>
  <c r="Q105" i="1" s="1"/>
  <c r="O106" i="1"/>
  <c r="Q106" i="1" s="1"/>
  <c r="O107" i="1"/>
  <c r="Q107" i="1" s="1"/>
  <c r="O108" i="1"/>
  <c r="Q108" i="1" s="1"/>
  <c r="O109" i="1"/>
  <c r="Q109" i="1" s="1"/>
  <c r="O110" i="1"/>
  <c r="Q110" i="1" s="1"/>
  <c r="O111" i="1"/>
  <c r="Q111" i="1" s="1"/>
  <c r="O112" i="1"/>
  <c r="Q112" i="1" s="1"/>
  <c r="O113" i="1"/>
  <c r="Q113" i="1" s="1"/>
  <c r="O114" i="1"/>
  <c r="Q114" i="1" s="1"/>
  <c r="O115" i="1"/>
  <c r="Q115" i="1" s="1"/>
  <c r="O116" i="1"/>
  <c r="Q116" i="1" s="1"/>
  <c r="O117" i="1"/>
  <c r="Q117" i="1" s="1"/>
  <c r="O118" i="1"/>
  <c r="Q118" i="1" s="1"/>
  <c r="O119" i="1"/>
  <c r="Q119" i="1" s="1"/>
  <c r="O120" i="1"/>
  <c r="Q120" i="1" s="1"/>
  <c r="O121" i="1"/>
  <c r="Q121" i="1" s="1"/>
  <c r="O122" i="1"/>
  <c r="Q122" i="1" s="1"/>
  <c r="O123" i="1"/>
  <c r="Q123" i="1" s="1"/>
  <c r="O124" i="1"/>
  <c r="Q124" i="1" s="1"/>
  <c r="O125" i="1"/>
  <c r="Q125" i="1" s="1"/>
  <c r="O126" i="1"/>
  <c r="Q126" i="1" s="1"/>
  <c r="O127" i="1"/>
  <c r="Q127" i="1" s="1"/>
  <c r="O128" i="1"/>
  <c r="Q128" i="1" s="1"/>
  <c r="O129" i="1"/>
  <c r="Q129" i="1" s="1"/>
  <c r="O130" i="1"/>
  <c r="Q130" i="1" s="1"/>
  <c r="O131" i="1"/>
  <c r="Q131" i="1" s="1"/>
  <c r="O132" i="1"/>
  <c r="Q132" i="1" s="1"/>
  <c r="O133" i="1"/>
  <c r="Q133" i="1" s="1"/>
  <c r="O134" i="1"/>
  <c r="Q134" i="1" s="1"/>
  <c r="O135" i="1"/>
  <c r="Q135" i="1" s="1"/>
  <c r="O136" i="1"/>
  <c r="Q136" i="1" s="1"/>
  <c r="O137" i="1"/>
  <c r="Q137" i="1" s="1"/>
  <c r="O138" i="1"/>
  <c r="Q138" i="1" s="1"/>
  <c r="O139" i="1"/>
  <c r="Q139" i="1" s="1"/>
  <c r="O140" i="1"/>
  <c r="Q140" i="1" s="1"/>
  <c r="O141" i="1"/>
  <c r="Q141" i="1" s="1"/>
  <c r="O142" i="1"/>
  <c r="Q142" i="1" s="1"/>
  <c r="O143" i="1"/>
  <c r="Q143" i="1" s="1"/>
  <c r="O144" i="1"/>
  <c r="Q144" i="1" s="1"/>
  <c r="O145" i="1"/>
  <c r="Q145" i="1" s="1"/>
  <c r="O146" i="1"/>
  <c r="Q146" i="1" s="1"/>
  <c r="O147" i="1"/>
  <c r="Q147" i="1" s="1"/>
  <c r="O148" i="1"/>
  <c r="Q148" i="1" s="1"/>
  <c r="O149" i="1"/>
  <c r="Q149" i="1" s="1"/>
  <c r="O150" i="1"/>
  <c r="Q150" i="1" s="1"/>
  <c r="O151" i="1"/>
  <c r="Q151" i="1" s="1"/>
  <c r="O152" i="1"/>
  <c r="Q152" i="1" s="1"/>
  <c r="O153" i="1"/>
  <c r="Q153" i="1" s="1"/>
  <c r="O154" i="1"/>
  <c r="Q154" i="1" s="1"/>
  <c r="O155" i="1"/>
  <c r="Q155" i="1" s="1"/>
  <c r="O156" i="1"/>
  <c r="Q156" i="1" s="1"/>
  <c r="O157" i="1"/>
  <c r="Q157" i="1" s="1"/>
  <c r="O158" i="1"/>
  <c r="Q158" i="1" s="1"/>
  <c r="O159" i="1"/>
  <c r="Q159" i="1" s="1"/>
  <c r="O160" i="1"/>
  <c r="Q160" i="1" s="1"/>
  <c r="O161" i="1"/>
  <c r="Q161" i="1" s="1"/>
  <c r="O162" i="1"/>
  <c r="Q162" i="1" s="1"/>
  <c r="O163" i="1"/>
  <c r="Q163" i="1" s="1"/>
  <c r="O164" i="1"/>
  <c r="Q164" i="1" s="1"/>
  <c r="O165" i="1"/>
  <c r="Q165" i="1" s="1"/>
  <c r="O166" i="1"/>
  <c r="Q166" i="1" s="1"/>
  <c r="O167" i="1"/>
  <c r="Q167" i="1" s="1"/>
  <c r="O168" i="1"/>
  <c r="Q168" i="1" s="1"/>
  <c r="O169" i="1"/>
  <c r="Q169" i="1" s="1"/>
  <c r="O170" i="1"/>
  <c r="Q170" i="1" s="1"/>
  <c r="O171" i="1"/>
  <c r="Q171" i="1" s="1"/>
  <c r="O172" i="1"/>
  <c r="Q172" i="1" s="1"/>
  <c r="O173" i="1"/>
  <c r="Q173" i="1" s="1"/>
  <c r="O174" i="1"/>
  <c r="Q174" i="1" s="1"/>
  <c r="O175" i="1"/>
  <c r="Q175" i="1" s="1"/>
  <c r="O176" i="1"/>
  <c r="Q176" i="1" s="1"/>
  <c r="O177" i="1"/>
  <c r="Q177" i="1" s="1"/>
  <c r="O178" i="1"/>
  <c r="Q178" i="1" s="1"/>
  <c r="O179" i="1"/>
  <c r="Q179" i="1" s="1"/>
  <c r="O180" i="1"/>
  <c r="Q180" i="1" s="1"/>
  <c r="O181" i="1"/>
  <c r="Q181" i="1" s="1"/>
  <c r="O182" i="1"/>
  <c r="Q182" i="1" s="1"/>
  <c r="O183" i="1"/>
  <c r="Q183" i="1" s="1"/>
  <c r="O184" i="1"/>
  <c r="Q184" i="1" s="1"/>
  <c r="O185" i="1"/>
  <c r="Q185" i="1" s="1"/>
  <c r="O186" i="1"/>
  <c r="Q186" i="1" s="1"/>
  <c r="O187" i="1"/>
  <c r="Q187" i="1" s="1"/>
  <c r="O188" i="1"/>
  <c r="Q188" i="1" s="1"/>
  <c r="O189" i="1"/>
  <c r="Q189" i="1" s="1"/>
  <c r="O190" i="1"/>
  <c r="Q190" i="1" s="1"/>
  <c r="O191" i="1"/>
  <c r="Q191" i="1" s="1"/>
  <c r="O192" i="1"/>
  <c r="Q192" i="1" s="1"/>
  <c r="O193" i="1"/>
  <c r="Q193" i="1" s="1"/>
  <c r="O194" i="1"/>
  <c r="Q194" i="1" s="1"/>
  <c r="O195" i="1"/>
  <c r="Q195" i="1" s="1"/>
  <c r="O196" i="1"/>
  <c r="Q196" i="1" s="1"/>
  <c r="O197" i="1"/>
  <c r="Q197" i="1" s="1"/>
  <c r="O198" i="1"/>
  <c r="Q198" i="1" s="1"/>
  <c r="O199" i="1"/>
  <c r="Q199" i="1" s="1"/>
  <c r="O200" i="1"/>
  <c r="Q200" i="1" s="1"/>
  <c r="O201" i="1"/>
  <c r="Q201" i="1" s="1"/>
  <c r="O202" i="1"/>
  <c r="Q202" i="1" s="1"/>
  <c r="O203" i="1"/>
  <c r="Q203" i="1" s="1"/>
  <c r="O204" i="1"/>
  <c r="Q204" i="1" s="1"/>
  <c r="O205" i="1"/>
  <c r="Q205" i="1" s="1"/>
  <c r="O206" i="1"/>
  <c r="Q206" i="1" s="1"/>
  <c r="O207" i="1"/>
  <c r="Q207" i="1" s="1"/>
  <c r="O208" i="1"/>
  <c r="Q208" i="1" s="1"/>
  <c r="O209" i="1"/>
  <c r="Q209" i="1" s="1"/>
  <c r="O210" i="1"/>
  <c r="Q210" i="1" s="1"/>
  <c r="O211" i="1"/>
  <c r="Q211" i="1" s="1"/>
  <c r="O212" i="1"/>
  <c r="Q212" i="1" s="1"/>
  <c r="O213" i="1"/>
  <c r="Q213" i="1" s="1"/>
  <c r="O214" i="1"/>
  <c r="Q214" i="1" s="1"/>
  <c r="O215" i="1"/>
  <c r="Q215" i="1" s="1"/>
  <c r="O216" i="1"/>
  <c r="Q216" i="1" s="1"/>
  <c r="O217" i="1"/>
  <c r="Q217" i="1" s="1"/>
  <c r="O218" i="1"/>
  <c r="Q218" i="1" s="1"/>
  <c r="O219" i="1"/>
  <c r="Q219" i="1" s="1"/>
  <c r="O220" i="1"/>
  <c r="Q220" i="1" s="1"/>
  <c r="O221" i="1"/>
  <c r="Q221" i="1" s="1"/>
  <c r="O222" i="1"/>
  <c r="Q222" i="1" s="1"/>
  <c r="O223" i="1"/>
  <c r="Q223" i="1" s="1"/>
  <c r="O224" i="1"/>
  <c r="Q224" i="1" s="1"/>
  <c r="O225" i="1"/>
  <c r="Q225" i="1" s="1"/>
  <c r="O226" i="1"/>
  <c r="Q226" i="1" s="1"/>
  <c r="O227" i="1"/>
  <c r="Q227" i="1" s="1"/>
  <c r="O228" i="1"/>
  <c r="Q228" i="1" s="1"/>
  <c r="O229" i="1"/>
  <c r="Q229" i="1" s="1"/>
  <c r="O230" i="1"/>
  <c r="Q230" i="1" s="1"/>
  <c r="O231" i="1"/>
  <c r="Q231" i="1" s="1"/>
  <c r="O232" i="1"/>
  <c r="Q232" i="1" s="1"/>
  <c r="O233" i="1"/>
  <c r="Q233" i="1" s="1"/>
  <c r="O234" i="1"/>
  <c r="Q234" i="1" s="1"/>
  <c r="O235" i="1"/>
  <c r="Q235" i="1" s="1"/>
  <c r="O236" i="1"/>
  <c r="Q236" i="1" s="1"/>
  <c r="O237" i="1"/>
  <c r="Q237" i="1" s="1"/>
  <c r="O238" i="1"/>
  <c r="Q238" i="1" s="1"/>
  <c r="O239" i="1"/>
  <c r="Q239" i="1" s="1"/>
  <c r="O240" i="1"/>
  <c r="Q240" i="1" s="1"/>
  <c r="O241" i="1"/>
  <c r="Q241" i="1" s="1"/>
  <c r="O242" i="1"/>
  <c r="Q242" i="1" s="1"/>
  <c r="O243" i="1"/>
  <c r="Q243" i="1" s="1"/>
  <c r="O244" i="1"/>
  <c r="Q244" i="1" s="1"/>
  <c r="O245" i="1"/>
  <c r="Q245" i="1" s="1"/>
  <c r="O246" i="1"/>
  <c r="Q246" i="1" s="1"/>
  <c r="O247" i="1"/>
  <c r="Q247" i="1" s="1"/>
  <c r="O248" i="1"/>
  <c r="Q248" i="1" s="1"/>
  <c r="O249" i="1"/>
  <c r="Q249" i="1" s="1"/>
  <c r="O250" i="1"/>
  <c r="Q250" i="1" s="1"/>
  <c r="O251" i="1"/>
  <c r="Q251" i="1" s="1"/>
  <c r="O252" i="1"/>
  <c r="Q252" i="1" s="1"/>
  <c r="O253" i="1"/>
  <c r="Q253" i="1" s="1"/>
  <c r="O254" i="1"/>
  <c r="Q254" i="1" s="1"/>
  <c r="O255" i="1"/>
  <c r="Q255" i="1" s="1"/>
  <c r="O256" i="1"/>
  <c r="Q256" i="1" s="1"/>
  <c r="O257" i="1"/>
  <c r="Q257" i="1" s="1"/>
  <c r="O258" i="1"/>
  <c r="Q258" i="1" s="1"/>
  <c r="O259" i="1"/>
  <c r="Q259" i="1" s="1"/>
  <c r="O260" i="1"/>
  <c r="Q260" i="1" s="1"/>
  <c r="O261" i="1"/>
  <c r="Q261" i="1" s="1"/>
  <c r="O262" i="1"/>
  <c r="Q262" i="1" s="1"/>
  <c r="O263" i="1"/>
  <c r="Q263" i="1" s="1"/>
  <c r="O264" i="1"/>
  <c r="Q264" i="1" s="1"/>
  <c r="O265" i="1"/>
  <c r="Q265" i="1" s="1"/>
  <c r="O266" i="1"/>
  <c r="Q266" i="1" s="1"/>
  <c r="O267" i="1"/>
  <c r="Q267" i="1" s="1"/>
  <c r="O268" i="1"/>
  <c r="Q268" i="1" s="1"/>
  <c r="O269" i="1"/>
  <c r="Q269" i="1" s="1"/>
  <c r="O270" i="1"/>
  <c r="Q270" i="1" s="1"/>
  <c r="O271" i="1"/>
  <c r="Q271" i="1" s="1"/>
  <c r="O272" i="1"/>
  <c r="Q272" i="1" s="1"/>
  <c r="O273" i="1"/>
  <c r="Q273" i="1" s="1"/>
  <c r="O274" i="1"/>
  <c r="Q274" i="1" s="1"/>
  <c r="O275" i="1"/>
  <c r="Q275" i="1" s="1"/>
  <c r="O276" i="1"/>
  <c r="Q276" i="1" s="1"/>
  <c r="O277" i="1"/>
  <c r="Q277" i="1" s="1"/>
  <c r="O278" i="1"/>
  <c r="Q278" i="1" s="1"/>
  <c r="O279" i="1"/>
  <c r="Q279" i="1" s="1"/>
  <c r="O280" i="1"/>
  <c r="Q280" i="1" s="1"/>
  <c r="O281" i="1"/>
  <c r="Q281" i="1" s="1"/>
  <c r="O282" i="1"/>
  <c r="Q282" i="1" s="1"/>
  <c r="O283" i="1"/>
  <c r="Q283" i="1" s="1"/>
  <c r="O284" i="1"/>
  <c r="Q284" i="1" s="1"/>
  <c r="O285" i="1"/>
  <c r="Q285" i="1" s="1"/>
  <c r="O286" i="1"/>
  <c r="Q286" i="1" s="1"/>
  <c r="O287" i="1"/>
  <c r="Q287" i="1" s="1"/>
  <c r="O288" i="1"/>
  <c r="Q288" i="1" s="1"/>
  <c r="O289" i="1"/>
  <c r="Q289" i="1" s="1"/>
  <c r="O290" i="1"/>
  <c r="Q290" i="1" s="1"/>
  <c r="O291" i="1"/>
  <c r="Q291" i="1" s="1"/>
  <c r="O292" i="1"/>
  <c r="Q292" i="1" s="1"/>
  <c r="O293" i="1"/>
  <c r="Q293" i="1" s="1"/>
  <c r="O294" i="1"/>
  <c r="Q294" i="1" s="1"/>
  <c r="O295" i="1"/>
  <c r="Q295" i="1" s="1"/>
  <c r="O296" i="1"/>
  <c r="Q296" i="1" s="1"/>
  <c r="O297" i="1"/>
  <c r="Q297" i="1" s="1"/>
  <c r="O298" i="1"/>
  <c r="Q298" i="1" s="1"/>
  <c r="O299" i="1"/>
  <c r="Q299" i="1" s="1"/>
  <c r="O300" i="1"/>
  <c r="Q300" i="1" s="1"/>
  <c r="O301" i="1"/>
  <c r="Q301" i="1" s="1"/>
  <c r="O302" i="1"/>
  <c r="Q302" i="1" s="1"/>
  <c r="O303" i="1"/>
  <c r="Q303" i="1" s="1"/>
  <c r="O304" i="1"/>
  <c r="Q304" i="1" s="1"/>
  <c r="O305" i="1"/>
  <c r="Q305" i="1" s="1"/>
  <c r="O306" i="1"/>
  <c r="Q306" i="1" s="1"/>
  <c r="O307" i="1"/>
  <c r="Q307" i="1" s="1"/>
  <c r="O308" i="1"/>
  <c r="Q308" i="1" s="1"/>
  <c r="O309" i="1"/>
  <c r="Q309" i="1" s="1"/>
  <c r="O310" i="1"/>
  <c r="Q310" i="1" s="1"/>
  <c r="O311" i="1"/>
  <c r="Q311" i="1" s="1"/>
  <c r="O312" i="1"/>
  <c r="Q312" i="1" s="1"/>
  <c r="O313" i="1"/>
  <c r="Q313" i="1" s="1"/>
  <c r="O314" i="1"/>
  <c r="Q314" i="1" s="1"/>
  <c r="O315" i="1"/>
  <c r="Q315" i="1" s="1"/>
  <c r="O316" i="1"/>
  <c r="Q316" i="1" s="1"/>
  <c r="O317" i="1"/>
  <c r="Q317" i="1" s="1"/>
  <c r="O318" i="1"/>
  <c r="Q318" i="1" s="1"/>
  <c r="O319" i="1"/>
  <c r="Q319" i="1" s="1"/>
  <c r="O320" i="1"/>
  <c r="Q320" i="1" s="1"/>
  <c r="O321" i="1"/>
  <c r="Q321" i="1" s="1"/>
  <c r="O322" i="1"/>
  <c r="Q322" i="1" s="1"/>
  <c r="O323" i="1"/>
  <c r="Q323" i="1" s="1"/>
  <c r="O324" i="1"/>
  <c r="Q324" i="1" s="1"/>
  <c r="O325" i="1"/>
  <c r="Q325" i="1" s="1"/>
  <c r="O326" i="1"/>
  <c r="Q326" i="1" s="1"/>
  <c r="O327" i="1"/>
  <c r="Q327" i="1" s="1"/>
  <c r="O328" i="1"/>
  <c r="Q328" i="1" s="1"/>
  <c r="O329" i="1"/>
  <c r="Q329" i="1" s="1"/>
  <c r="O330" i="1"/>
  <c r="Q330" i="1" s="1"/>
  <c r="O331" i="1"/>
  <c r="Q331" i="1" s="1"/>
  <c r="O332" i="1"/>
  <c r="Q332" i="1" s="1"/>
  <c r="O333" i="1"/>
  <c r="Q333" i="1" s="1"/>
  <c r="O334" i="1"/>
  <c r="Q334" i="1" s="1"/>
  <c r="O335" i="1"/>
  <c r="Q335" i="1" s="1"/>
  <c r="O336" i="1"/>
  <c r="Q336" i="1" s="1"/>
  <c r="O337" i="1"/>
  <c r="Q337" i="1" s="1"/>
  <c r="O338" i="1"/>
  <c r="Q338" i="1" s="1"/>
  <c r="O339" i="1"/>
  <c r="Q339" i="1" s="1"/>
  <c r="O340" i="1"/>
  <c r="Q340" i="1" s="1"/>
  <c r="O341" i="1"/>
  <c r="Q341" i="1" s="1"/>
  <c r="O342" i="1"/>
  <c r="Q342" i="1" s="1"/>
  <c r="O343" i="1"/>
  <c r="Q343" i="1" s="1"/>
  <c r="O344" i="1"/>
  <c r="Q344" i="1" s="1"/>
  <c r="O345" i="1"/>
  <c r="Q345" i="1" s="1"/>
  <c r="O346" i="1"/>
  <c r="Q346" i="1" s="1"/>
  <c r="O347" i="1"/>
  <c r="Q347" i="1" s="1"/>
  <c r="O348" i="1"/>
  <c r="Q348" i="1" s="1"/>
  <c r="O349" i="1"/>
  <c r="Q349" i="1" s="1"/>
  <c r="O350" i="1"/>
  <c r="Q350" i="1" s="1"/>
  <c r="O351" i="1"/>
  <c r="Q351" i="1" s="1"/>
  <c r="O352" i="1"/>
  <c r="Q352" i="1" s="1"/>
  <c r="O353" i="1"/>
  <c r="Q353" i="1" s="1"/>
  <c r="O354" i="1"/>
  <c r="Q354" i="1" s="1"/>
  <c r="O355" i="1"/>
  <c r="Q355" i="1" s="1"/>
  <c r="O356" i="1"/>
  <c r="Q356" i="1" s="1"/>
  <c r="O357" i="1"/>
  <c r="Q357" i="1" s="1"/>
  <c r="O358" i="1"/>
  <c r="Q358" i="1" s="1"/>
  <c r="O359" i="1"/>
  <c r="Q359" i="1" s="1"/>
  <c r="O360" i="1"/>
  <c r="Q360" i="1" s="1"/>
  <c r="O361" i="1"/>
  <c r="Q361" i="1" s="1"/>
  <c r="O362" i="1"/>
  <c r="Q362" i="1" s="1"/>
  <c r="O363" i="1"/>
  <c r="Q363" i="1" s="1"/>
  <c r="O364" i="1"/>
  <c r="Q364" i="1" s="1"/>
  <c r="O365" i="1"/>
  <c r="Q365" i="1" s="1"/>
  <c r="O366" i="1"/>
  <c r="Q366" i="1" s="1"/>
  <c r="O367" i="1"/>
  <c r="Q367" i="1" s="1"/>
  <c r="O368" i="1"/>
  <c r="Q368" i="1" s="1"/>
  <c r="O369" i="1"/>
  <c r="Q369" i="1" s="1"/>
  <c r="O370" i="1"/>
  <c r="Q370" i="1" s="1"/>
  <c r="O371" i="1"/>
  <c r="Q371" i="1" s="1"/>
  <c r="O372" i="1"/>
  <c r="Q372" i="1" s="1"/>
  <c r="O373" i="1"/>
  <c r="Q373" i="1" s="1"/>
  <c r="O374" i="1"/>
  <c r="Q374" i="1" s="1"/>
  <c r="O375" i="1"/>
  <c r="Q375" i="1" s="1"/>
  <c r="O376" i="1"/>
  <c r="Q376" i="1" s="1"/>
  <c r="O377" i="1"/>
  <c r="Q377" i="1" s="1"/>
  <c r="O378" i="1"/>
  <c r="Q378" i="1" s="1"/>
  <c r="O379" i="1"/>
  <c r="Q379" i="1" s="1"/>
  <c r="O380" i="1"/>
  <c r="Q380" i="1" s="1"/>
  <c r="O381" i="1"/>
  <c r="Q381" i="1" s="1"/>
  <c r="O382" i="1"/>
  <c r="Q382" i="1" s="1"/>
  <c r="O383" i="1"/>
  <c r="Q383" i="1" s="1"/>
  <c r="O384" i="1"/>
  <c r="Q384" i="1" s="1"/>
  <c r="O385" i="1"/>
  <c r="Q385" i="1" s="1"/>
  <c r="O386" i="1"/>
  <c r="Q386" i="1" s="1"/>
  <c r="O387" i="1"/>
  <c r="Q387" i="1" s="1"/>
  <c r="O388" i="1"/>
  <c r="Q388" i="1" s="1"/>
  <c r="O389" i="1"/>
  <c r="Q389" i="1" s="1"/>
  <c r="O390" i="1"/>
  <c r="Q390" i="1" s="1"/>
  <c r="O391" i="1"/>
  <c r="Q391" i="1" s="1"/>
  <c r="O392" i="1"/>
  <c r="Q392" i="1" s="1"/>
  <c r="O393" i="1"/>
  <c r="Q393" i="1" s="1"/>
  <c r="O394" i="1"/>
  <c r="Q394" i="1" s="1"/>
  <c r="O395" i="1"/>
  <c r="Q395" i="1" s="1"/>
  <c r="O396" i="1"/>
  <c r="Q396" i="1" s="1"/>
  <c r="O397" i="1"/>
  <c r="Q397" i="1" s="1"/>
  <c r="O398" i="1"/>
  <c r="Q398" i="1" s="1"/>
  <c r="O399" i="1"/>
  <c r="Q399" i="1" s="1"/>
  <c r="O400" i="1"/>
  <c r="Q400" i="1" s="1"/>
  <c r="O401" i="1"/>
  <c r="Q401" i="1" s="1"/>
  <c r="O402" i="1"/>
  <c r="Q402" i="1" s="1"/>
  <c r="O403" i="1"/>
  <c r="Q403" i="1" s="1"/>
  <c r="O404" i="1"/>
  <c r="Q404" i="1" s="1"/>
  <c r="O405" i="1"/>
  <c r="Q405" i="1" s="1"/>
  <c r="O406" i="1"/>
  <c r="Q406" i="1" s="1"/>
  <c r="O407" i="1"/>
  <c r="Q407" i="1" s="1"/>
  <c r="O408" i="1"/>
  <c r="Q408" i="1" s="1"/>
  <c r="O409" i="1"/>
  <c r="Q409" i="1" s="1"/>
  <c r="O410" i="1"/>
  <c r="Q410" i="1" s="1"/>
  <c r="O411" i="1"/>
  <c r="Q411" i="1" s="1"/>
  <c r="O412" i="1"/>
  <c r="Q412" i="1" s="1"/>
  <c r="O413" i="1"/>
  <c r="Q413" i="1" s="1"/>
  <c r="O414" i="1"/>
  <c r="Q414" i="1" s="1"/>
  <c r="O415" i="1"/>
  <c r="Q415" i="1" s="1"/>
  <c r="O416" i="1"/>
  <c r="Q416" i="1" s="1"/>
  <c r="O417" i="1"/>
  <c r="Q417" i="1" s="1"/>
  <c r="O418" i="1"/>
  <c r="Q418" i="1" s="1"/>
  <c r="O419" i="1"/>
  <c r="Q419" i="1" s="1"/>
  <c r="O420" i="1"/>
  <c r="Q420" i="1" s="1"/>
  <c r="O421" i="1"/>
  <c r="Q421" i="1" s="1"/>
  <c r="O422" i="1"/>
  <c r="Q422" i="1" s="1"/>
  <c r="O423" i="1"/>
  <c r="Q423" i="1" s="1"/>
  <c r="O424" i="1"/>
  <c r="Q424" i="1" s="1"/>
  <c r="O425" i="1"/>
  <c r="Q425" i="1" s="1"/>
  <c r="O426" i="1"/>
  <c r="Q426" i="1" s="1"/>
  <c r="O427" i="1"/>
  <c r="Q427" i="1" s="1"/>
  <c r="O428" i="1"/>
  <c r="Q428" i="1" s="1"/>
  <c r="O429" i="1"/>
  <c r="Q429" i="1" s="1"/>
  <c r="O430" i="1"/>
  <c r="Q430" i="1" s="1"/>
  <c r="O431" i="1"/>
  <c r="Q431" i="1" s="1"/>
  <c r="O432" i="1"/>
  <c r="Q432" i="1" s="1"/>
  <c r="O433" i="1"/>
  <c r="Q433" i="1" s="1"/>
  <c r="O434" i="1"/>
  <c r="Q434" i="1" s="1"/>
  <c r="O435" i="1"/>
  <c r="Q435" i="1" s="1"/>
  <c r="O436" i="1"/>
  <c r="Q436" i="1" s="1"/>
  <c r="O437" i="1"/>
  <c r="Q437" i="1" s="1"/>
  <c r="O438" i="1"/>
  <c r="Q438" i="1" s="1"/>
  <c r="O439" i="1"/>
  <c r="Q439" i="1" s="1"/>
  <c r="O440" i="1"/>
  <c r="Q440" i="1" s="1"/>
  <c r="O441" i="1"/>
  <c r="Q441" i="1" s="1"/>
  <c r="O442" i="1"/>
  <c r="Q442" i="1" s="1"/>
  <c r="O443" i="1"/>
  <c r="Q443" i="1" s="1"/>
  <c r="O444" i="1"/>
  <c r="Q444" i="1" s="1"/>
  <c r="O445" i="1"/>
  <c r="Q445" i="1" s="1"/>
  <c r="O446" i="1"/>
  <c r="Q446" i="1" s="1"/>
  <c r="O447" i="1"/>
  <c r="Q447" i="1" s="1"/>
  <c r="O448" i="1"/>
  <c r="Q448" i="1" s="1"/>
  <c r="O449" i="1"/>
  <c r="Q449" i="1" s="1"/>
  <c r="O450" i="1"/>
  <c r="Q450" i="1" s="1"/>
  <c r="O451" i="1"/>
  <c r="Q451" i="1" s="1"/>
  <c r="O452" i="1"/>
  <c r="Q452" i="1" s="1"/>
  <c r="O453" i="1"/>
  <c r="Q453" i="1" s="1"/>
  <c r="O454" i="1"/>
  <c r="Q454" i="1" s="1"/>
  <c r="O455" i="1"/>
  <c r="Q455" i="1" s="1"/>
  <c r="O456" i="1"/>
  <c r="Q456" i="1" s="1"/>
  <c r="O457" i="1"/>
  <c r="Q457" i="1" s="1"/>
  <c r="O458" i="1"/>
  <c r="Q458" i="1" s="1"/>
  <c r="O459" i="1"/>
  <c r="Q459" i="1" s="1"/>
  <c r="O460" i="1"/>
  <c r="Q460" i="1" s="1"/>
  <c r="O461" i="1"/>
  <c r="Q461" i="1" s="1"/>
  <c r="O462" i="1"/>
  <c r="Q462" i="1" s="1"/>
  <c r="O463" i="1"/>
  <c r="Q463" i="1" s="1"/>
  <c r="O464" i="1"/>
  <c r="Q464" i="1" s="1"/>
  <c r="O465" i="1"/>
  <c r="Q465" i="1" s="1"/>
  <c r="O466" i="1"/>
  <c r="Q466" i="1" s="1"/>
  <c r="O467" i="1"/>
  <c r="Q467" i="1" s="1"/>
  <c r="O468" i="1"/>
  <c r="Q468" i="1" s="1"/>
  <c r="O469" i="1"/>
  <c r="Q469" i="1" s="1"/>
  <c r="O470" i="1"/>
  <c r="Q470" i="1" s="1"/>
  <c r="O471" i="1"/>
  <c r="Q471" i="1" s="1"/>
  <c r="O472" i="1"/>
  <c r="Q472" i="1" s="1"/>
  <c r="O473" i="1"/>
  <c r="Q473" i="1" s="1"/>
  <c r="O474" i="1"/>
  <c r="Q474" i="1" s="1"/>
  <c r="O475" i="1"/>
  <c r="Q475" i="1" s="1"/>
  <c r="O476" i="1"/>
  <c r="Q476" i="1" s="1"/>
  <c r="O477" i="1"/>
  <c r="Q477" i="1" s="1"/>
  <c r="O478" i="1"/>
  <c r="Q478" i="1" s="1"/>
  <c r="O479" i="1"/>
  <c r="Q479" i="1" s="1"/>
  <c r="O480" i="1"/>
  <c r="Q480" i="1" s="1"/>
  <c r="O481" i="1"/>
  <c r="Q481" i="1" s="1"/>
  <c r="O482" i="1"/>
  <c r="Q482" i="1" s="1"/>
  <c r="O483" i="1"/>
  <c r="Q483" i="1" s="1"/>
  <c r="O484" i="1"/>
  <c r="Q484" i="1" s="1"/>
  <c r="O485" i="1"/>
  <c r="Q485" i="1" s="1"/>
  <c r="O486" i="1"/>
  <c r="Q486" i="1" s="1"/>
  <c r="O487" i="1"/>
  <c r="Q487" i="1" s="1"/>
  <c r="O488" i="1"/>
  <c r="Q488" i="1" s="1"/>
  <c r="O489" i="1"/>
  <c r="Q489" i="1" s="1"/>
  <c r="O490" i="1"/>
  <c r="Q490" i="1" s="1"/>
  <c r="O491" i="1"/>
  <c r="Q491" i="1" s="1"/>
  <c r="O492" i="1"/>
  <c r="Q492" i="1" s="1"/>
  <c r="O493" i="1"/>
  <c r="Q493" i="1" s="1"/>
  <c r="O494" i="1"/>
  <c r="Q494" i="1" s="1"/>
  <c r="O495" i="1"/>
  <c r="Q495" i="1" s="1"/>
  <c r="O496" i="1"/>
  <c r="Q496" i="1" s="1"/>
  <c r="O497" i="1"/>
  <c r="Q497" i="1" s="1"/>
  <c r="O498" i="1"/>
  <c r="Q498" i="1" s="1"/>
  <c r="O499" i="1"/>
  <c r="Q499" i="1" s="1"/>
  <c r="O500" i="1"/>
  <c r="Q500" i="1" s="1"/>
  <c r="O501" i="1"/>
  <c r="Q501" i="1" s="1"/>
  <c r="O502" i="1"/>
  <c r="Q502" i="1" s="1"/>
  <c r="O503" i="1"/>
  <c r="Q503" i="1" s="1"/>
  <c r="O504" i="1"/>
  <c r="Q504" i="1" s="1"/>
  <c r="O505" i="1"/>
  <c r="Q505" i="1" s="1"/>
  <c r="O506" i="1"/>
  <c r="Q506" i="1" s="1"/>
  <c r="O507" i="1"/>
  <c r="Q507" i="1" s="1"/>
  <c r="O508" i="1"/>
  <c r="Q508" i="1" s="1"/>
  <c r="O509" i="1"/>
  <c r="Q509" i="1" s="1"/>
  <c r="O510" i="1"/>
  <c r="Q510" i="1" s="1"/>
  <c r="O511" i="1"/>
  <c r="Q511" i="1" s="1"/>
  <c r="O512" i="1"/>
  <c r="Q512" i="1" s="1"/>
  <c r="O513" i="1"/>
  <c r="Q513" i="1" s="1"/>
  <c r="O514" i="1"/>
  <c r="Q514" i="1" s="1"/>
  <c r="O515" i="1"/>
  <c r="Q515" i="1" s="1"/>
  <c r="O516" i="1"/>
  <c r="Q516" i="1" s="1"/>
  <c r="O517" i="1"/>
  <c r="Q517" i="1" s="1"/>
  <c r="O518" i="1"/>
  <c r="Q518" i="1" s="1"/>
  <c r="O519" i="1"/>
  <c r="Q519" i="1" s="1"/>
  <c r="O520" i="1"/>
  <c r="Q520" i="1" s="1"/>
  <c r="O521" i="1"/>
  <c r="Q521" i="1" s="1"/>
  <c r="O522" i="1"/>
  <c r="Q522" i="1" s="1"/>
  <c r="O523" i="1"/>
  <c r="Q523" i="1" s="1"/>
  <c r="O524" i="1"/>
  <c r="Q524" i="1" s="1"/>
  <c r="O525" i="1"/>
  <c r="Q525" i="1" s="1"/>
  <c r="O526" i="1"/>
  <c r="Q526" i="1" s="1"/>
  <c r="O527" i="1"/>
  <c r="Q527" i="1" s="1"/>
  <c r="O528" i="1"/>
  <c r="Q528" i="1" s="1"/>
  <c r="O529" i="1"/>
  <c r="Q529" i="1" s="1"/>
  <c r="O530" i="1"/>
  <c r="Q530" i="1" s="1"/>
  <c r="O531" i="1"/>
  <c r="Q531" i="1" s="1"/>
  <c r="O532" i="1"/>
  <c r="Q532" i="1" s="1"/>
  <c r="O533" i="1"/>
  <c r="Q533" i="1" s="1"/>
  <c r="O534" i="1"/>
  <c r="Q534" i="1" s="1"/>
  <c r="O535" i="1"/>
  <c r="Q535" i="1" s="1"/>
  <c r="O536" i="1"/>
  <c r="Q536" i="1" s="1"/>
  <c r="O537" i="1"/>
  <c r="Q537" i="1" s="1"/>
  <c r="O538" i="1"/>
  <c r="Q538" i="1" s="1"/>
  <c r="O539" i="1"/>
  <c r="Q539" i="1" s="1"/>
  <c r="O540" i="1"/>
  <c r="Q540" i="1" s="1"/>
  <c r="O541" i="1"/>
  <c r="Q541" i="1" s="1"/>
  <c r="O542" i="1"/>
  <c r="Q542" i="1" s="1"/>
  <c r="O543" i="1"/>
  <c r="Q543" i="1" s="1"/>
  <c r="O544" i="1"/>
  <c r="Q544" i="1" s="1"/>
  <c r="O545" i="1"/>
  <c r="Q545" i="1" s="1"/>
  <c r="O546" i="1"/>
  <c r="Q546" i="1" s="1"/>
  <c r="O547" i="1"/>
  <c r="Q547" i="1" s="1"/>
  <c r="O548" i="1"/>
  <c r="Q548" i="1" s="1"/>
  <c r="O549" i="1"/>
  <c r="Q549" i="1" s="1"/>
  <c r="O550" i="1"/>
  <c r="Q550" i="1" s="1"/>
  <c r="O551" i="1"/>
  <c r="Q551" i="1" s="1"/>
  <c r="O552" i="1"/>
  <c r="Q552" i="1" s="1"/>
  <c r="O553" i="1"/>
  <c r="Q553" i="1" s="1"/>
  <c r="O554" i="1"/>
  <c r="Q554" i="1" s="1"/>
  <c r="O555" i="1"/>
  <c r="Q555" i="1" s="1"/>
  <c r="O556" i="1"/>
  <c r="Q556" i="1" s="1"/>
  <c r="O557" i="1"/>
  <c r="Q557" i="1" s="1"/>
  <c r="O558" i="1"/>
  <c r="Q558" i="1" s="1"/>
  <c r="O559" i="1"/>
  <c r="Q559" i="1" s="1"/>
  <c r="O560" i="1"/>
  <c r="Q560" i="1" s="1"/>
  <c r="O561" i="1"/>
  <c r="Q561" i="1" s="1"/>
  <c r="O562" i="1"/>
  <c r="Q562" i="1" s="1"/>
  <c r="O563" i="1"/>
  <c r="Q563" i="1" s="1"/>
  <c r="O564" i="1"/>
  <c r="Q564" i="1" s="1"/>
  <c r="O565" i="1"/>
  <c r="Q565" i="1" s="1"/>
  <c r="O566" i="1"/>
  <c r="Q566" i="1" s="1"/>
  <c r="O567" i="1"/>
  <c r="Q567" i="1" s="1"/>
  <c r="O568" i="1"/>
  <c r="Q568" i="1" s="1"/>
  <c r="O569" i="1"/>
  <c r="Q569" i="1" s="1"/>
  <c r="O570" i="1"/>
  <c r="Q570" i="1" s="1"/>
  <c r="O571" i="1"/>
  <c r="Q571" i="1" s="1"/>
  <c r="O572" i="1"/>
  <c r="Q572" i="1" s="1"/>
  <c r="O573" i="1"/>
  <c r="Q573" i="1" s="1"/>
  <c r="O574" i="1"/>
  <c r="Q574" i="1" s="1"/>
  <c r="O575" i="1"/>
  <c r="Q575" i="1" s="1"/>
  <c r="O576" i="1"/>
  <c r="Q576" i="1" s="1"/>
  <c r="O577" i="1"/>
  <c r="Q577" i="1" s="1"/>
  <c r="O578" i="1"/>
  <c r="Q578" i="1" s="1"/>
  <c r="O579" i="1"/>
  <c r="Q579" i="1" s="1"/>
  <c r="O580" i="1"/>
  <c r="Q580" i="1" s="1"/>
  <c r="O581" i="1"/>
  <c r="Q581" i="1" s="1"/>
  <c r="O582" i="1"/>
  <c r="Q582" i="1" s="1"/>
  <c r="O583" i="1"/>
  <c r="Q583" i="1" s="1"/>
  <c r="O584" i="1"/>
  <c r="Q584" i="1" s="1"/>
  <c r="O585" i="1"/>
  <c r="Q585" i="1" s="1"/>
  <c r="O586" i="1"/>
  <c r="Q586" i="1" s="1"/>
  <c r="O587" i="1"/>
  <c r="Q587" i="1" s="1"/>
  <c r="O588" i="1"/>
  <c r="Q588" i="1" s="1"/>
  <c r="O589" i="1"/>
  <c r="Q589" i="1" s="1"/>
  <c r="O590" i="1"/>
  <c r="Q590" i="1" s="1"/>
  <c r="O591" i="1"/>
  <c r="Q591" i="1" s="1"/>
  <c r="O592" i="1"/>
  <c r="Q592" i="1" s="1"/>
  <c r="O593" i="1"/>
  <c r="Q593" i="1" s="1"/>
  <c r="O594" i="1"/>
  <c r="Q594" i="1" s="1"/>
  <c r="O595" i="1"/>
  <c r="Q595" i="1" s="1"/>
  <c r="O596" i="1"/>
  <c r="Q596" i="1" s="1"/>
  <c r="O597" i="1"/>
  <c r="Q597" i="1" s="1"/>
  <c r="O598" i="1"/>
  <c r="Q598" i="1" s="1"/>
  <c r="O599" i="1"/>
  <c r="Q599" i="1" s="1"/>
  <c r="O600" i="1"/>
  <c r="Q600" i="1" s="1"/>
  <c r="O601" i="1"/>
  <c r="Q601" i="1" s="1"/>
  <c r="O602" i="1"/>
  <c r="Q602" i="1" s="1"/>
  <c r="O603" i="1"/>
  <c r="Q603" i="1" s="1"/>
  <c r="O604" i="1"/>
  <c r="Q604" i="1" s="1"/>
  <c r="O605" i="1"/>
  <c r="Q605" i="1" s="1"/>
  <c r="O606" i="1"/>
  <c r="Q606" i="1" s="1"/>
  <c r="O607" i="1"/>
  <c r="Q607" i="1" s="1"/>
  <c r="O608" i="1"/>
  <c r="Q608" i="1" s="1"/>
  <c r="O609" i="1"/>
  <c r="Q609" i="1" s="1"/>
  <c r="O610" i="1"/>
  <c r="Q610" i="1" s="1"/>
  <c r="O611" i="1"/>
  <c r="Q611" i="1" s="1"/>
  <c r="O612" i="1"/>
  <c r="Q612" i="1" s="1"/>
  <c r="O613" i="1"/>
  <c r="Q613" i="1" s="1"/>
  <c r="O614" i="1"/>
  <c r="Q614" i="1" s="1"/>
  <c r="O615" i="1"/>
  <c r="Q615" i="1" s="1"/>
  <c r="O616" i="1"/>
  <c r="Q616" i="1" s="1"/>
  <c r="O617" i="1"/>
  <c r="Q617" i="1" s="1"/>
  <c r="O618" i="1"/>
  <c r="Q618" i="1" s="1"/>
  <c r="O619" i="1"/>
  <c r="Q619" i="1" s="1"/>
  <c r="O620" i="1"/>
  <c r="Q620" i="1" s="1"/>
  <c r="O621" i="1"/>
  <c r="Q621" i="1" s="1"/>
  <c r="O622" i="1"/>
  <c r="Q622" i="1" s="1"/>
  <c r="O623" i="1"/>
  <c r="Q623" i="1" s="1"/>
  <c r="O624" i="1"/>
  <c r="Q624" i="1" s="1"/>
  <c r="O625" i="1"/>
  <c r="Q625" i="1" s="1"/>
  <c r="O626" i="1"/>
  <c r="Q626" i="1" s="1"/>
  <c r="O627" i="1"/>
  <c r="Q627" i="1" s="1"/>
  <c r="O628" i="1"/>
  <c r="Q628" i="1" s="1"/>
  <c r="O629" i="1"/>
  <c r="Q629" i="1" s="1"/>
  <c r="O630" i="1"/>
  <c r="Q630" i="1" s="1"/>
  <c r="O631" i="1"/>
  <c r="Q631" i="1" s="1"/>
  <c r="O632" i="1"/>
  <c r="Q632" i="1" s="1"/>
  <c r="O633" i="1"/>
  <c r="Q633" i="1" s="1"/>
  <c r="O634" i="1"/>
  <c r="Q634" i="1" s="1"/>
  <c r="O635" i="1"/>
  <c r="Q635" i="1" s="1"/>
  <c r="O636" i="1"/>
  <c r="Q636" i="1" s="1"/>
  <c r="O637" i="1"/>
  <c r="Q637" i="1" s="1"/>
  <c r="O638" i="1"/>
  <c r="Q638" i="1" s="1"/>
  <c r="O639" i="1"/>
  <c r="Q639" i="1" s="1"/>
  <c r="O640" i="1"/>
  <c r="Q640" i="1" s="1"/>
  <c r="O641" i="1"/>
  <c r="Q641" i="1" s="1"/>
  <c r="O642" i="1"/>
  <c r="Q642" i="1" s="1"/>
  <c r="O643" i="1"/>
  <c r="Q643" i="1" s="1"/>
  <c r="O644" i="1"/>
  <c r="Q644" i="1" s="1"/>
  <c r="O645" i="1"/>
  <c r="Q645" i="1" s="1"/>
  <c r="O646" i="1"/>
  <c r="Q646" i="1" s="1"/>
  <c r="O647" i="1"/>
  <c r="Q647" i="1" s="1"/>
  <c r="O648" i="1"/>
  <c r="Q648" i="1" s="1"/>
  <c r="O649" i="1"/>
  <c r="Q649" i="1" s="1"/>
  <c r="O650" i="1"/>
  <c r="Q650" i="1" s="1"/>
  <c r="O651" i="1"/>
  <c r="Q651" i="1" s="1"/>
  <c r="O652" i="1"/>
  <c r="Q652" i="1" s="1"/>
  <c r="O653" i="1"/>
  <c r="Q653" i="1" s="1"/>
  <c r="O654" i="1"/>
  <c r="Q654" i="1" s="1"/>
  <c r="O655" i="1"/>
  <c r="Q655" i="1" s="1"/>
  <c r="O656" i="1"/>
  <c r="Q656" i="1" s="1"/>
  <c r="O657" i="1"/>
  <c r="Q657" i="1" s="1"/>
  <c r="O658" i="1"/>
  <c r="Q658" i="1" s="1"/>
  <c r="O659" i="1"/>
  <c r="Q659" i="1" s="1"/>
  <c r="O660" i="1"/>
  <c r="Q660" i="1" s="1"/>
  <c r="O661" i="1"/>
  <c r="Q661" i="1" s="1"/>
  <c r="O662" i="1"/>
  <c r="Q662" i="1" s="1"/>
  <c r="O663" i="1"/>
  <c r="Q663" i="1" s="1"/>
  <c r="O664" i="1"/>
  <c r="Q664" i="1" s="1"/>
  <c r="O665" i="1"/>
  <c r="Q665" i="1" s="1"/>
  <c r="O666" i="1"/>
  <c r="Q666" i="1" s="1"/>
  <c r="O667" i="1"/>
  <c r="Q667" i="1" s="1"/>
  <c r="O668" i="1"/>
  <c r="Q668" i="1" s="1"/>
  <c r="O669" i="1"/>
  <c r="Q669" i="1" s="1"/>
  <c r="O670" i="1"/>
  <c r="Q670" i="1" s="1"/>
  <c r="O671" i="1"/>
  <c r="Q671" i="1" s="1"/>
  <c r="O672" i="1"/>
  <c r="Q672" i="1" s="1"/>
  <c r="O673" i="1"/>
  <c r="Q673" i="1" s="1"/>
  <c r="O674" i="1"/>
  <c r="Q674" i="1" s="1"/>
  <c r="O675" i="1"/>
  <c r="Q675" i="1" s="1"/>
  <c r="O676" i="1"/>
  <c r="Q676" i="1" s="1"/>
  <c r="O677" i="1"/>
  <c r="Q677" i="1" s="1"/>
  <c r="O678" i="1"/>
  <c r="Q678" i="1" s="1"/>
  <c r="O679" i="1"/>
  <c r="Q679" i="1" s="1"/>
  <c r="O680" i="1"/>
  <c r="Q680" i="1" s="1"/>
  <c r="O681" i="1"/>
  <c r="Q681" i="1" s="1"/>
  <c r="O682" i="1"/>
  <c r="Q682" i="1" s="1"/>
  <c r="O683" i="1"/>
  <c r="Q683" i="1" s="1"/>
  <c r="O684" i="1"/>
  <c r="Q684" i="1" s="1"/>
  <c r="O685" i="1"/>
  <c r="Q685" i="1" s="1"/>
  <c r="O686" i="1"/>
  <c r="Q686" i="1" s="1"/>
  <c r="O687" i="1"/>
  <c r="Q687" i="1" s="1"/>
  <c r="O688" i="1"/>
  <c r="Q688" i="1" s="1"/>
  <c r="O689" i="1"/>
  <c r="Q689" i="1" s="1"/>
  <c r="O690" i="1"/>
  <c r="Q690" i="1" s="1"/>
  <c r="O691" i="1"/>
  <c r="Q691" i="1" s="1"/>
  <c r="O692" i="1"/>
  <c r="Q692" i="1" s="1"/>
  <c r="O693" i="1"/>
  <c r="Q693" i="1" s="1"/>
  <c r="O694" i="1"/>
  <c r="Q694" i="1" s="1"/>
  <c r="O695" i="1"/>
  <c r="Q695" i="1" s="1"/>
  <c r="O696" i="1"/>
  <c r="Q696" i="1" s="1"/>
  <c r="O697" i="1"/>
  <c r="Q697" i="1" s="1"/>
  <c r="O698" i="1"/>
  <c r="Q698" i="1" s="1"/>
  <c r="O699" i="1"/>
  <c r="Q699" i="1" s="1"/>
  <c r="O700" i="1"/>
  <c r="Q700" i="1" s="1"/>
  <c r="O701" i="1"/>
  <c r="Q701" i="1" s="1"/>
  <c r="O702" i="1"/>
  <c r="Q702" i="1" s="1"/>
  <c r="O703" i="1"/>
  <c r="Q703" i="1" s="1"/>
  <c r="O704" i="1"/>
  <c r="Q704" i="1" s="1"/>
  <c r="O705" i="1"/>
  <c r="Q705" i="1" s="1"/>
  <c r="O706" i="1"/>
  <c r="Q706" i="1" s="1"/>
  <c r="O707" i="1"/>
  <c r="Q707" i="1" s="1"/>
  <c r="O708" i="1"/>
  <c r="Q708" i="1" s="1"/>
  <c r="O709" i="1"/>
  <c r="Q709" i="1" s="1"/>
  <c r="O710" i="1"/>
  <c r="Q710" i="1" s="1"/>
  <c r="O711" i="1"/>
  <c r="Q711" i="1" s="1"/>
  <c r="O712" i="1"/>
  <c r="Q712" i="1" s="1"/>
  <c r="O713" i="1"/>
  <c r="Q713" i="1" s="1"/>
  <c r="O714" i="1"/>
  <c r="Q714" i="1" s="1"/>
  <c r="O715" i="1"/>
  <c r="Q715" i="1" s="1"/>
  <c r="O716" i="1"/>
  <c r="Q716" i="1" s="1"/>
  <c r="O717" i="1"/>
  <c r="Q717" i="1" s="1"/>
  <c r="O718" i="1"/>
  <c r="Q718" i="1" s="1"/>
  <c r="O719" i="1"/>
  <c r="Q719" i="1" s="1"/>
  <c r="O720" i="1"/>
  <c r="Q720" i="1" s="1"/>
  <c r="O721" i="1"/>
  <c r="Q721" i="1" s="1"/>
  <c r="O722" i="1"/>
  <c r="Q722" i="1" s="1"/>
  <c r="O723" i="1"/>
  <c r="Q723" i="1" s="1"/>
  <c r="O724" i="1"/>
  <c r="Q724" i="1" s="1"/>
  <c r="O725" i="1"/>
  <c r="Q725" i="1" s="1"/>
  <c r="O726" i="1"/>
  <c r="Q726" i="1" s="1"/>
  <c r="O727" i="1"/>
  <c r="Q727" i="1" s="1"/>
  <c r="O728" i="1"/>
  <c r="Q728" i="1" s="1"/>
  <c r="O729" i="1"/>
  <c r="Q729" i="1" s="1"/>
  <c r="O730" i="1"/>
  <c r="Q730" i="1" s="1"/>
  <c r="O731" i="1"/>
  <c r="Q731" i="1" s="1"/>
  <c r="O732" i="1"/>
  <c r="Q732" i="1" s="1"/>
  <c r="O733" i="1"/>
  <c r="Q733" i="1" s="1"/>
  <c r="O734" i="1"/>
  <c r="Q734" i="1" s="1"/>
  <c r="O735" i="1"/>
  <c r="Q735" i="1" s="1"/>
  <c r="O736" i="1"/>
  <c r="Q736" i="1" s="1"/>
  <c r="O737" i="1"/>
  <c r="Q737" i="1" s="1"/>
  <c r="O738" i="1"/>
  <c r="Q738" i="1" s="1"/>
  <c r="O739" i="1"/>
  <c r="Q739" i="1" s="1"/>
  <c r="O740" i="1"/>
  <c r="Q740" i="1" s="1"/>
  <c r="O741" i="1"/>
  <c r="Q741" i="1" s="1"/>
  <c r="O742" i="1"/>
  <c r="Q742" i="1" s="1"/>
  <c r="O743" i="1"/>
  <c r="Q743" i="1" s="1"/>
  <c r="O744" i="1"/>
  <c r="Q744" i="1" s="1"/>
  <c r="O745" i="1"/>
  <c r="Q745" i="1" s="1"/>
  <c r="O746" i="1"/>
  <c r="Q746" i="1" s="1"/>
  <c r="O747" i="1"/>
  <c r="Q747" i="1" s="1"/>
  <c r="O748" i="1"/>
  <c r="Q748" i="1" s="1"/>
  <c r="O749" i="1"/>
  <c r="Q749" i="1" s="1"/>
  <c r="O750" i="1"/>
  <c r="Q750" i="1" s="1"/>
  <c r="O751" i="1"/>
  <c r="Q751" i="1" s="1"/>
  <c r="O752" i="1"/>
  <c r="Q752" i="1" s="1"/>
  <c r="O753" i="1"/>
  <c r="Q753" i="1" s="1"/>
  <c r="O754" i="1"/>
  <c r="Q754" i="1" s="1"/>
  <c r="O755" i="1"/>
  <c r="Q755" i="1" s="1"/>
  <c r="O756" i="1"/>
  <c r="Q756" i="1" s="1"/>
  <c r="O757" i="1"/>
  <c r="Q757" i="1" s="1"/>
  <c r="O758" i="1"/>
  <c r="Q758" i="1" s="1"/>
  <c r="O759" i="1"/>
  <c r="Q759" i="1" s="1"/>
  <c r="O760" i="1"/>
  <c r="Q760" i="1" s="1"/>
  <c r="O761" i="1"/>
  <c r="Q761" i="1" s="1"/>
  <c r="O762" i="1"/>
  <c r="Q762" i="1" s="1"/>
  <c r="O763" i="1"/>
  <c r="Q763" i="1" s="1"/>
  <c r="O764" i="1"/>
  <c r="Q764" i="1" s="1"/>
  <c r="O765" i="1"/>
  <c r="Q765" i="1" s="1"/>
  <c r="O766" i="1"/>
  <c r="Q766" i="1" s="1"/>
  <c r="O767" i="1"/>
  <c r="Q767" i="1" s="1"/>
  <c r="O768" i="1"/>
  <c r="Q768" i="1" s="1"/>
  <c r="O769" i="1"/>
  <c r="Q769" i="1" s="1"/>
  <c r="O770" i="1"/>
  <c r="Q770" i="1" s="1"/>
  <c r="O771" i="1"/>
  <c r="Q771" i="1" s="1"/>
  <c r="O772" i="1"/>
  <c r="Q772" i="1" s="1"/>
  <c r="O773" i="1"/>
  <c r="Q773" i="1" s="1"/>
  <c r="O774" i="1"/>
  <c r="Q774" i="1" s="1"/>
  <c r="O775" i="1"/>
  <c r="Q775" i="1" s="1"/>
  <c r="O776" i="1"/>
  <c r="Q776" i="1" s="1"/>
  <c r="O777" i="1"/>
  <c r="Q777" i="1" s="1"/>
  <c r="O778" i="1"/>
  <c r="Q778" i="1" s="1"/>
  <c r="O779" i="1"/>
  <c r="Q779" i="1" s="1"/>
  <c r="O780" i="1"/>
  <c r="Q780" i="1" s="1"/>
  <c r="O781" i="1"/>
  <c r="Q781" i="1" s="1"/>
  <c r="O782" i="1"/>
  <c r="Q782" i="1" s="1"/>
  <c r="O783" i="1"/>
  <c r="Q783" i="1" s="1"/>
  <c r="O784" i="1"/>
  <c r="Q784" i="1" s="1"/>
  <c r="O785" i="1"/>
  <c r="Q785" i="1" s="1"/>
  <c r="O786" i="1"/>
  <c r="Q786" i="1" s="1"/>
  <c r="O787" i="1"/>
  <c r="Q787" i="1" s="1"/>
  <c r="O788" i="1"/>
  <c r="Q788" i="1" s="1"/>
  <c r="O789" i="1"/>
  <c r="Q789" i="1" s="1"/>
  <c r="O790" i="1"/>
  <c r="Q790" i="1" s="1"/>
  <c r="O791" i="1"/>
  <c r="Q791" i="1" s="1"/>
  <c r="O792" i="1"/>
  <c r="Q792" i="1" s="1"/>
  <c r="O793" i="1"/>
  <c r="Q793" i="1" s="1"/>
  <c r="O794" i="1"/>
  <c r="Q794" i="1" s="1"/>
  <c r="O795" i="1"/>
  <c r="Q795" i="1" s="1"/>
  <c r="O796" i="1"/>
  <c r="Q796" i="1" s="1"/>
  <c r="O797" i="1"/>
  <c r="Q797" i="1" s="1"/>
  <c r="O798" i="1"/>
  <c r="Q798" i="1" s="1"/>
  <c r="O799" i="1"/>
  <c r="Q799" i="1" s="1"/>
  <c r="O800" i="1"/>
  <c r="Q800" i="1" s="1"/>
  <c r="O801" i="1"/>
  <c r="Q801" i="1" s="1"/>
  <c r="O802" i="1"/>
  <c r="Q802" i="1" s="1"/>
  <c r="O803" i="1"/>
  <c r="Q803" i="1" s="1"/>
  <c r="O804" i="1"/>
  <c r="Q804" i="1" s="1"/>
  <c r="O805" i="1"/>
  <c r="Q805" i="1" s="1"/>
  <c r="O806" i="1"/>
  <c r="Q806" i="1" s="1"/>
  <c r="O807" i="1"/>
  <c r="Q807" i="1" s="1"/>
  <c r="O808" i="1"/>
  <c r="Q808" i="1" s="1"/>
  <c r="O809" i="1"/>
  <c r="Q809" i="1" s="1"/>
  <c r="O810" i="1"/>
  <c r="Q810" i="1" s="1"/>
  <c r="O811" i="1"/>
  <c r="Q811" i="1" s="1"/>
  <c r="O812" i="1"/>
  <c r="Q812" i="1" s="1"/>
  <c r="O813" i="1"/>
  <c r="Q813" i="1" s="1"/>
  <c r="O814" i="1"/>
  <c r="Q814" i="1" s="1"/>
  <c r="O815" i="1"/>
  <c r="Q815" i="1" s="1"/>
  <c r="O816" i="1"/>
  <c r="Q816" i="1" s="1"/>
  <c r="O817" i="1"/>
  <c r="Q817" i="1" s="1"/>
  <c r="O818" i="1"/>
  <c r="Q818" i="1" s="1"/>
  <c r="O819" i="1"/>
  <c r="Q819" i="1" s="1"/>
  <c r="O820" i="1"/>
  <c r="Q820" i="1" s="1"/>
  <c r="O821" i="1"/>
  <c r="Q821" i="1" s="1"/>
  <c r="O822" i="1"/>
  <c r="Q822" i="1" s="1"/>
  <c r="O823" i="1"/>
  <c r="Q823" i="1" s="1"/>
  <c r="O824" i="1"/>
  <c r="Q824" i="1" s="1"/>
  <c r="O825" i="1"/>
  <c r="Q825" i="1" s="1"/>
  <c r="O826" i="1"/>
  <c r="Q826" i="1" s="1"/>
  <c r="O827" i="1"/>
  <c r="Q827" i="1" s="1"/>
  <c r="O828" i="1"/>
  <c r="Q828" i="1" s="1"/>
  <c r="O829" i="1"/>
  <c r="Q829" i="1" s="1"/>
  <c r="O830" i="1"/>
  <c r="Q830" i="1" s="1"/>
  <c r="O831" i="1"/>
  <c r="Q831" i="1" s="1"/>
  <c r="O832" i="1"/>
  <c r="Q832" i="1" s="1"/>
  <c r="O833" i="1"/>
  <c r="Q833" i="1" s="1"/>
  <c r="O834" i="1"/>
  <c r="Q834" i="1" s="1"/>
  <c r="O835" i="1"/>
  <c r="Q835" i="1" s="1"/>
  <c r="O836" i="1"/>
  <c r="Q836" i="1" s="1"/>
  <c r="O837" i="1"/>
  <c r="Q837" i="1" s="1"/>
  <c r="O838" i="1"/>
  <c r="Q838" i="1" s="1"/>
  <c r="O839" i="1"/>
  <c r="Q839" i="1" s="1"/>
  <c r="O840" i="1"/>
  <c r="Q840" i="1" s="1"/>
  <c r="O841" i="1"/>
  <c r="Q841" i="1" s="1"/>
  <c r="O842" i="1"/>
  <c r="Q842" i="1" s="1"/>
  <c r="O843" i="1"/>
  <c r="Q843" i="1" s="1"/>
  <c r="O844" i="1"/>
  <c r="Q844" i="1" s="1"/>
  <c r="O845" i="1"/>
  <c r="Q845" i="1" s="1"/>
  <c r="O846" i="1"/>
  <c r="Q846" i="1" s="1"/>
  <c r="O847" i="1"/>
  <c r="Q847" i="1" s="1"/>
  <c r="O848" i="1"/>
  <c r="Q848" i="1" s="1"/>
  <c r="O849" i="1"/>
  <c r="Q849" i="1" s="1"/>
  <c r="O850" i="1"/>
  <c r="Q850" i="1" s="1"/>
  <c r="O851" i="1"/>
  <c r="Q851" i="1" s="1"/>
  <c r="O852" i="1"/>
  <c r="Q852" i="1" s="1"/>
  <c r="O853" i="1"/>
  <c r="Q853" i="1" s="1"/>
  <c r="O854" i="1"/>
  <c r="Q854" i="1" s="1"/>
  <c r="O855" i="1"/>
  <c r="Q855" i="1" s="1"/>
  <c r="O856" i="1"/>
  <c r="Q856" i="1" s="1"/>
  <c r="O857" i="1"/>
  <c r="Q857" i="1" s="1"/>
  <c r="O858" i="1"/>
  <c r="Q858" i="1" s="1"/>
  <c r="O859" i="1"/>
  <c r="Q859" i="1" s="1"/>
  <c r="O860" i="1"/>
  <c r="Q860" i="1" s="1"/>
  <c r="O861" i="1"/>
  <c r="Q861" i="1" s="1"/>
  <c r="O862" i="1"/>
  <c r="Q862" i="1" s="1"/>
  <c r="O863" i="1"/>
  <c r="Q863" i="1" s="1"/>
  <c r="O864" i="1"/>
  <c r="Q864" i="1" s="1"/>
  <c r="O865" i="1"/>
  <c r="Q865" i="1" s="1"/>
  <c r="O866" i="1"/>
  <c r="Q866" i="1" s="1"/>
  <c r="O867" i="1"/>
  <c r="Q867" i="1" s="1"/>
  <c r="O868" i="1"/>
  <c r="Q868" i="1" s="1"/>
  <c r="O869" i="1"/>
  <c r="Q869" i="1" s="1"/>
  <c r="O870" i="1"/>
  <c r="Q870" i="1" s="1"/>
  <c r="O871" i="1"/>
  <c r="Q871" i="1" s="1"/>
  <c r="O872" i="1"/>
  <c r="Q872" i="1" s="1"/>
  <c r="O873" i="1"/>
  <c r="Q873" i="1" s="1"/>
  <c r="O874" i="1"/>
  <c r="Q874" i="1" s="1"/>
  <c r="O875" i="1"/>
  <c r="Q875" i="1" s="1"/>
  <c r="O876" i="1"/>
  <c r="Q876" i="1" s="1"/>
  <c r="O877" i="1"/>
  <c r="Q877" i="1" s="1"/>
  <c r="O878" i="1"/>
  <c r="Q878" i="1" s="1"/>
  <c r="O879" i="1"/>
  <c r="Q879" i="1" s="1"/>
  <c r="O880" i="1"/>
  <c r="Q880" i="1" s="1"/>
  <c r="O881" i="1"/>
  <c r="Q881" i="1" s="1"/>
  <c r="O882" i="1"/>
  <c r="Q882" i="1" s="1"/>
  <c r="O883" i="1"/>
  <c r="Q883" i="1" s="1"/>
  <c r="O884" i="1"/>
  <c r="Q884" i="1" s="1"/>
  <c r="O885" i="1"/>
  <c r="Q885" i="1" s="1"/>
  <c r="O886" i="1"/>
  <c r="Q886" i="1" s="1"/>
  <c r="O887" i="1"/>
  <c r="Q887" i="1" s="1"/>
  <c r="O888" i="1"/>
  <c r="Q888" i="1" s="1"/>
  <c r="O889" i="1"/>
  <c r="Q889" i="1" s="1"/>
  <c r="O890" i="1"/>
  <c r="Q890" i="1" s="1"/>
  <c r="O891" i="1"/>
  <c r="Q891" i="1" s="1"/>
  <c r="O892" i="1"/>
  <c r="Q892" i="1" s="1"/>
  <c r="O893" i="1"/>
  <c r="Q893" i="1" s="1"/>
  <c r="O894" i="1"/>
  <c r="Q894" i="1" s="1"/>
  <c r="O895" i="1"/>
  <c r="Q895" i="1" s="1"/>
  <c r="O896" i="1"/>
  <c r="Q896" i="1" s="1"/>
  <c r="O897" i="1"/>
  <c r="Q897" i="1" s="1"/>
  <c r="O898" i="1"/>
  <c r="Q898" i="1" s="1"/>
  <c r="O899" i="1"/>
  <c r="Q899" i="1" s="1"/>
  <c r="O900" i="1"/>
  <c r="Q900" i="1" s="1"/>
  <c r="O901" i="1"/>
  <c r="Q901" i="1" s="1"/>
  <c r="O902" i="1"/>
  <c r="Q902" i="1" s="1"/>
  <c r="O903" i="1"/>
  <c r="Q903" i="1" s="1"/>
  <c r="O904" i="1"/>
  <c r="Q904" i="1" s="1"/>
  <c r="O905" i="1"/>
  <c r="Q905" i="1" s="1"/>
  <c r="O906" i="1"/>
  <c r="Q906" i="1" s="1"/>
  <c r="O907" i="1"/>
  <c r="Q907" i="1" s="1"/>
  <c r="O908" i="1"/>
  <c r="Q908" i="1" s="1"/>
  <c r="O909" i="1"/>
  <c r="Q909" i="1" s="1"/>
  <c r="O910" i="1"/>
  <c r="Q910" i="1" s="1"/>
  <c r="O911" i="1"/>
  <c r="Q911" i="1" s="1"/>
  <c r="O912" i="1"/>
  <c r="Q912" i="1" s="1"/>
  <c r="O913" i="1"/>
  <c r="Q913" i="1" s="1"/>
  <c r="O914" i="1"/>
  <c r="Q914" i="1" s="1"/>
  <c r="O915" i="1"/>
  <c r="Q915" i="1" s="1"/>
  <c r="O916" i="1"/>
  <c r="Q916" i="1" s="1"/>
  <c r="O917" i="1"/>
  <c r="Q917" i="1" s="1"/>
  <c r="O918" i="1"/>
  <c r="Q918" i="1" s="1"/>
  <c r="O919" i="1"/>
  <c r="Q919" i="1" s="1"/>
  <c r="O920" i="1"/>
  <c r="Q920" i="1" s="1"/>
  <c r="O921" i="1"/>
  <c r="Q921" i="1" s="1"/>
  <c r="O922" i="1"/>
  <c r="Q922" i="1" s="1"/>
  <c r="O923" i="1"/>
  <c r="Q923" i="1" s="1"/>
  <c r="O924" i="1"/>
  <c r="Q924" i="1" s="1"/>
  <c r="O925" i="1"/>
  <c r="Q925" i="1" s="1"/>
  <c r="O926" i="1"/>
  <c r="Q926" i="1" s="1"/>
  <c r="O927" i="1"/>
  <c r="Q927" i="1" s="1"/>
  <c r="O928" i="1"/>
  <c r="Q928" i="1" s="1"/>
  <c r="O929" i="1"/>
  <c r="Q929" i="1" s="1"/>
  <c r="O930" i="1"/>
  <c r="Q930" i="1" s="1"/>
  <c r="O931" i="1"/>
  <c r="Q931" i="1" s="1"/>
  <c r="O932" i="1"/>
  <c r="Q932" i="1" s="1"/>
  <c r="O933" i="1"/>
  <c r="Q933" i="1" s="1"/>
  <c r="O934" i="1"/>
  <c r="Q934" i="1" s="1"/>
  <c r="O935" i="1"/>
  <c r="Q935" i="1" s="1"/>
  <c r="O936" i="1"/>
  <c r="Q936" i="1" s="1"/>
  <c r="O937" i="1"/>
  <c r="Q937" i="1" s="1"/>
  <c r="O938" i="1"/>
  <c r="Q938" i="1" s="1"/>
  <c r="O939" i="1"/>
  <c r="Q939" i="1" s="1"/>
  <c r="O940" i="1"/>
  <c r="Q940" i="1" s="1"/>
  <c r="O941" i="1"/>
  <c r="Q941" i="1" s="1"/>
  <c r="O942" i="1"/>
  <c r="Q942" i="1" s="1"/>
  <c r="O943" i="1"/>
  <c r="Q943" i="1" s="1"/>
  <c r="O944" i="1"/>
  <c r="Q944" i="1" s="1"/>
  <c r="O945" i="1"/>
  <c r="Q945" i="1" s="1"/>
  <c r="O946" i="1"/>
  <c r="Q946" i="1" s="1"/>
  <c r="O947" i="1"/>
  <c r="Q947" i="1" s="1"/>
  <c r="O948" i="1"/>
  <c r="Q948" i="1" s="1"/>
  <c r="O949" i="1"/>
  <c r="Q949" i="1" s="1"/>
  <c r="O950" i="1"/>
  <c r="Q950" i="1" s="1"/>
  <c r="O951" i="1"/>
  <c r="Q951" i="1" s="1"/>
  <c r="O952" i="1"/>
  <c r="Q952" i="1" s="1"/>
  <c r="O953" i="1"/>
  <c r="Q953" i="1" s="1"/>
  <c r="O954" i="1"/>
  <c r="Q954" i="1" s="1"/>
  <c r="O955" i="1"/>
  <c r="Q955" i="1" s="1"/>
  <c r="O956" i="1"/>
  <c r="Q956" i="1" s="1"/>
  <c r="O957" i="1"/>
  <c r="Q957" i="1" s="1"/>
  <c r="O958" i="1"/>
  <c r="Q958" i="1" s="1"/>
  <c r="O959" i="1"/>
  <c r="Q959" i="1" s="1"/>
  <c r="O960" i="1"/>
  <c r="Q960" i="1" s="1"/>
  <c r="O961" i="1"/>
  <c r="Q961" i="1" s="1"/>
  <c r="O962" i="1"/>
  <c r="Q962" i="1" s="1"/>
  <c r="O963" i="1"/>
  <c r="Q963" i="1" s="1"/>
  <c r="O964" i="1"/>
  <c r="Q964" i="1" s="1"/>
  <c r="O965" i="1"/>
  <c r="Q965" i="1" s="1"/>
  <c r="O966" i="1"/>
  <c r="Q966" i="1" s="1"/>
  <c r="O967" i="1"/>
  <c r="Q967" i="1" s="1"/>
  <c r="O968" i="1"/>
  <c r="Q968" i="1" s="1"/>
  <c r="O969" i="1"/>
  <c r="Q969" i="1" s="1"/>
  <c r="O970" i="1"/>
  <c r="Q970" i="1" s="1"/>
  <c r="O971" i="1"/>
  <c r="Q971" i="1" s="1"/>
  <c r="O972" i="1"/>
  <c r="Q972" i="1" s="1"/>
  <c r="O973" i="1"/>
  <c r="Q973" i="1" s="1"/>
  <c r="O974" i="1"/>
  <c r="Q974" i="1" s="1"/>
  <c r="O975" i="1"/>
  <c r="Q975" i="1" s="1"/>
  <c r="O976" i="1"/>
  <c r="Q976" i="1" s="1"/>
  <c r="O977" i="1"/>
  <c r="Q977" i="1" s="1"/>
  <c r="O978" i="1"/>
  <c r="Q978" i="1" s="1"/>
  <c r="O979" i="1"/>
  <c r="Q979" i="1" s="1"/>
  <c r="O980" i="1"/>
  <c r="Q980" i="1" s="1"/>
  <c r="O981" i="1"/>
  <c r="Q981" i="1" s="1"/>
  <c r="O982" i="1"/>
  <c r="Q982" i="1" s="1"/>
  <c r="O983" i="1"/>
  <c r="Q983" i="1" s="1"/>
  <c r="O984" i="1"/>
  <c r="Q984" i="1" s="1"/>
  <c r="O985" i="1"/>
  <c r="Q985" i="1" s="1"/>
  <c r="O986" i="1"/>
  <c r="Q986" i="1" s="1"/>
  <c r="O987" i="1"/>
  <c r="Q987" i="1" s="1"/>
  <c r="O988" i="1"/>
  <c r="Q988" i="1" s="1"/>
  <c r="O989" i="1"/>
  <c r="Q989" i="1" s="1"/>
  <c r="O990" i="1"/>
  <c r="Q990" i="1" s="1"/>
  <c r="O991" i="1"/>
  <c r="Q991" i="1" s="1"/>
  <c r="O992" i="1"/>
  <c r="Q992" i="1" s="1"/>
  <c r="O993" i="1"/>
  <c r="Q993" i="1" s="1"/>
  <c r="O994" i="1"/>
  <c r="Q994" i="1" s="1"/>
  <c r="O995" i="1"/>
  <c r="Q995" i="1" s="1"/>
  <c r="O996" i="1"/>
  <c r="Q996" i="1" s="1"/>
  <c r="O997" i="1"/>
  <c r="Q997" i="1" s="1"/>
  <c r="O998" i="1"/>
  <c r="Q998" i="1" s="1"/>
  <c r="O999" i="1"/>
  <c r="Q999" i="1" s="1"/>
  <c r="O1000" i="1"/>
  <c r="Q1000" i="1" s="1"/>
  <c r="O1001" i="1"/>
  <c r="Q1001" i="1" s="1"/>
</calcChain>
</file>

<file path=xl/sharedStrings.xml><?xml version="1.0" encoding="utf-8"?>
<sst xmlns="http://schemas.openxmlformats.org/spreadsheetml/2006/main" count="8166" uniqueCount="1749">
  <si>
    <t>ProductID</t>
  </si>
  <si>
    <t>CustomerID</t>
  </si>
  <si>
    <t>OrderID</t>
  </si>
  <si>
    <t>Region</t>
  </si>
  <si>
    <t>ProductName</t>
  </si>
  <si>
    <t>Manager</t>
  </si>
  <si>
    <t>Category</t>
  </si>
  <si>
    <t>North</t>
  </si>
  <si>
    <t>CustomerName</t>
  </si>
  <si>
    <t>PROD150</t>
  </si>
  <si>
    <t>City</t>
  </si>
  <si>
    <t>CUST1035</t>
  </si>
  <si>
    <t>A</t>
  </si>
  <si>
    <t>Product_0</t>
  </si>
  <si>
    <t>OrderDate</t>
  </si>
  <si>
    <t>Customer_0</t>
  </si>
  <si>
    <t>Home</t>
  </si>
  <si>
    <t>South</t>
  </si>
  <si>
    <t>B</t>
  </si>
  <si>
    <t>Bangalore</t>
  </si>
  <si>
    <t>PROD111</t>
  </si>
  <si>
    <t>Product_1</t>
  </si>
  <si>
    <t>East</t>
  </si>
  <si>
    <t>DeliveryDate</t>
  </si>
  <si>
    <t>CUST1292</t>
  </si>
  <si>
    <t>CancelDate</t>
  </si>
  <si>
    <t>Customer_1</t>
  </si>
  <si>
    <t>Fashion</t>
  </si>
  <si>
    <t>Hyderabad</t>
  </si>
  <si>
    <t>PROD149</t>
  </si>
  <si>
    <t>Product_2</t>
  </si>
  <si>
    <t>CUST1164</t>
  </si>
  <si>
    <t>PROD104</t>
  </si>
  <si>
    <t>Customer_2</t>
  </si>
  <si>
    <t>Product_3</t>
  </si>
  <si>
    <t>Mumbai</t>
  </si>
  <si>
    <t>C</t>
  </si>
  <si>
    <t>Electronics</t>
  </si>
  <si>
    <t>CUST1170</t>
  </si>
  <si>
    <t>PROD132</t>
  </si>
  <si>
    <t>Product_4</t>
  </si>
  <si>
    <t>Customer_3</t>
  </si>
  <si>
    <t>PaymentMethod</t>
  </si>
  <si>
    <t>PROD108</t>
  </si>
  <si>
    <t>CUST1203</t>
  </si>
  <si>
    <t>West</t>
  </si>
  <si>
    <t>Product_5</t>
  </si>
  <si>
    <t>Customer_4</t>
  </si>
  <si>
    <t>D</t>
  </si>
  <si>
    <t>DeliveryStatus</t>
  </si>
  <si>
    <t>PROD102</t>
  </si>
  <si>
    <t>CUST1143</t>
  </si>
  <si>
    <t>Product_6</t>
  </si>
  <si>
    <t>Customer_5</t>
  </si>
  <si>
    <t>Beauty</t>
  </si>
  <si>
    <t>SalesAmount</t>
  </si>
  <si>
    <t>PROD131</t>
  </si>
  <si>
    <t>CUST1263</t>
  </si>
  <si>
    <t>Product_7</t>
  </si>
  <si>
    <t>Grocery</t>
  </si>
  <si>
    <t>Customer_6</t>
  </si>
  <si>
    <t>Delhi</t>
  </si>
  <si>
    <t>ORD10000</t>
  </si>
  <si>
    <t>PROD120</t>
  </si>
  <si>
    <t>CUST1188</t>
  </si>
  <si>
    <t>CUST1276</t>
  </si>
  <si>
    <t>Product_8</t>
  </si>
  <si>
    <t>Customer_7</t>
  </si>
  <si>
    <t>PROD124</t>
  </si>
  <si>
    <t>PROD113</t>
  </si>
  <si>
    <t>Product_9</t>
  </si>
  <si>
    <t>CUST1147</t>
  </si>
  <si>
    <t>PROD112</t>
  </si>
  <si>
    <t>Customer_8</t>
  </si>
  <si>
    <t>Product_10</t>
  </si>
  <si>
    <t>PROD105</t>
  </si>
  <si>
    <t>CUST1300</t>
  </si>
  <si>
    <t>Product_11</t>
  </si>
  <si>
    <t>Customer_9</t>
  </si>
  <si>
    <t>PROD114</t>
  </si>
  <si>
    <t>Product_12</t>
  </si>
  <si>
    <t>Customer_10</t>
  </si>
  <si>
    <t>Product_13</t>
  </si>
  <si>
    <t>PROD121</t>
  </si>
  <si>
    <t>Product_14</t>
  </si>
  <si>
    <t>CUST1105</t>
  </si>
  <si>
    <t>Customer_11</t>
  </si>
  <si>
    <t>PROD139</t>
  </si>
  <si>
    <t>Product_15</t>
  </si>
  <si>
    <t>CUST1149</t>
  </si>
  <si>
    <t>Credit Card</t>
  </si>
  <si>
    <t>PROD136</t>
  </si>
  <si>
    <t>Customer_12</t>
  </si>
  <si>
    <t>Product_16</t>
  </si>
  <si>
    <t>Delivered</t>
  </si>
  <si>
    <t>PROD134</t>
  </si>
  <si>
    <t>Product_17</t>
  </si>
  <si>
    <t>CUST1271</t>
  </si>
  <si>
    <t>ORD10001</t>
  </si>
  <si>
    <t>CUST1297</t>
  </si>
  <si>
    <t>Customer_13</t>
  </si>
  <si>
    <t>PROD147</t>
  </si>
  <si>
    <t>PROD117</t>
  </si>
  <si>
    <t>Product_18</t>
  </si>
  <si>
    <t>PROD110</t>
  </si>
  <si>
    <t>Product_19</t>
  </si>
  <si>
    <t>Debit Card</t>
  </si>
  <si>
    <t>Returned</t>
  </si>
  <si>
    <t>CUST1194</t>
  </si>
  <si>
    <t>PROD109</t>
  </si>
  <si>
    <t>Customer_14</t>
  </si>
  <si>
    <t>Product_20</t>
  </si>
  <si>
    <t>ORD10002</t>
  </si>
  <si>
    <t>CUST1030</t>
  </si>
  <si>
    <t>PROD118</t>
  </si>
  <si>
    <t>CUST1216</t>
  </si>
  <si>
    <t>Product_21</t>
  </si>
  <si>
    <t>Customer_15</t>
  </si>
  <si>
    <t>PROD148</t>
  </si>
  <si>
    <t>Product_22</t>
  </si>
  <si>
    <t>CUST1007</t>
  </si>
  <si>
    <t>COD</t>
  </si>
  <si>
    <t>PROD137</t>
  </si>
  <si>
    <t>Product_23</t>
  </si>
  <si>
    <t>ORD10003</t>
  </si>
  <si>
    <t>PROD130</t>
  </si>
  <si>
    <t>CUST1237</t>
  </si>
  <si>
    <t>Product_24</t>
  </si>
  <si>
    <t>PROD103</t>
  </si>
  <si>
    <t>Product_25</t>
  </si>
  <si>
    <t>PROD101</t>
  </si>
  <si>
    <t>Product_26</t>
  </si>
  <si>
    <t>Customer_16</t>
  </si>
  <si>
    <t>Cancelled</t>
  </si>
  <si>
    <t>Product_27</t>
  </si>
  <si>
    <t>CUST1238</t>
  </si>
  <si>
    <t>ORD10004</t>
  </si>
  <si>
    <t>Customer_17</t>
  </si>
  <si>
    <t>PROD127</t>
  </si>
  <si>
    <t>CUST1003</t>
  </si>
  <si>
    <t>Product_28</t>
  </si>
  <si>
    <t>PROD129</t>
  </si>
  <si>
    <t>PROD141</t>
  </si>
  <si>
    <t>CUST1027</t>
  </si>
  <si>
    <t>Product_29</t>
  </si>
  <si>
    <t>Customer_18</t>
  </si>
  <si>
    <t>PROD140</t>
  </si>
  <si>
    <t>Product_30</t>
  </si>
  <si>
    <t>PROD143</t>
  </si>
  <si>
    <t>CUST1214</t>
  </si>
  <si>
    <t>Product_31</t>
  </si>
  <si>
    <t>Customer_19</t>
  </si>
  <si>
    <t>ORD10005</t>
  </si>
  <si>
    <t>PROD125</t>
  </si>
  <si>
    <t>Product_32</t>
  </si>
  <si>
    <t>CUST1193</t>
  </si>
  <si>
    <t>CUST1247</t>
  </si>
  <si>
    <t>PROD123</t>
  </si>
  <si>
    <t>Product_33</t>
  </si>
  <si>
    <t>Customer_20</t>
  </si>
  <si>
    <t>PROD106</t>
  </si>
  <si>
    <t>Product_34</t>
  </si>
  <si>
    <t>PROD135</t>
  </si>
  <si>
    <t>Product_35</t>
  </si>
  <si>
    <t>PROD145</t>
  </si>
  <si>
    <t>Product_36</t>
  </si>
  <si>
    <t>CUST1114</t>
  </si>
  <si>
    <t>ORD10006</t>
  </si>
  <si>
    <t>PROD144</t>
  </si>
  <si>
    <t>Product_37</t>
  </si>
  <si>
    <t>Customer_21</t>
  </si>
  <si>
    <t>CUST1033</t>
  </si>
  <si>
    <t>PROD122</t>
  </si>
  <si>
    <t>PROD138</t>
  </si>
  <si>
    <t>Product_38</t>
  </si>
  <si>
    <t>CUST1034</t>
  </si>
  <si>
    <t>Customer_22</t>
  </si>
  <si>
    <t>Product_39</t>
  </si>
  <si>
    <t>Net Banking</t>
  </si>
  <si>
    <t>CUST1142</t>
  </si>
  <si>
    <t>PROD115</t>
  </si>
  <si>
    <t>Product_40</t>
  </si>
  <si>
    <t>Customer_23</t>
  </si>
  <si>
    <t>PROD116</t>
  </si>
  <si>
    <t>ORD10007</t>
  </si>
  <si>
    <t>Product_41</t>
  </si>
  <si>
    <t>CUST1201</t>
  </si>
  <si>
    <t>CUST1293</t>
  </si>
  <si>
    <t>Customer_24</t>
  </si>
  <si>
    <t>Product_42</t>
  </si>
  <si>
    <t>CUST1261</t>
  </si>
  <si>
    <t>PROD107</t>
  </si>
  <si>
    <t>Customer_25</t>
  </si>
  <si>
    <t>Product_43</t>
  </si>
  <si>
    <t>PROD128</t>
  </si>
  <si>
    <t>UPI</t>
  </si>
  <si>
    <t>Product_44</t>
  </si>
  <si>
    <t>CUST1159</t>
  </si>
  <si>
    <t>Customer_26</t>
  </si>
  <si>
    <t>PROD142</t>
  </si>
  <si>
    <t>Product_45</t>
  </si>
  <si>
    <t>ORD10008</t>
  </si>
  <si>
    <t>CUST1294</t>
  </si>
  <si>
    <t>CUST1228</t>
  </si>
  <si>
    <t>PROD146</t>
  </si>
  <si>
    <t>Product_46</t>
  </si>
  <si>
    <t>Customer_27</t>
  </si>
  <si>
    <t>PROD133</t>
  </si>
  <si>
    <t>Product_47</t>
  </si>
  <si>
    <t>CUST1283</t>
  </si>
  <si>
    <t>PROD119</t>
  </si>
  <si>
    <t>Product_48</t>
  </si>
  <si>
    <t>Customer_28</t>
  </si>
  <si>
    <t>PROD126</t>
  </si>
  <si>
    <t>Product_49</t>
  </si>
  <si>
    <t>ORD10009</t>
  </si>
  <si>
    <t>CUST1257</t>
  </si>
  <si>
    <t>Customer_29</t>
  </si>
  <si>
    <t>CUST1206</t>
  </si>
  <si>
    <t>Customer_30</t>
  </si>
  <si>
    <t>ORD10010</t>
  </si>
  <si>
    <t>CUST1227</t>
  </si>
  <si>
    <t>ORD10011</t>
  </si>
  <si>
    <t>CUST1132</t>
  </si>
  <si>
    <t>CUST1032</t>
  </si>
  <si>
    <t>Customer_31</t>
  </si>
  <si>
    <t>CUST1189</t>
  </si>
  <si>
    <t>Customer_32</t>
  </si>
  <si>
    <t>ORD10012</t>
  </si>
  <si>
    <t>CUST1213</t>
  </si>
  <si>
    <t>Customer_33</t>
  </si>
  <si>
    <t>CUST1025</t>
  </si>
  <si>
    <t>Customer_34</t>
  </si>
  <si>
    <t>CUST1250</t>
  </si>
  <si>
    <t>Customer_35</t>
  </si>
  <si>
    <t>CUST1239</t>
  </si>
  <si>
    <t>Customer_36</t>
  </si>
  <si>
    <t>ORD10013</t>
  </si>
  <si>
    <t>CUST1215</t>
  </si>
  <si>
    <t>CUST1165</t>
  </si>
  <si>
    <t>Customer_37</t>
  </si>
  <si>
    <t>CUST1082</t>
  </si>
  <si>
    <t>Customer_38</t>
  </si>
  <si>
    <t>CUST1205</t>
  </si>
  <si>
    <t>Customer_39</t>
  </si>
  <si>
    <t>ORD10014</t>
  </si>
  <si>
    <t>CUST1017</t>
  </si>
  <si>
    <t>CUST1044</t>
  </si>
  <si>
    <t>Customer_40</t>
  </si>
  <si>
    <t>CUST1252</t>
  </si>
  <si>
    <t>Customer_41</t>
  </si>
  <si>
    <t>CUST1152</t>
  </si>
  <si>
    <t>Customer_42</t>
  </si>
  <si>
    <t>ORD10015</t>
  </si>
  <si>
    <t>CUST1006</t>
  </si>
  <si>
    <t>CUST1218</t>
  </si>
  <si>
    <t>Customer_43</t>
  </si>
  <si>
    <t>Customer_44</t>
  </si>
  <si>
    <t>ORD10016</t>
  </si>
  <si>
    <t>CUST1054</t>
  </si>
  <si>
    <t>Customer_45</t>
  </si>
  <si>
    <t>CUST1128</t>
  </si>
  <si>
    <t>CUST1067</t>
  </si>
  <si>
    <t>Customer_46</t>
  </si>
  <si>
    <t>CUST1081</t>
  </si>
  <si>
    <t>Customer_47</t>
  </si>
  <si>
    <t>ORD10017</t>
  </si>
  <si>
    <t>CUST1241</t>
  </si>
  <si>
    <t>CUST1274</t>
  </si>
  <si>
    <t>Customer_48</t>
  </si>
  <si>
    <t>CUST1124</t>
  </si>
  <si>
    <t>Customer_49</t>
  </si>
  <si>
    <t>CUST1184</t>
  </si>
  <si>
    <t>Customer_50</t>
  </si>
  <si>
    <t>ORD10018</t>
  </si>
  <si>
    <t>CUST1108</t>
  </si>
  <si>
    <t>CUST1119</t>
  </si>
  <si>
    <t>Customer_51</t>
  </si>
  <si>
    <t>CUST1051</t>
  </si>
  <si>
    <t>Customer_52</t>
  </si>
  <si>
    <t>ORD10019</t>
  </si>
  <si>
    <t>CUST1287</t>
  </si>
  <si>
    <t>CUST1156</t>
  </si>
  <si>
    <t>Customer_53</t>
  </si>
  <si>
    <t>CUST1265</t>
  </si>
  <si>
    <t>Customer_54</t>
  </si>
  <si>
    <t>CUST1202</t>
  </si>
  <si>
    <t>Customer_55</t>
  </si>
  <si>
    <t>ORD10020</t>
  </si>
  <si>
    <t>CUST1078</t>
  </si>
  <si>
    <t>CUST1290</t>
  </si>
  <si>
    <t>Customer_56</t>
  </si>
  <si>
    <t>CUST1179</t>
  </si>
  <si>
    <t>Customer_57</t>
  </si>
  <si>
    <t>CUST1106</t>
  </si>
  <si>
    <t>ORD10021</t>
  </si>
  <si>
    <t>Customer_58</t>
  </si>
  <si>
    <t>CUST1186</t>
  </si>
  <si>
    <t>Customer_59</t>
  </si>
  <si>
    <t>Customer_60</t>
  </si>
  <si>
    <t>ORD10022</t>
  </si>
  <si>
    <t>Customer_61</t>
  </si>
  <si>
    <t>CUST1235</t>
  </si>
  <si>
    <t>CUST1230</t>
  </si>
  <si>
    <t>Customer_62</t>
  </si>
  <si>
    <t>CUST1284</t>
  </si>
  <si>
    <t>Customer_63</t>
  </si>
  <si>
    <t>CUST1021</t>
  </si>
  <si>
    <t>Customer_64</t>
  </si>
  <si>
    <t>CUST1019</t>
  </si>
  <si>
    <t>Customer_65</t>
  </si>
  <si>
    <t>ORD10023</t>
  </si>
  <si>
    <t>CUST1229</t>
  </si>
  <si>
    <t>CUST1098</t>
  </si>
  <si>
    <t>Customer_66</t>
  </si>
  <si>
    <t>CUST1039</t>
  </si>
  <si>
    <t>Customer_67</t>
  </si>
  <si>
    <t>Customer_68</t>
  </si>
  <si>
    <t>CUST1155</t>
  </si>
  <si>
    <t>Customer_69</t>
  </si>
  <si>
    <t>CUST1096</t>
  </si>
  <si>
    <t>Customer_70</t>
  </si>
  <si>
    <t>ORD10024</t>
  </si>
  <si>
    <t>CUST1090</t>
  </si>
  <si>
    <t>CUST1220</t>
  </si>
  <si>
    <t>Customer_71</t>
  </si>
  <si>
    <t>CUST1289</t>
  </si>
  <si>
    <t>Customer_72</t>
  </si>
  <si>
    <t>CUST1091</t>
  </si>
  <si>
    <t>Customer_73</t>
  </si>
  <si>
    <t>CUST1074</t>
  </si>
  <si>
    <t>Customer_74</t>
  </si>
  <si>
    <t>CUST1052</t>
  </si>
  <si>
    <t>Customer_75</t>
  </si>
  <si>
    <t>CUST1115</t>
  </si>
  <si>
    <t>ORD10025</t>
  </si>
  <si>
    <t>Customer_76</t>
  </si>
  <si>
    <t>CUST1198</t>
  </si>
  <si>
    <t>CUST1286</t>
  </si>
  <si>
    <t>Customer_77</t>
  </si>
  <si>
    <t>CUST1240</t>
  </si>
  <si>
    <t>Customer_78</t>
  </si>
  <si>
    <t>CUST1208</t>
  </si>
  <si>
    <t>Customer_79</t>
  </si>
  <si>
    <t>CUST1113</t>
  </si>
  <si>
    <t>Customer_80</t>
  </si>
  <si>
    <t>CUST1063</t>
  </si>
  <si>
    <t>Customer_81</t>
  </si>
  <si>
    <t>ORD10026</t>
  </si>
  <si>
    <t>CUST1280</t>
  </si>
  <si>
    <t>Customer_82</t>
  </si>
  <si>
    <t>CUST1197</t>
  </si>
  <si>
    <t>Customer_83</t>
  </si>
  <si>
    <t>CUST1187</t>
  </si>
  <si>
    <t>Customer_84</t>
  </si>
  <si>
    <t>CUST1254</t>
  </si>
  <si>
    <t>Customer_85</t>
  </si>
  <si>
    <t>ORD10027</t>
  </si>
  <si>
    <t>Customer_86</t>
  </si>
  <si>
    <t>CUST1102</t>
  </si>
  <si>
    <t>Customer_87</t>
  </si>
  <si>
    <t>CUST1260</t>
  </si>
  <si>
    <t>Customer_88</t>
  </si>
  <si>
    <t>CUST1026</t>
  </si>
  <si>
    <t>Customer_89</t>
  </si>
  <si>
    <t>CUST1236</t>
  </si>
  <si>
    <t>Customer_90</t>
  </si>
  <si>
    <t>ORD10028</t>
  </si>
  <si>
    <t>Customer_91</t>
  </si>
  <si>
    <t>CUST1069</t>
  </si>
  <si>
    <t>Customer_92</t>
  </si>
  <si>
    <t>CUST1138</t>
  </si>
  <si>
    <t>Customer_93</t>
  </si>
  <si>
    <t>CUST1242</t>
  </si>
  <si>
    <t>Customer_94</t>
  </si>
  <si>
    <t>ORD10029</t>
  </si>
  <si>
    <t>Customer_95</t>
  </si>
  <si>
    <t>CUST1249</t>
  </si>
  <si>
    <t>CUST1273</t>
  </si>
  <si>
    <t>Customer_96</t>
  </si>
  <si>
    <t>CUST1058</t>
  </si>
  <si>
    <t>Customer_97</t>
  </si>
  <si>
    <t>CUST1267</t>
  </si>
  <si>
    <t>Customer_98</t>
  </si>
  <si>
    <t>ORD10030</t>
  </si>
  <si>
    <t>CUST1278</t>
  </si>
  <si>
    <t>CUST1148</t>
  </si>
  <si>
    <t>Customer_99</t>
  </si>
  <si>
    <t>CUST1211</t>
  </si>
  <si>
    <t>Customer_100</t>
  </si>
  <si>
    <t>ORD10031</t>
  </si>
  <si>
    <t>CUST1298</t>
  </si>
  <si>
    <t>CUST1031</t>
  </si>
  <si>
    <t>Customer_101</t>
  </si>
  <si>
    <t>CUST1061</t>
  </si>
  <si>
    <t>Customer_102</t>
  </si>
  <si>
    <t>CUST1136</t>
  </si>
  <si>
    <t>Customer_103</t>
  </si>
  <si>
    <t>ORD10032</t>
  </si>
  <si>
    <t>CUST1094</t>
  </si>
  <si>
    <t>Customer_104</t>
  </si>
  <si>
    <t>CUST1047</t>
  </si>
  <si>
    <t>Customer_105</t>
  </si>
  <si>
    <t>CUST1036</t>
  </si>
  <si>
    <t>Customer_106</t>
  </si>
  <si>
    <t>ORD10033</t>
  </si>
  <si>
    <t>Customer_107</t>
  </si>
  <si>
    <t>CUST1126</t>
  </si>
  <si>
    <t>CUST1101</t>
  </si>
  <si>
    <t>Customer_108</t>
  </si>
  <si>
    <t>CUST1296</t>
  </si>
  <si>
    <t>Customer_109</t>
  </si>
  <si>
    <t>CUST1117</t>
  </si>
  <si>
    <t>Customer_110</t>
  </si>
  <si>
    <t>ORD10034</t>
  </si>
  <si>
    <t>CUST1046</t>
  </si>
  <si>
    <t>Customer_111</t>
  </si>
  <si>
    <t>CUST1092</t>
  </si>
  <si>
    <t>Customer_112</t>
  </si>
  <si>
    <t>CUST1055</t>
  </si>
  <si>
    <t>Customer_113</t>
  </si>
  <si>
    <t>CUST1059</t>
  </si>
  <si>
    <t>Customer_114</t>
  </si>
  <si>
    <t>CUST1192</t>
  </si>
  <si>
    <t>ORD10035</t>
  </si>
  <si>
    <t>Customer_115</t>
  </si>
  <si>
    <t>CUST1161</t>
  </si>
  <si>
    <t>Customer_116</t>
  </si>
  <si>
    <t>CUST1134</t>
  </si>
  <si>
    <t>Customer_117</t>
  </si>
  <si>
    <t>CUST1231</t>
  </si>
  <si>
    <t>Customer_118</t>
  </si>
  <si>
    <t>ORD10036</t>
  </si>
  <si>
    <t>CUST1125</t>
  </si>
  <si>
    <t>CUST1166</t>
  </si>
  <si>
    <t>Customer_119</t>
  </si>
  <si>
    <t>CUST1139</t>
  </si>
  <si>
    <t>Customer_120</t>
  </si>
  <si>
    <t>CUST1195</t>
  </si>
  <si>
    <t>ORD10037</t>
  </si>
  <si>
    <t>Customer_121</t>
  </si>
  <si>
    <t>CUST1015</t>
  </si>
  <si>
    <t>Customer_122</t>
  </si>
  <si>
    <t>CUST1299</t>
  </si>
  <si>
    <t>Customer_123</t>
  </si>
  <si>
    <t>ORD10038</t>
  </si>
  <si>
    <t>CUST1140</t>
  </si>
  <si>
    <t>CUST1172</t>
  </si>
  <si>
    <t>Customer_124</t>
  </si>
  <si>
    <t>CUST1158</t>
  </si>
  <si>
    <t>Customer_125</t>
  </si>
  <si>
    <t>CUST1135</t>
  </si>
  <si>
    <t>Customer_126</t>
  </si>
  <si>
    <t>ORD10039</t>
  </si>
  <si>
    <t>CUST1088</t>
  </si>
  <si>
    <t>CUST1255</t>
  </si>
  <si>
    <t>Customer_127</t>
  </si>
  <si>
    <t>CUST1008</t>
  </si>
  <si>
    <t>Customer_128</t>
  </si>
  <si>
    <t>CUST1163</t>
  </si>
  <si>
    <t>Customer_129</t>
  </si>
  <si>
    <t>ORD10040</t>
  </si>
  <si>
    <t>CUST1171</t>
  </si>
  <si>
    <t>Customer_130</t>
  </si>
  <si>
    <t>CUST1259</t>
  </si>
  <si>
    <t>Customer_131</t>
  </si>
  <si>
    <t>CUST1071</t>
  </si>
  <si>
    <t>Customer_132</t>
  </si>
  <si>
    <t>ORD10041</t>
  </si>
  <si>
    <t>CUST1246</t>
  </si>
  <si>
    <t>Customer_133</t>
  </si>
  <si>
    <t>CUST1178</t>
  </si>
  <si>
    <t>Customer_134</t>
  </si>
  <si>
    <t>CUST1042</t>
  </si>
  <si>
    <t>Customer_135</t>
  </si>
  <si>
    <t>ORD10042</t>
  </si>
  <si>
    <t>CUST1258</t>
  </si>
  <si>
    <t>Customer_136</t>
  </si>
  <si>
    <t>CUST1282</t>
  </si>
  <si>
    <t>Customer_137</t>
  </si>
  <si>
    <t>CUST1269</t>
  </si>
  <si>
    <t>Customer_138</t>
  </si>
  <si>
    <t>ORD10043</t>
  </si>
  <si>
    <t>CUST1288</t>
  </si>
  <si>
    <t>Customer_139</t>
  </si>
  <si>
    <t>Customer_140</t>
  </si>
  <si>
    <t>CUST1234</t>
  </si>
  <si>
    <t>Customer_141</t>
  </si>
  <si>
    <t>ORD10044</t>
  </si>
  <si>
    <t>CUST1200</t>
  </si>
  <si>
    <t>Customer_142</t>
  </si>
  <si>
    <t>CUST1176</t>
  </si>
  <si>
    <t>Customer_143</t>
  </si>
  <si>
    <t>ORD10045</t>
  </si>
  <si>
    <t>CUST1173</t>
  </si>
  <si>
    <t>Customer_144</t>
  </si>
  <si>
    <t>CUST1248</t>
  </si>
  <si>
    <t>Customer_145</t>
  </si>
  <si>
    <t>ORD10046</t>
  </si>
  <si>
    <t>CUST1272</t>
  </si>
  <si>
    <t>CUST1118</t>
  </si>
  <si>
    <t>Customer_146</t>
  </si>
  <si>
    <t>CUST1277</t>
  </si>
  <si>
    <t>Customer_147</t>
  </si>
  <si>
    <t>CUST1233</t>
  </si>
  <si>
    <t>Customer_148</t>
  </si>
  <si>
    <t>ORD10047</t>
  </si>
  <si>
    <t>CUST1100</t>
  </si>
  <si>
    <t>CUST1224</t>
  </si>
  <si>
    <t>Customer_149</t>
  </si>
  <si>
    <t>CUST1028</t>
  </si>
  <si>
    <t>Customer_150</t>
  </si>
  <si>
    <t>CUST1085</t>
  </si>
  <si>
    <t>ORD10048</t>
  </si>
  <si>
    <t>Customer_151</t>
  </si>
  <si>
    <t>CUST1225</t>
  </si>
  <si>
    <t>Customer_152</t>
  </si>
  <si>
    <t>CUST1038</t>
  </si>
  <si>
    <t>Customer_153</t>
  </si>
  <si>
    <t>ORD10049</t>
  </si>
  <si>
    <t>CUST1131</t>
  </si>
  <si>
    <t>Customer_154</t>
  </si>
  <si>
    <t>ORD10050</t>
  </si>
  <si>
    <t>CUST1219</t>
  </si>
  <si>
    <t>Customer_155</t>
  </si>
  <si>
    <t>CUST1243</t>
  </si>
  <si>
    <t>ORD10051</t>
  </si>
  <si>
    <t>Customer_156</t>
  </si>
  <si>
    <t>CUST1141</t>
  </si>
  <si>
    <t>Customer_157</t>
  </si>
  <si>
    <t>CUST1087</t>
  </si>
  <si>
    <t>Customer_158</t>
  </si>
  <si>
    <t>ORD10052</t>
  </si>
  <si>
    <t>CUST1232</t>
  </si>
  <si>
    <t>CUST1077</t>
  </si>
  <si>
    <t>Customer_159</t>
  </si>
  <si>
    <t>CUST1167</t>
  </si>
  <si>
    <t>Customer_160</t>
  </si>
  <si>
    <t>CUST1146</t>
  </si>
  <si>
    <t>ORD10053</t>
  </si>
  <si>
    <t>Customer_161</t>
  </si>
  <si>
    <t>CUST1112</t>
  </si>
  <si>
    <t>CUST1095</t>
  </si>
  <si>
    <t>Customer_162</t>
  </si>
  <si>
    <t>CUST1013</t>
  </si>
  <si>
    <t>Customer_163</t>
  </si>
  <si>
    <t>ORD10054</t>
  </si>
  <si>
    <t>CUST1180</t>
  </si>
  <si>
    <t>Customer_164</t>
  </si>
  <si>
    <t>CUST1245</t>
  </si>
  <si>
    <t>Customer_165</t>
  </si>
  <si>
    <t>CUST1005</t>
  </si>
  <si>
    <t>Customer_166</t>
  </si>
  <si>
    <t>ORD10055</t>
  </si>
  <si>
    <t>CUST1057</t>
  </si>
  <si>
    <t>Customer_167</t>
  </si>
  <si>
    <t>CUST1251</t>
  </si>
  <si>
    <t>Customer_168</t>
  </si>
  <si>
    <t>Customer_169</t>
  </si>
  <si>
    <t>ORD10056</t>
  </si>
  <si>
    <t>Customer_170</t>
  </si>
  <si>
    <t>CUST1266</t>
  </si>
  <si>
    <t>Customer_171</t>
  </si>
  <si>
    <t>CUST1295</t>
  </si>
  <si>
    <t>Customer_172</t>
  </si>
  <si>
    <t>CUST1264</t>
  </si>
  <si>
    <t>Customer_173</t>
  </si>
  <si>
    <t>CUST1011</t>
  </si>
  <si>
    <t>ORD10057</t>
  </si>
  <si>
    <t>Customer_174</t>
  </si>
  <si>
    <t>CUST1281</t>
  </si>
  <si>
    <t>Customer_175</t>
  </si>
  <si>
    <t>CUST1154</t>
  </si>
  <si>
    <t>ORD10058</t>
  </si>
  <si>
    <t>Customer_176</t>
  </si>
  <si>
    <t>ORD10059</t>
  </si>
  <si>
    <t>CUST1023</t>
  </si>
  <si>
    <t>Customer_177</t>
  </si>
  <si>
    <t>ORD10060</t>
  </si>
  <si>
    <t>Customer_178</t>
  </si>
  <si>
    <t>CUST1291</t>
  </si>
  <si>
    <t>CUST1104</t>
  </si>
  <si>
    <t>Customer_179</t>
  </si>
  <si>
    <t>CUST1064</t>
  </si>
  <si>
    <t>Customer_180</t>
  </si>
  <si>
    <t>CUST1144</t>
  </si>
  <si>
    <t>ORD10061</t>
  </si>
  <si>
    <t>Customer_181</t>
  </si>
  <si>
    <t>CUST1020</t>
  </si>
  <si>
    <t>Customer_182</t>
  </si>
  <si>
    <t>CUST1177</t>
  </si>
  <si>
    <t>Customer_183</t>
  </si>
  <si>
    <t>ORD10062</t>
  </si>
  <si>
    <t>CUST1018</t>
  </si>
  <si>
    <t>Customer_184</t>
  </si>
  <si>
    <t>CUST1122</t>
  </si>
  <si>
    <t>Customer_185</t>
  </si>
  <si>
    <t>CUST1073</t>
  </si>
  <si>
    <t>ORD10063</t>
  </si>
  <si>
    <t>Customer_186</t>
  </si>
  <si>
    <t>CUST1145</t>
  </si>
  <si>
    <t>CUST1191</t>
  </si>
  <si>
    <t>Customer_187</t>
  </si>
  <si>
    <t>CUST1014</t>
  </si>
  <si>
    <t>Customer_188</t>
  </si>
  <si>
    <t>ORD10064</t>
  </si>
  <si>
    <t>CUST1083</t>
  </si>
  <si>
    <t>Customer_189</t>
  </si>
  <si>
    <t>CUST1262</t>
  </si>
  <si>
    <t>Customer_190</t>
  </si>
  <si>
    <t>CUST1086</t>
  </si>
  <si>
    <t>Customer_191</t>
  </si>
  <si>
    <t>ORD10065</t>
  </si>
  <si>
    <t>CUST1072</t>
  </si>
  <si>
    <t>Customer_192</t>
  </si>
  <si>
    <t>CUST1253</t>
  </si>
  <si>
    <t>Customer_193</t>
  </si>
  <si>
    <t>CUST1275</t>
  </si>
  <si>
    <t>Customer_194</t>
  </si>
  <si>
    <t>ORD10066</t>
  </si>
  <si>
    <t>CUST1076</t>
  </si>
  <si>
    <t>Customer_195</t>
  </si>
  <si>
    <t>Customer_196</t>
  </si>
  <si>
    <t>Customer_197</t>
  </si>
  <si>
    <t>ORD10067</t>
  </si>
  <si>
    <t>CUST1150</t>
  </si>
  <si>
    <t>Customer_198</t>
  </si>
  <si>
    <t>Customer_199</t>
  </si>
  <si>
    <t>ORD10068</t>
  </si>
  <si>
    <t>CUST1157</t>
  </si>
  <si>
    <t>Customer_200</t>
  </si>
  <si>
    <t>CUST1268</t>
  </si>
  <si>
    <t>Customer_201</t>
  </si>
  <si>
    <t>CUST1029</t>
  </si>
  <si>
    <t>Customer_202</t>
  </si>
  <si>
    <t>ORD10069</t>
  </si>
  <si>
    <t>CUST1116</t>
  </si>
  <si>
    <t>CUST1183</t>
  </si>
  <si>
    <t>Customer_203</t>
  </si>
  <si>
    <t>CUST1065</t>
  </si>
  <si>
    <t>Customer_204</t>
  </si>
  <si>
    <t>ORD10070</t>
  </si>
  <si>
    <t>Customer_205</t>
  </si>
  <si>
    <t>CUST1151</t>
  </si>
  <si>
    <t>Customer_206</t>
  </si>
  <si>
    <t>CUST1130</t>
  </si>
  <si>
    <t>Customer_207</t>
  </si>
  <si>
    <t>ORD10071</t>
  </si>
  <si>
    <t>CUST1129</t>
  </si>
  <si>
    <t>CUST1048</t>
  </si>
  <si>
    <t>Customer_208</t>
  </si>
  <si>
    <t>CUST1002</t>
  </si>
  <si>
    <t>Customer_209</t>
  </si>
  <si>
    <t>CUST1121</t>
  </si>
  <si>
    <t>ORD10072</t>
  </si>
  <si>
    <t>Customer_210</t>
  </si>
  <si>
    <t>CUST1223</t>
  </si>
  <si>
    <t>CUST1222</t>
  </si>
  <si>
    <t>Customer_211</t>
  </si>
  <si>
    <t>CUST1123</t>
  </si>
  <si>
    <t>Customer_212</t>
  </si>
  <si>
    <t>ORD10073</t>
  </si>
  <si>
    <t>CUST1068</t>
  </si>
  <si>
    <t>Customer_213</t>
  </si>
  <si>
    <t>CUST1099</t>
  </si>
  <si>
    <t>Customer_214</t>
  </si>
  <si>
    <t>Customer_215</t>
  </si>
  <si>
    <t>CUST1012</t>
  </si>
  <si>
    <t>ORD10074</t>
  </si>
  <si>
    <t>Customer_216</t>
  </si>
  <si>
    <t>CUST1022</t>
  </si>
  <si>
    <t>Customer_217</t>
  </si>
  <si>
    <t>Customer_218</t>
  </si>
  <si>
    <t>CUST1226</t>
  </si>
  <si>
    <t>ORD10075</t>
  </si>
  <si>
    <t>Customer_219</t>
  </si>
  <si>
    <t>CUST1168</t>
  </si>
  <si>
    <t>Customer_220</t>
  </si>
  <si>
    <t>CUST1111</t>
  </si>
  <si>
    <t>Customer_221</t>
  </si>
  <si>
    <t>ORD10076</t>
  </si>
  <si>
    <t>CUST1037</t>
  </si>
  <si>
    <t>Customer_222</t>
  </si>
  <si>
    <t>Customer_223</t>
  </si>
  <si>
    <t>Customer_224</t>
  </si>
  <si>
    <t>ORD10077</t>
  </si>
  <si>
    <t>CUST1185</t>
  </si>
  <si>
    <t>Customer_225</t>
  </si>
  <si>
    <t>CUST1120</t>
  </si>
  <si>
    <t>Customer_226</t>
  </si>
  <si>
    <t>CUST1075</t>
  </si>
  <si>
    <t>Customer_227</t>
  </si>
  <si>
    <t>ORD10078</t>
  </si>
  <si>
    <t>CUST1256</t>
  </si>
  <si>
    <t>CUST1169</t>
  </si>
  <si>
    <t>Customer_228</t>
  </si>
  <si>
    <t>Customer_229</t>
  </si>
  <si>
    <t>ORD10079</t>
  </si>
  <si>
    <t>CUST1045</t>
  </si>
  <si>
    <t>Customer_230</t>
  </si>
  <si>
    <t>CUST1070</t>
  </si>
  <si>
    <t>Customer_231</t>
  </si>
  <si>
    <t>Customer_232</t>
  </si>
  <si>
    <t>ORD10080</t>
  </si>
  <si>
    <t>CUST1153</t>
  </si>
  <si>
    <t>Customer_233</t>
  </si>
  <si>
    <t>CUST1043</t>
  </si>
  <si>
    <t>Customer_234</t>
  </si>
  <si>
    <t>CUST1040</t>
  </si>
  <si>
    <t>ORD10081</t>
  </si>
  <si>
    <t>Customer_235</t>
  </si>
  <si>
    <t>CUST1010</t>
  </si>
  <si>
    <t>Customer_236</t>
  </si>
  <si>
    <t>CUST1127</t>
  </si>
  <si>
    <t>Customer_237</t>
  </si>
  <si>
    <t>ORD10082</t>
  </si>
  <si>
    <t>CUST1190</t>
  </si>
  <si>
    <t>Customer_238</t>
  </si>
  <si>
    <t>CUST1182</t>
  </si>
  <si>
    <t>Customer_239</t>
  </si>
  <si>
    <t>CUST1209</t>
  </si>
  <si>
    <t>Customer_240</t>
  </si>
  <si>
    <t>CUST1181</t>
  </si>
  <si>
    <t>Customer_241</t>
  </si>
  <si>
    <t>ORD10083</t>
  </si>
  <si>
    <t>Customer_242</t>
  </si>
  <si>
    <t>CUST1060</t>
  </si>
  <si>
    <t>Customer_243</t>
  </si>
  <si>
    <t>CUST1049</t>
  </si>
  <si>
    <t>Customer_244</t>
  </si>
  <si>
    <t>ORD10084</t>
  </si>
  <si>
    <t>Customer_245</t>
  </si>
  <si>
    <t>CUST1050</t>
  </si>
  <si>
    <t>Customer_246</t>
  </si>
  <si>
    <t>CUST1244</t>
  </si>
  <si>
    <t>Customer_247</t>
  </si>
  <si>
    <t>ORD10085</t>
  </si>
  <si>
    <t>CUST1107</t>
  </si>
  <si>
    <t>Customer_248</t>
  </si>
  <si>
    <t>CUST1041</t>
  </si>
  <si>
    <t>Customer_249</t>
  </si>
  <si>
    <t>ORD10086</t>
  </si>
  <si>
    <t>Customer_250</t>
  </si>
  <si>
    <t>CUST1053</t>
  </si>
  <si>
    <t>Customer_251</t>
  </si>
  <si>
    <t>CUST1210</t>
  </si>
  <si>
    <t>Customer_252</t>
  </si>
  <si>
    <t>ORD10087</t>
  </si>
  <si>
    <t>CUST1103</t>
  </si>
  <si>
    <t>Customer_253</t>
  </si>
  <si>
    <t>CUST1009</t>
  </si>
  <si>
    <t>Customer_254</t>
  </si>
  <si>
    <t>Customer_255</t>
  </si>
  <si>
    <t>Customer_256</t>
  </si>
  <si>
    <t>ORD10088</t>
  </si>
  <si>
    <t>Customer_257</t>
  </si>
  <si>
    <t>Customer_258</t>
  </si>
  <si>
    <t>ORD10089</t>
  </si>
  <si>
    <t>CUST1199</t>
  </si>
  <si>
    <t>Customer_259</t>
  </si>
  <si>
    <t>CUST1062</t>
  </si>
  <si>
    <t>Customer_260</t>
  </si>
  <si>
    <t>CUST1004</t>
  </si>
  <si>
    <t>Customer_261</t>
  </si>
  <si>
    <t>ORD10090</t>
  </si>
  <si>
    <t>Customer_262</t>
  </si>
  <si>
    <t>CUST1137</t>
  </si>
  <si>
    <t>Customer_263</t>
  </si>
  <si>
    <t>CUST1196</t>
  </si>
  <si>
    <t>Customer_264</t>
  </si>
  <si>
    <t>Customer_265</t>
  </si>
  <si>
    <t>CUST1024</t>
  </si>
  <si>
    <t>Customer_266</t>
  </si>
  <si>
    <t>Customer_267</t>
  </si>
  <si>
    <t>Customer_268</t>
  </si>
  <si>
    <t>Customer_269</t>
  </si>
  <si>
    <t>CUST1221</t>
  </si>
  <si>
    <t>Customer_270</t>
  </si>
  <si>
    <t>Customer_271</t>
  </si>
  <si>
    <t>CUST1080</t>
  </si>
  <si>
    <t>Customer_272</t>
  </si>
  <si>
    <t>CUST1097</t>
  </si>
  <si>
    <t>Customer_273</t>
  </si>
  <si>
    <t>CUST1270</t>
  </si>
  <si>
    <t>Customer_274</t>
  </si>
  <si>
    <t>CUST1133</t>
  </si>
  <si>
    <t>Customer_275</t>
  </si>
  <si>
    <t>CUST1066</t>
  </si>
  <si>
    <t>Customer_276</t>
  </si>
  <si>
    <t>CUST1093</t>
  </si>
  <si>
    <t>Customer_277</t>
  </si>
  <si>
    <t>Customer_278</t>
  </si>
  <si>
    <t>CUST1212</t>
  </si>
  <si>
    <t>Customer_279</t>
  </si>
  <si>
    <t>Customer_280</t>
  </si>
  <si>
    <t>Customer_281</t>
  </si>
  <si>
    <t>CUST1160</t>
  </si>
  <si>
    <t>Customer_282</t>
  </si>
  <si>
    <t>Customer_283</t>
  </si>
  <si>
    <t>CUST1001</t>
  </si>
  <si>
    <t>Customer_284</t>
  </si>
  <si>
    <t>CUST1079</t>
  </si>
  <si>
    <t>Customer_285</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</si>
  <si>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</si>
  <si>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</si>
  <si>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</si>
  <si>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</si>
  <si>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</si>
  <si>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</si>
  <si>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</si>
  <si>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</si>
  <si>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</si>
  <si>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</si>
  <si>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</si>
  <si>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</si>
  <si>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</si>
  <si>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</si>
  <si>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</si>
  <si>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</si>
  <si>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</si>
  <si>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</si>
  <si>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</si>
  <si>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</si>
  <si>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</si>
  <si>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</si>
  <si>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</si>
  <si>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</si>
  <si>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</si>
  <si>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</si>
  <si>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</si>
  <si>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</si>
  <si>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</si>
  <si>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</si>
  <si>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</si>
  <si>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</si>
  <si>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</si>
  <si>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</si>
  <si>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</si>
  <si>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</si>
  <si>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</si>
  <si>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</si>
  <si>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</si>
  <si>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</si>
  <si>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</si>
  <si>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</si>
  <si>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</si>
  <si>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</si>
  <si>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</si>
  <si>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</si>
  <si>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</si>
  <si>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</si>
  <si>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</si>
  <si>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</si>
  <si>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</si>
  <si>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</si>
  <si>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</si>
  <si>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</si>
  <si>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</si>
  <si>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</si>
  <si>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</si>
  <si>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</si>
  <si>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</si>
  <si>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</si>
  <si>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</si>
  <si>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</si>
  <si>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</si>
  <si>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</si>
  <si>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</si>
  <si>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</si>
  <si>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</si>
  <si>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</si>
  <si>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</si>
  <si>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</si>
  <si>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</si>
  <si>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</si>
  <si>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</si>
  <si>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</si>
  <si>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</si>
  <si>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</si>
  <si>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</si>
  <si>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</si>
  <si>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</si>
  <si>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</si>
  <si>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</si>
  <si>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</si>
  <si>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</si>
  <si>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</si>
  <si>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</si>
  <si>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</si>
  <si>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</si>
  <si>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</si>
  <si>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</si>
  <si>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</si>
  <si>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</si>
  <si>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</si>
  <si>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</si>
  <si>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</si>
  <si>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</si>
  <si>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</si>
  <si>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</si>
  <si>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</si>
  <si>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</si>
  <si>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</si>
  <si>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</si>
  <si>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</si>
  <si>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</si>
  <si>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</si>
  <si>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</si>
  <si>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</si>
  <si>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</si>
  <si>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</si>
  <si>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</si>
  <si>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</si>
  <si>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</si>
  <si>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</si>
  <si>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</si>
  <si>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</si>
  <si>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</si>
  <si>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</si>
  <si>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</si>
  <si>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</si>
  <si>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</si>
  <si>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</si>
  <si>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</si>
  <si>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</si>
  <si>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</si>
  <si>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</si>
  <si>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</si>
  <si>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</si>
  <si>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</si>
  <si>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</si>
  <si>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</si>
  <si>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</si>
  <si>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</si>
  <si>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</si>
  <si>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</si>
  <si>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</si>
  <si>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</si>
  <si>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</si>
  <si>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</si>
  <si>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</si>
  <si>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</si>
  <si>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</si>
  <si>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</si>
  <si>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</si>
  <si>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</si>
  <si>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</si>
  <si>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</si>
  <si>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</si>
  <si>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</si>
  <si>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</si>
  <si>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</si>
  <si>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</si>
  <si>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</si>
  <si>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</si>
  <si>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</si>
  <si>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</si>
  <si>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</si>
  <si>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</si>
  <si>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</si>
  <si>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</si>
  <si>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</si>
  <si>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</si>
  <si>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</si>
  <si>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</si>
  <si>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</si>
  <si>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</si>
  <si>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</si>
  <si>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</si>
  <si>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</si>
  <si>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</si>
  <si>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</si>
  <si>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</si>
  <si>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</si>
  <si>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</si>
  <si>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</si>
  <si>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</si>
  <si>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</si>
  <si>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</si>
  <si>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</si>
  <si>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</si>
  <si>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</si>
  <si>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</si>
  <si>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</si>
  <si>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</si>
  <si>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</si>
  <si>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</si>
  <si>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</si>
  <si>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</si>
  <si>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</si>
  <si>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</si>
  <si>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</si>
  <si>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</si>
  <si>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</si>
  <si>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</si>
  <si>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</si>
  <si>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</si>
  <si>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</si>
  <si>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</si>
  <si>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</si>
  <si>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</si>
  <si>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</si>
  <si>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</si>
  <si>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</si>
  <si>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</si>
  <si>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</si>
  <si>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</si>
  <si>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</si>
  <si>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</si>
  <si>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</si>
  <si>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</si>
  <si>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</si>
  <si>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</si>
  <si>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</si>
  <si>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</si>
  <si>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</si>
  <si>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</si>
  <si>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</si>
  <si>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</si>
  <si>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</si>
  <si>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</si>
  <si>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</si>
  <si>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</si>
  <si>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</si>
  <si>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</si>
  <si>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</si>
  <si>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</si>
  <si>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</si>
  <si>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</si>
  <si>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</si>
  <si>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</si>
  <si>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</si>
  <si>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</si>
  <si>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</si>
  <si>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</si>
  <si>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</si>
  <si>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</si>
  <si>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</si>
  <si>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</si>
  <si>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</si>
  <si>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</si>
  <si>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</si>
  <si>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</si>
  <si>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</si>
  <si>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</si>
  <si>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</si>
  <si>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</si>
  <si>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</si>
  <si>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</si>
  <si>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</si>
  <si>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</si>
  <si>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</si>
  <si>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</si>
  <si>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</si>
  <si>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</si>
  <si>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</si>
  <si>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</si>
  <si>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</si>
  <si>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</si>
  <si>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</si>
  <si>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</si>
  <si>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</si>
  <si>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</si>
  <si>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</si>
  <si>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</si>
  <si>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</si>
  <si>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</si>
  <si>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</si>
  <si>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</si>
  <si>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</si>
  <si>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</si>
  <si>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</si>
  <si>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</si>
  <si>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</si>
  <si>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</si>
  <si>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</si>
  <si>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</si>
  <si>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</si>
  <si>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</si>
  <si>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</si>
  <si>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</si>
  <si>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</si>
  <si>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</si>
  <si>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</si>
  <si>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</si>
  <si>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</si>
  <si>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</si>
  <si>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</si>
  <si>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</si>
  <si>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</si>
  <si>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</si>
  <si>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</si>
  <si>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</si>
  <si>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</si>
  <si>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</si>
  <si>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</si>
  <si>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</si>
  <si>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</si>
  <si>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</si>
  <si>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</si>
  <si>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</si>
  <si>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</si>
  <si>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</si>
  <si>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</si>
  <si>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</si>
  <si>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</si>
  <si>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</si>
  <si>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</si>
  <si>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</si>
  <si>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</si>
  <si>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</si>
  <si>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</si>
  <si>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</si>
  <si>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</si>
  <si>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</si>
  <si>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</si>
  <si>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</si>
  <si>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</si>
  <si>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</si>
  <si>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</si>
  <si>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</si>
  <si>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</si>
  <si>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</si>
  <si>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</si>
  <si>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</si>
  <si>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</si>
  <si>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</si>
  <si>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</si>
  <si>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</si>
  <si>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</si>
  <si>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</si>
  <si>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</si>
  <si>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</si>
  <si>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</si>
  <si>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</si>
  <si>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</si>
  <si>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</si>
  <si>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</si>
  <si>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</si>
  <si>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</si>
  <si>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</si>
  <si>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</si>
  <si>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</si>
  <si>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</si>
  <si>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</si>
  <si>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</si>
  <si>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</si>
  <si>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</si>
  <si>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</si>
  <si>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</si>
  <si>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</si>
  <si>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</si>
  <si>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</si>
  <si>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</si>
  <si>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</si>
  <si>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</si>
  <si>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</si>
  <si>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</si>
  <si>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</si>
  <si>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</si>
  <si>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</si>
  <si>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</si>
  <si>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</si>
  <si>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</si>
  <si>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</si>
  <si>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</si>
  <si>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</si>
  <si>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</si>
  <si>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</si>
  <si>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</si>
  <si>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</si>
  <si>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</si>
  <si>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</si>
  <si>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</si>
  <si>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</si>
  <si>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</si>
  <si>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</si>
  <si>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</si>
  <si>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</si>
  <si>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</si>
  <si>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</si>
  <si>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</si>
  <si>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</si>
  <si>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</si>
  <si>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</si>
  <si>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</si>
  <si>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</si>
  <si>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</si>
  <si>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</si>
  <si>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</si>
  <si>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</si>
  <si>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</si>
  <si>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</si>
  <si>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</si>
  <si>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</si>
  <si>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</si>
  <si>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</si>
  <si>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</si>
  <si>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</si>
  <si>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</si>
  <si>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</si>
  <si>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</si>
  <si>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</si>
  <si>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</si>
  <si>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</si>
  <si>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</si>
  <si>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</si>
  <si>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</si>
  <si>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</si>
  <si>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</si>
  <si>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</si>
  <si>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</si>
  <si>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</si>
  <si>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</si>
  <si>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</si>
  <si>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</si>
  <si>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</si>
  <si>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</si>
  <si>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</si>
  <si>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</si>
  <si>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</si>
  <si>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</si>
  <si>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</si>
  <si>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</si>
  <si>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</si>
  <si>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</si>
  <si>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</si>
  <si>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</si>
  <si>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</si>
  <si>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</si>
  <si>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</si>
  <si>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</si>
  <si>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</si>
  <si>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</si>
  <si>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</si>
  <si>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</si>
  <si>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</si>
  <si>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</si>
  <si>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</si>
  <si>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</si>
  <si>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</si>
  <si>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</si>
  <si>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</si>
  <si>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</si>
  <si>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</si>
  <si>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</si>
  <si>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</si>
  <si>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</si>
  <si>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</si>
  <si>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</si>
  <si>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</si>
  <si>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</si>
  <si>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</si>
  <si>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</si>
  <si>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</si>
  <si>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</si>
  <si>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</si>
  <si>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</si>
  <si>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</si>
  <si>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</si>
  <si>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</si>
  <si>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</si>
  <si>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</si>
  <si>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</si>
  <si>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</si>
  <si>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</si>
  <si>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</si>
  <si>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</si>
  <si>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</si>
  <si>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</si>
  <si>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</si>
  <si>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</si>
  <si>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</si>
  <si>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</si>
  <si>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</si>
  <si>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</si>
  <si>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</si>
  <si>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</si>
  <si>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</si>
  <si>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</si>
  <si>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</si>
  <si>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</si>
  <si>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</si>
  <si>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</si>
  <si>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</si>
  <si>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</si>
  <si>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</si>
  <si>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</si>
  <si>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</si>
  <si>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</si>
  <si>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</si>
  <si>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</si>
  <si>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</si>
  <si>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</si>
  <si>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</si>
  <si>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</si>
  <si>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</si>
  <si>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</si>
  <si>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</si>
  <si>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</si>
  <si>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</si>
  <si>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</si>
  <si>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</si>
  <si>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</si>
  <si>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</si>
  <si>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</si>
  <si>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</si>
  <si>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</si>
  <si>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</si>
  <si>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</si>
  <si>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</si>
  <si>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</si>
  <si>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</si>
  <si>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</si>
  <si>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</si>
  <si>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</si>
  <si>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</si>
  <si>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</si>
  <si>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</si>
  <si>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</si>
  <si>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</si>
  <si>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</si>
  <si>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</si>
  <si>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</si>
  <si>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</si>
  <si>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</si>
  <si>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</si>
  <si>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</si>
  <si>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</si>
  <si>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</si>
  <si>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</si>
  <si>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</si>
  <si>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</si>
  <si>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</si>
  <si>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</si>
  <si>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</si>
  <si>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</si>
  <si>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</si>
  <si>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</si>
  <si>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</si>
  <si>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</si>
  <si>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</si>
  <si>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</si>
  <si>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</si>
  <si>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</si>
  <si>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</si>
  <si>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</si>
  <si>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</si>
  <si>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</si>
  <si>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</si>
  <si>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</si>
  <si>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</si>
  <si>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</si>
  <si>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</si>
  <si>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</si>
  <si>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</si>
  <si>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</si>
  <si>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</si>
  <si>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</si>
  <si>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</si>
  <si>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</si>
  <si>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</si>
  <si>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</si>
  <si>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</si>
  <si>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</si>
  <si>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</si>
  <si>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</si>
  <si>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</si>
  <si>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</si>
  <si>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</si>
  <si>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</si>
  <si>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</si>
  <si>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</si>
  <si>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</si>
  <si>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</si>
  <si>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</si>
  <si>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</si>
  <si>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</si>
  <si>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</si>
  <si>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</si>
  <si>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</si>
  <si>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</si>
  <si>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</si>
  <si>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</si>
  <si>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</si>
  <si>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</si>
  <si>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</si>
  <si>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</si>
  <si>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</si>
  <si>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</si>
  <si>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</si>
  <si>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</si>
  <si>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</si>
  <si>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</si>
  <si>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</si>
  <si>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</si>
  <si>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</si>
  <si>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</si>
  <si>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</si>
  <si>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</si>
  <si>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</si>
  <si>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</si>
  <si>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</si>
  <si>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</si>
  <si>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</si>
  <si>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</si>
  <si>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</si>
  <si>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</si>
  <si>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</si>
  <si>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</si>
  <si>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</si>
  <si>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</si>
  <si>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</si>
  <si>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</si>
  <si>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</si>
  <si>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</si>
  <si>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</si>
  <si>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</si>
  <si>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</si>
  <si>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</si>
  <si>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</si>
  <si>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</si>
  <si>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</si>
  <si>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</si>
  <si>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</si>
  <si>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</si>
  <si>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</si>
  <si>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</si>
  <si>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</si>
  <si>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</si>
  <si>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</si>
  <si>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</si>
  <si>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</si>
  <si>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</si>
  <si>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</si>
  <si>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</si>
  <si>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</si>
  <si>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</si>
  <si>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</si>
  <si>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</si>
  <si>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</si>
  <si>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</si>
  <si>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</si>
  <si>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</si>
  <si>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</si>
  <si>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</si>
  <si>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</si>
  <si>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</si>
  <si>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</si>
  <si>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</si>
  <si>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</si>
  <si>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</si>
  <si>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</si>
  <si>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</si>
  <si>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</si>
  <si>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</si>
  <si>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</si>
  <si>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</si>
  <si>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</si>
  <si>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</si>
  <si>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</si>
  <si>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</si>
  <si>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</si>
  <si>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</si>
  <si>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</si>
  <si>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</si>
  <si>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</si>
  <si>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</si>
  <si>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</si>
  <si>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</si>
  <si>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</si>
  <si>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</si>
  <si>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</si>
  <si>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</si>
  <si>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</si>
  <si>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</si>
  <si>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</si>
  <si>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</si>
  <si>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</si>
  <si>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</si>
  <si>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</si>
  <si>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</si>
  <si>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</si>
  <si>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</si>
  <si>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</si>
  <si>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</si>
  <si>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</si>
  <si>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</si>
  <si>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</si>
  <si>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</si>
  <si>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</si>
  <si>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</si>
  <si>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</si>
  <si>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</si>
  <si>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</si>
  <si>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</si>
  <si>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</si>
  <si>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</si>
  <si>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</si>
  <si>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</si>
  <si>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</si>
  <si>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</si>
  <si>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</si>
  <si>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</si>
  <si>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</si>
  <si>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</si>
  <si>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</si>
  <si>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</si>
  <si>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</si>
  <si>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</si>
  <si>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</si>
  <si>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</si>
  <si>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</si>
  <si>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</si>
  <si>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</si>
  <si>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</si>
  <si>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</si>
  <si>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</si>
  <si>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</si>
  <si>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</si>
  <si>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</si>
  <si>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</si>
  <si>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</si>
  <si>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</si>
  <si>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</si>
  <si>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</si>
  <si>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</si>
  <si>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</si>
  <si>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</si>
  <si>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</si>
  <si>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</si>
  <si>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</si>
  <si>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</si>
  <si>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</si>
  <si>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</si>
  <si>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</si>
  <si>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</si>
  <si>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</si>
  <si>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</si>
  <si>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</si>
  <si>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</si>
  <si>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</si>
  <si>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</si>
  <si>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</si>
  <si>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</si>
  <si>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</si>
  <si>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</si>
  <si>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</si>
  <si>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</si>
  <si>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</si>
  <si>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</si>
  <si>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</si>
  <si>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</si>
  <si>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</si>
  <si>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</si>
  <si>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</si>
  <si>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</si>
  <si>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</si>
  <si>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</si>
  <si>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</si>
  <si>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</si>
  <si>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</si>
  <si>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</si>
  <si>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</si>
  <si>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</si>
  <si>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</si>
  <si>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</si>
  <si>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</si>
  <si>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</si>
  <si>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</si>
  <si>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</si>
  <si>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</si>
  <si>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</si>
  <si>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</si>
  <si>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</si>
  <si>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</si>
  <si>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</si>
  <si>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</si>
  <si>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</si>
  <si>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</si>
  <si>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</si>
  <si>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</si>
  <si>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</si>
  <si>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</si>
  <si>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</si>
  <si>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</si>
  <si>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</si>
  <si>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</si>
  <si>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</si>
  <si>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</si>
  <si>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</si>
  <si>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</si>
  <si>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</si>
  <si>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</si>
  <si>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</si>
  <si>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</si>
  <si>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</si>
  <si>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</si>
  <si>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</si>
  <si>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</si>
  <si>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</si>
  <si>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</si>
  <si>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</si>
  <si>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</si>
  <si>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</si>
  <si>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</si>
  <si>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</si>
  <si>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</si>
  <si>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</si>
  <si>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</si>
  <si>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</si>
  <si>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</si>
  <si>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</si>
  <si>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</si>
  <si>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</si>
  <si>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</si>
  <si>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</si>
  <si>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</si>
  <si>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</si>
  <si>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</si>
  <si>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</si>
  <si>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</si>
  <si>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</si>
  <si>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</si>
  <si>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</si>
  <si>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</si>
  <si>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</si>
  <si>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</si>
  <si>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</si>
  <si>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</si>
  <si>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</si>
  <si>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</si>
  <si>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</si>
  <si>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</si>
  <si>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</si>
  <si>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</si>
  <si>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</si>
  <si>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</si>
  <si>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</si>
  <si>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</si>
  <si>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</si>
  <si>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</si>
  <si>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</si>
  <si>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</si>
  <si>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</si>
  <si>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</si>
  <si>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</si>
  <si>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</si>
  <si>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</si>
  <si>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</si>
  <si>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</si>
  <si>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</si>
  <si>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</si>
  <si>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</si>
  <si>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</si>
  <si>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</si>
  <si>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</si>
  <si>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</si>
  <si>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</si>
  <si>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</si>
  <si>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</si>
  <si>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</si>
  <si>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</si>
  <si>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</si>
  <si>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</si>
  <si>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</si>
  <si>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</si>
  <si>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</si>
  <si>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</si>
  <si>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</si>
  <si>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</si>
  <si>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</si>
  <si>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</si>
  <si>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</si>
  <si>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</si>
  <si>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</si>
  <si>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</si>
  <si>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</si>
  <si>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</si>
  <si>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</si>
  <si>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</si>
  <si>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</si>
  <si>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</si>
  <si>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</si>
  <si>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</si>
  <si>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</si>
  <si>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</si>
  <si>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</si>
  <si>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</si>
  <si>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</si>
  <si>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</si>
  <si>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</si>
  <si>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</si>
  <si>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</si>
  <si>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</si>
  <si>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</si>
  <si>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</si>
  <si>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</si>
  <si>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</si>
  <si>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</si>
  <si>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</si>
  <si>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</si>
  <si>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</si>
  <si>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</si>
  <si>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</si>
  <si>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</si>
  <si>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</si>
  <si>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</si>
  <si>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</si>
  <si>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</si>
  <si>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</si>
  <si>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</si>
  <si>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Delivery Days</t>
  </si>
  <si>
    <t>Order Flag</t>
  </si>
  <si>
    <t>Order performance</t>
  </si>
  <si>
    <t>Customer Name</t>
  </si>
  <si>
    <t>Product Name</t>
  </si>
  <si>
    <t>Region Manager</t>
  </si>
  <si>
    <t>Sum of SalesAmount</t>
  </si>
  <si>
    <t>Row Labels</t>
  </si>
  <si>
    <t>Grand Total</t>
  </si>
  <si>
    <t>Column Labels</t>
  </si>
  <si>
    <t>Delivery Category</t>
  </si>
  <si>
    <t>Count of OrderID</t>
  </si>
  <si>
    <t>Average of Delivery Days</t>
  </si>
  <si>
    <t>Completed</t>
  </si>
  <si>
    <r>
      <t>●</t>
    </r>
    <r>
      <rPr>
        <sz val="7"/>
        <color theme="1"/>
        <rFont val="Times New Roman"/>
        <family val="1"/>
      </rPr>
      <t xml:space="preserve">       </t>
    </r>
    <r>
      <rPr>
        <sz val="11"/>
        <color theme="1"/>
        <rFont val="Calibri"/>
        <family val="2"/>
        <scheme val="minor"/>
      </rPr>
      <t>Total Sales by Region &amp; Category</t>
    </r>
  </si>
  <si>
    <r>
      <t>●</t>
    </r>
    <r>
      <rPr>
        <sz val="7"/>
        <color theme="1"/>
        <rFont val="Times New Roman"/>
        <family val="1"/>
      </rPr>
      <t xml:space="preserve">       </t>
    </r>
    <r>
      <rPr>
        <sz val="11"/>
        <color theme="1"/>
        <rFont val="Calibri"/>
        <family val="2"/>
        <scheme val="minor"/>
      </rPr>
      <t>Count of Orders by Delivery Status</t>
    </r>
  </si>
  <si>
    <r>
      <t>●</t>
    </r>
    <r>
      <rPr>
        <sz val="7"/>
        <color theme="1"/>
        <rFont val="Times New Roman"/>
        <family val="1"/>
      </rPr>
      <t xml:space="preserve">       </t>
    </r>
    <r>
      <rPr>
        <sz val="11"/>
        <color theme="1"/>
        <rFont val="Calibri"/>
        <family val="2"/>
        <scheme val="minor"/>
      </rPr>
      <t>Avg Delivery Time by Region</t>
    </r>
  </si>
  <si>
    <r>
      <t>●</t>
    </r>
    <r>
      <rPr>
        <sz val="7"/>
        <color theme="1"/>
        <rFont val="Times New Roman"/>
        <family val="1"/>
      </rPr>
      <t xml:space="preserve">       </t>
    </r>
    <r>
      <rPr>
        <sz val="11"/>
        <color theme="1"/>
        <rFont val="Calibri"/>
        <family val="2"/>
        <scheme val="minor"/>
      </rPr>
      <t>Sales by Payment Method</t>
    </r>
  </si>
  <si>
    <t>KPIs</t>
  </si>
  <si>
    <t>Total Revenue</t>
  </si>
  <si>
    <t>Total order</t>
  </si>
  <si>
    <t>Total customer</t>
  </si>
  <si>
    <t>Count of CustomerID</t>
  </si>
  <si>
    <t>Count of Delivery Category</t>
  </si>
  <si>
    <t>Cancellation rate</t>
  </si>
  <si>
    <t>Fast delivert %</t>
  </si>
  <si>
    <t>Fast</t>
  </si>
  <si>
    <t>Slow</t>
  </si>
  <si>
    <t>Count of Order performance</t>
  </si>
  <si>
    <t>Count of Order Flag</t>
  </si>
  <si>
    <t>January</t>
  </si>
  <si>
    <t>February</t>
  </si>
  <si>
    <t>March</t>
  </si>
  <si>
    <t>April</t>
  </si>
  <si>
    <t>May</t>
  </si>
  <si>
    <t>Order Month</t>
  </si>
  <si>
    <t>Delivery_Months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</si>
</sst>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quot;₹&quot;\ #,##0.00"/>
  </numFmts>
  <fonts count="9">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sz val="10"/>
      <color theme="1"/>
      <name val="Noto Sans Symbols"/>
    </font>
    <font>
      <sz val="7"/>
      <color theme="1"/>
      <name val="Times New Roman"/>
      <family val="1"/>
    </font>
    <font>
      <b/>
      <sz val="11"/>
      <color theme="1"/>
      <name val="Calibri"/>
      <family val="2"/>
    </font>
  </fonts>
  <fills count="3">
    <fill>
      <patternFill patternType="none"/>
    </fill>
    <fill>
      <patternFill patternType="gray125"/>
    </fill>
    <fill>
      <patternFill patternType="solid">
        <fgColor rgb="FFF5F7FA"/>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2" fillId="0" borderId="1" xfId="0" applyFont="1" applyBorder="1" applyAlignment="1">
      <alignment horizontal="center" vertical="top"/>
    </xf>
    <xf numFmtId="0" fontId="3" fillId="0" borderId="0" xfId="0" applyFont="1"/>
    <xf numFmtId="14" fontId="4" fillId="0" borderId="0" xfId="0" applyNumberFormat="1" applyFont="1"/>
    <xf numFmtId="14" fontId="0" fillId="0" borderId="0" xfId="0" applyNumberFormat="1"/>
    <xf numFmtId="0" fontId="2" fillId="0" borderId="2" xfId="0"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6" fillId="0" borderId="0" xfId="0" applyFont="1" applyAlignment="1">
      <alignment horizontal="left" vertical="center" indent="5"/>
    </xf>
    <xf numFmtId="0" fontId="1" fillId="0" borderId="0" xfId="0" applyFont="1"/>
    <xf numFmtId="10" fontId="0" fillId="0" borderId="0" xfId="0" applyNumberFormat="1"/>
    <xf numFmtId="0" fontId="0" fillId="2" borderId="0" xfId="0" applyFill="1"/>
    <xf numFmtId="172" fontId="0" fillId="0" borderId="0" xfId="0" applyNumberFormat="1"/>
    <xf numFmtId="0" fontId="5" fillId="2" borderId="0" xfId="0" applyFont="1" applyFill="1"/>
    <xf numFmtId="0" fontId="8" fillId="0" borderId="2" xfId="0" applyFont="1" applyBorder="1" applyAlignment="1">
      <alignment horizontal="center" vertical="top"/>
    </xf>
  </cellXfs>
  <cellStyles count="1">
    <cellStyle name="Normal" xfId="0" builtinId="0"/>
  </cellStyles>
  <dxfs count="4">
    <dxf>
      <fill>
        <patternFill>
          <bgColor rgb="FFE93605"/>
        </patternFill>
      </fill>
    </dxf>
    <dxf>
      <numFmt numFmtId="2" formatCode="0.00"/>
    </dxf>
    <dxf>
      <numFmt numFmtId="2" formatCode="0.00"/>
    </dxf>
    <dxf>
      <numFmt numFmtId="2" formatCode="0.00"/>
    </dxf>
  </dxfs>
  <tableStyles count="1" defaultTableStyle="TableStyleMedium2" defaultPivotStyle="PivotStyleLight16">
    <tableStyle name="Slicer Style 1" pivot="0" table="0" count="1" xr9:uid="{7527B42E-A038-4BAF-9CA4-5092F01014AA}">
      <tableStyleElement type="wholeTable" dxfId="0"/>
    </tableStyle>
  </tableStyles>
  <colors>
    <mruColors>
      <color rgb="FF172337"/>
      <color rgb="FFE93605"/>
      <color rgb="FFF09120"/>
      <color rgb="FF20A464"/>
      <color rgb="FFE85D5D"/>
      <color rgb="FF2874F0"/>
      <color rgb="FFFFCC00"/>
      <color rgb="FFF5F7FA"/>
      <color rgb="FFF5F8F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[Flipkart_Sales_Dataset.xlsx]pivot!PivotTable1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172337"/>
                </a:solidFill>
              </a:rPr>
              <a:t>Sales Performance by Category &amp; Region</a:t>
            </a:r>
            <a:endParaRPr lang="en-IN" sz="1400" b="0">
              <a:solidFill>
                <a:srgbClr val="172337"/>
              </a:solidFill>
            </a:endParaRPr>
          </a:p>
        </c:rich>
      </c:tx>
      <c:layout>
        <c:manualLayout>
          <c:xMode val="edge"/>
          <c:yMode val="edge"/>
          <c:x val="0.10433429714271265"/>
          <c:y val="4.92779040982143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pivot!$C$5:$C$6</c:f>
              <c:strCache>
                <c:ptCount val="1"/>
                <c:pt idx="0">
                  <c:v>Beauty</c:v>
                </c:pt>
              </c:strCache>
            </c:strRef>
          </c:tx>
          <c:spPr>
            <a:solidFill>
              <a:schemeClr val="accent1"/>
            </a:solidFill>
            <a:ln>
              <a:noFill/>
            </a:ln>
            <a:effectLst/>
          </c:spPr>
          <c:invertIfNegative val="0"/>
          <c:cat>
            <c:strRef>
              <c:f>pivot!$B$7:$B$11</c:f>
              <c:strCache>
                <c:ptCount val="4"/>
                <c:pt idx="0">
                  <c:v>East</c:v>
                </c:pt>
                <c:pt idx="1">
                  <c:v>North</c:v>
                </c:pt>
                <c:pt idx="2">
                  <c:v>South</c:v>
                </c:pt>
                <c:pt idx="3">
                  <c:v>West</c:v>
                </c:pt>
              </c:strCache>
            </c:strRef>
          </c:cat>
          <c:val>
            <c:numRef>
              <c:f>pivot!$C$7:$C$11</c:f>
              <c:numCache>
                <c:formatCode>General</c:formatCode>
                <c:ptCount val="4"/>
                <c:pt idx="0">
                  <c:v>64394.790000000015</c:v>
                </c:pt>
                <c:pt idx="1">
                  <c:v>75766.3</c:v>
                </c:pt>
                <c:pt idx="2">
                  <c:v>62105.819999999985</c:v>
                </c:pt>
                <c:pt idx="3">
                  <c:v>72325.819999999992</c:v>
                </c:pt>
              </c:numCache>
            </c:numRef>
          </c:val>
          <c:extLst>
            <c:ext xmlns:c16="http://schemas.microsoft.com/office/drawing/2014/chart" uri="{C3380CC4-5D6E-409C-BE32-E72D297353CC}">
              <c16:uniqueId val="{00000000-7875-4C4D-A32B-6D3365F14310}"/>
            </c:ext>
          </c:extLst>
        </c:ser>
        <c:ser>
          <c:idx val="1"/>
          <c:order val="1"/>
          <c:tx>
            <c:strRef>
              <c:f>pivot!$D$5:$D$6</c:f>
              <c:strCache>
                <c:ptCount val="1"/>
                <c:pt idx="0">
                  <c:v>Electronics</c:v>
                </c:pt>
              </c:strCache>
            </c:strRef>
          </c:tx>
          <c:spPr>
            <a:solidFill>
              <a:schemeClr val="accent2"/>
            </a:solidFill>
            <a:ln>
              <a:noFill/>
            </a:ln>
            <a:effectLst/>
          </c:spPr>
          <c:invertIfNegative val="0"/>
          <c:cat>
            <c:strRef>
              <c:f>pivot!$B$7:$B$11</c:f>
              <c:strCache>
                <c:ptCount val="4"/>
                <c:pt idx="0">
                  <c:v>East</c:v>
                </c:pt>
                <c:pt idx="1">
                  <c:v>North</c:v>
                </c:pt>
                <c:pt idx="2">
                  <c:v>South</c:v>
                </c:pt>
                <c:pt idx="3">
                  <c:v>West</c:v>
                </c:pt>
              </c:strCache>
            </c:strRef>
          </c:cat>
          <c:val>
            <c:numRef>
              <c:f>pivot!$D$7:$D$11</c:f>
              <c:numCache>
                <c:formatCode>General</c:formatCode>
                <c:ptCount val="4"/>
                <c:pt idx="0">
                  <c:v>98799.05</c:v>
                </c:pt>
                <c:pt idx="1">
                  <c:v>91599.630000000019</c:v>
                </c:pt>
                <c:pt idx="2">
                  <c:v>101312.43999999999</c:v>
                </c:pt>
                <c:pt idx="3">
                  <c:v>81786.520000000019</c:v>
                </c:pt>
              </c:numCache>
            </c:numRef>
          </c:val>
          <c:extLst>
            <c:ext xmlns:c16="http://schemas.microsoft.com/office/drawing/2014/chart" uri="{C3380CC4-5D6E-409C-BE32-E72D297353CC}">
              <c16:uniqueId val="{00000006-7875-4C4D-A32B-6D3365F14310}"/>
            </c:ext>
          </c:extLst>
        </c:ser>
        <c:ser>
          <c:idx val="2"/>
          <c:order val="2"/>
          <c:tx>
            <c:strRef>
              <c:f>pivot!$E$5:$E$6</c:f>
              <c:strCache>
                <c:ptCount val="1"/>
                <c:pt idx="0">
                  <c:v>Fashion</c:v>
                </c:pt>
              </c:strCache>
            </c:strRef>
          </c:tx>
          <c:spPr>
            <a:solidFill>
              <a:schemeClr val="accent3"/>
            </a:solidFill>
            <a:ln>
              <a:noFill/>
            </a:ln>
            <a:effectLst/>
          </c:spPr>
          <c:invertIfNegative val="0"/>
          <c:cat>
            <c:strRef>
              <c:f>pivot!$B$7:$B$11</c:f>
              <c:strCache>
                <c:ptCount val="4"/>
                <c:pt idx="0">
                  <c:v>East</c:v>
                </c:pt>
                <c:pt idx="1">
                  <c:v>North</c:v>
                </c:pt>
                <c:pt idx="2">
                  <c:v>South</c:v>
                </c:pt>
                <c:pt idx="3">
                  <c:v>West</c:v>
                </c:pt>
              </c:strCache>
            </c:strRef>
          </c:cat>
          <c:val>
            <c:numRef>
              <c:f>pivot!$E$7:$E$11</c:f>
              <c:numCache>
                <c:formatCode>General</c:formatCode>
                <c:ptCount val="4"/>
                <c:pt idx="0">
                  <c:v>89735.060000000012</c:v>
                </c:pt>
                <c:pt idx="1">
                  <c:v>96200.3</c:v>
                </c:pt>
                <c:pt idx="2">
                  <c:v>97828.87</c:v>
                </c:pt>
                <c:pt idx="3">
                  <c:v>84219.780000000013</c:v>
                </c:pt>
              </c:numCache>
            </c:numRef>
          </c:val>
          <c:extLst>
            <c:ext xmlns:c16="http://schemas.microsoft.com/office/drawing/2014/chart" uri="{C3380CC4-5D6E-409C-BE32-E72D297353CC}">
              <c16:uniqueId val="{00000007-7875-4C4D-A32B-6D3365F14310}"/>
            </c:ext>
          </c:extLst>
        </c:ser>
        <c:ser>
          <c:idx val="3"/>
          <c:order val="3"/>
          <c:tx>
            <c:strRef>
              <c:f>pivot!$F$5:$F$6</c:f>
              <c:strCache>
                <c:ptCount val="1"/>
                <c:pt idx="0">
                  <c:v>Grocery</c:v>
                </c:pt>
              </c:strCache>
            </c:strRef>
          </c:tx>
          <c:spPr>
            <a:solidFill>
              <a:schemeClr val="accent4"/>
            </a:solidFill>
            <a:ln>
              <a:noFill/>
            </a:ln>
            <a:effectLst/>
          </c:spPr>
          <c:invertIfNegative val="0"/>
          <c:cat>
            <c:strRef>
              <c:f>pivot!$B$7:$B$11</c:f>
              <c:strCache>
                <c:ptCount val="4"/>
                <c:pt idx="0">
                  <c:v>East</c:v>
                </c:pt>
                <c:pt idx="1">
                  <c:v>North</c:v>
                </c:pt>
                <c:pt idx="2">
                  <c:v>South</c:v>
                </c:pt>
                <c:pt idx="3">
                  <c:v>West</c:v>
                </c:pt>
              </c:strCache>
            </c:strRef>
          </c:cat>
          <c:val>
            <c:numRef>
              <c:f>pivot!$F$7:$F$11</c:f>
              <c:numCache>
                <c:formatCode>General</c:formatCode>
                <c:ptCount val="4"/>
                <c:pt idx="0">
                  <c:v>81471.279999999984</c:v>
                </c:pt>
                <c:pt idx="1">
                  <c:v>74627.56</c:v>
                </c:pt>
                <c:pt idx="2">
                  <c:v>93661.090000000011</c:v>
                </c:pt>
                <c:pt idx="3">
                  <c:v>81966.890000000014</c:v>
                </c:pt>
              </c:numCache>
            </c:numRef>
          </c:val>
          <c:extLst>
            <c:ext xmlns:c16="http://schemas.microsoft.com/office/drawing/2014/chart" uri="{C3380CC4-5D6E-409C-BE32-E72D297353CC}">
              <c16:uniqueId val="{00000008-7875-4C4D-A32B-6D3365F14310}"/>
            </c:ext>
          </c:extLst>
        </c:ser>
        <c:ser>
          <c:idx val="4"/>
          <c:order val="4"/>
          <c:tx>
            <c:strRef>
              <c:f>pivot!$G$5:$G$6</c:f>
              <c:strCache>
                <c:ptCount val="1"/>
                <c:pt idx="0">
                  <c:v>Home</c:v>
                </c:pt>
              </c:strCache>
            </c:strRef>
          </c:tx>
          <c:spPr>
            <a:solidFill>
              <a:schemeClr val="accent5"/>
            </a:solidFill>
            <a:ln>
              <a:noFill/>
            </a:ln>
            <a:effectLst/>
          </c:spPr>
          <c:invertIfNegative val="0"/>
          <c:cat>
            <c:strRef>
              <c:f>pivot!$B$7:$B$11</c:f>
              <c:strCache>
                <c:ptCount val="4"/>
                <c:pt idx="0">
                  <c:v>East</c:v>
                </c:pt>
                <c:pt idx="1">
                  <c:v>North</c:v>
                </c:pt>
                <c:pt idx="2">
                  <c:v>South</c:v>
                </c:pt>
                <c:pt idx="3">
                  <c:v>West</c:v>
                </c:pt>
              </c:strCache>
            </c:strRef>
          </c:cat>
          <c:val>
            <c:numRef>
              <c:f>pivot!$G$7:$G$11</c:f>
              <c:numCache>
                <c:formatCode>General</c:formatCode>
                <c:ptCount val="4"/>
                <c:pt idx="0">
                  <c:v>102436.89000000001</c:v>
                </c:pt>
                <c:pt idx="1">
                  <c:v>112197.3</c:v>
                </c:pt>
                <c:pt idx="2">
                  <c:v>112017.03999999998</c:v>
                </c:pt>
                <c:pt idx="3">
                  <c:v>73265.819999999992</c:v>
                </c:pt>
              </c:numCache>
            </c:numRef>
          </c:val>
          <c:extLst>
            <c:ext xmlns:c16="http://schemas.microsoft.com/office/drawing/2014/chart" uri="{C3380CC4-5D6E-409C-BE32-E72D297353CC}">
              <c16:uniqueId val="{00000009-7875-4C4D-A32B-6D3365F14310}"/>
            </c:ext>
          </c:extLst>
        </c:ser>
        <c:dLbls>
          <c:dLblPos val="outEnd"/>
          <c:showLegendKey val="0"/>
          <c:showVal val="0"/>
          <c:showCatName val="0"/>
          <c:showSerName val="0"/>
          <c:showPercent val="0"/>
          <c:showBubbleSize val="0"/>
        </c:dLbls>
        <c:gapWidth val="219"/>
        <c:overlap val="-27"/>
        <c:axId val="1029840847"/>
        <c:axId val="829685103"/>
      </c:barChart>
      <c:catAx>
        <c:axId val="10298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85103"/>
        <c:crosses val="autoZero"/>
        <c:auto val="1"/>
        <c:lblAlgn val="ctr"/>
        <c:lblOffset val="100"/>
        <c:noMultiLvlLbl val="0"/>
      </c:catAx>
      <c:valAx>
        <c:axId val="82968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4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[Flipkart_Sales_Dataset.xlsx]pivot!PivotTable11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172337"/>
                </a:solidFill>
              </a:rPr>
              <a:t>Regional Sales Performance</a:t>
            </a:r>
            <a:endParaRPr lang="en-US">
              <a:solidFill>
                <a:srgbClr val="1723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pivot!$C$40:$C$44</c:f>
              <c:strCache>
                <c:ptCount val="4"/>
                <c:pt idx="0">
                  <c:v>West</c:v>
                </c:pt>
                <c:pt idx="1">
                  <c:v>East</c:v>
                </c:pt>
                <c:pt idx="2">
                  <c:v>North</c:v>
                </c:pt>
                <c:pt idx="3">
                  <c:v>South</c:v>
                </c:pt>
              </c:strCache>
            </c:strRef>
          </c:cat>
          <c:val>
            <c:numRef>
              <c:f>pivot!$D$40:$D$44</c:f>
              <c:numCache>
                <c:formatCode>General</c:formatCode>
                <c:ptCount val="4"/>
                <c:pt idx="0">
                  <c:v>393564.82999999996</c:v>
                </c:pt>
                <c:pt idx="1">
                  <c:v>436837.07</c:v>
                </c:pt>
                <c:pt idx="2">
                  <c:v>450391.09000000008</c:v>
                </c:pt>
                <c:pt idx="3">
                  <c:v>466925.25999999989</c:v>
                </c:pt>
              </c:numCache>
            </c:numRef>
          </c:val>
          <c:extLst>
            <c:ext xmlns:c16="http://schemas.microsoft.com/office/drawing/2014/chart" uri="{C3380CC4-5D6E-409C-BE32-E72D297353CC}">
              <c16:uniqueId val="{00000000-11A3-43BB-BD61-1A2B0C94763F}"/>
            </c:ext>
          </c:extLst>
        </c:ser>
        <c:dLbls>
          <c:dLblPos val="outEnd"/>
          <c:showLegendKey val="0"/>
          <c:showVal val="1"/>
          <c:showCatName val="0"/>
          <c:showSerName val="0"/>
          <c:showPercent val="0"/>
          <c:showBubbleSize val="0"/>
        </c:dLbls>
        <c:gapWidth val="182"/>
        <c:axId val="1018480383"/>
        <c:axId val="829467183"/>
      </c:barChart>
      <c:catAx>
        <c:axId val="101848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467183"/>
        <c:crosses val="autoZero"/>
        <c:auto val="1"/>
        <c:lblAlgn val="ctr"/>
        <c:lblOffset val="100"/>
        <c:noMultiLvlLbl val="0"/>
      </c:catAx>
      <c:valAx>
        <c:axId val="829467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8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[Flipkart_Sales_Dataset.xlsx]pivot!PivotTable12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172337"/>
                </a:solidFill>
              </a:rPr>
              <a:t>Delivery Performance Trend</a:t>
            </a:r>
            <a:endParaRPr lang="en-IN">
              <a:solidFill>
                <a:srgbClr val="1723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09120"/>
            </a:solidFill>
            <a:round/>
          </a:ln>
          <a:effectLst/>
        </c:spPr>
        <c:marker>
          <c:symbol val="circle"/>
          <c:size val="5"/>
          <c:spPr>
            <a:solidFill>
              <a:srgbClr val="F09120"/>
            </a:solidFill>
            <a:ln w="9525">
              <a:solidFill>
                <a:srgbClr val="F0912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0A464"/>
            </a:solidFill>
            <a:round/>
          </a:ln>
          <a:effectLst/>
        </c:spPr>
        <c:marker>
          <c:symbol val="circle"/>
          <c:size val="5"/>
          <c:spPr>
            <a:solidFill>
              <a:srgbClr val="20A464"/>
            </a:solidFill>
            <a:ln w="9525">
              <a:solidFill>
                <a:srgbClr val="20A46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pivot!$D$49:$D$50</c:f>
              <c:strCache>
                <c:ptCount val="1"/>
                <c:pt idx="0">
                  <c:v>Fast</c:v>
                </c:pt>
              </c:strCache>
            </c:strRef>
          </c:tx>
          <c:spPr>
            <a:ln w="28575" cap="rnd">
              <a:solidFill>
                <a:srgbClr val="F09120"/>
              </a:solidFill>
              <a:round/>
            </a:ln>
            <a:effectLst/>
          </c:spPr>
          <c:marker>
            <c:symbol val="circle"/>
            <c:size val="5"/>
            <c:spPr>
              <a:solidFill>
                <a:srgbClr val="F09120"/>
              </a:solidFill>
              <a:ln w="9525">
                <a:solidFill>
                  <a:srgbClr val="F09120"/>
                </a:solidFill>
              </a:ln>
              <a:effectLst/>
            </c:spPr>
          </c:marker>
          <c:cat>
            <c:strRef>
              <c:f>pivot!$C$51:$C$56</c:f>
              <c:strCache>
                <c:ptCount val="5"/>
                <c:pt idx="0">
                  <c:v>January</c:v>
                </c:pt>
                <c:pt idx="1">
                  <c:v>February</c:v>
                </c:pt>
                <c:pt idx="2">
                  <c:v>March</c:v>
                </c:pt>
                <c:pt idx="3">
                  <c:v>April</c:v>
                </c:pt>
                <c:pt idx="4">
                  <c:v>May</c:v>
                </c:pt>
              </c:strCache>
            </c:strRef>
          </c:cat>
          <c:val>
            <c:numRef>
              <c:f>pivot!$D$51:$D$56</c:f>
              <c:numCache>
                <c:formatCode>0.00%</c:formatCode>
                <c:ptCount val="5"/>
                <c:pt idx="0">
                  <c:v>7.7941176470588236E-2</c:v>
                </c:pt>
                <c:pt idx="1">
                  <c:v>7.7941176470588236E-2</c:v>
                </c:pt>
                <c:pt idx="2">
                  <c:v>6.1764705882352944E-2</c:v>
                </c:pt>
                <c:pt idx="3">
                  <c:v>6.3235294117647056E-2</c:v>
                </c:pt>
                <c:pt idx="4">
                  <c:v>8.8235294117647058E-3</c:v>
                </c:pt>
              </c:numCache>
            </c:numRef>
          </c:val>
          <c:smooth val="0"/>
          <c:extLst>
            <c:ext xmlns:c16="http://schemas.microsoft.com/office/drawing/2014/chart" uri="{C3380CC4-5D6E-409C-BE32-E72D297353CC}">
              <c16:uniqueId val="{00000000-1A94-4D50-B7EA-2B32395BF0E5}"/>
            </c:ext>
          </c:extLst>
        </c:ser>
        <c:ser>
          <c:idx val="1"/>
          <c:order val="1"/>
          <c:tx>
            <c:strRef>
              <c:f>pivot!$E$49:$E$50</c:f>
              <c:strCache>
                <c:ptCount val="1"/>
                <c:pt idx="0">
                  <c:v>Slow</c:v>
                </c:pt>
              </c:strCache>
            </c:strRef>
          </c:tx>
          <c:spPr>
            <a:ln w="28575" cap="rnd">
              <a:solidFill>
                <a:srgbClr val="20A464"/>
              </a:solidFill>
              <a:round/>
            </a:ln>
            <a:effectLst/>
          </c:spPr>
          <c:marker>
            <c:symbol val="circle"/>
            <c:size val="5"/>
            <c:spPr>
              <a:solidFill>
                <a:srgbClr val="20A464"/>
              </a:solidFill>
              <a:ln w="9525">
                <a:solidFill>
                  <a:srgbClr val="20A464"/>
                </a:solidFill>
              </a:ln>
              <a:effectLst/>
            </c:spPr>
          </c:marker>
          <c:cat>
            <c:strRef>
              <c:f>pivot!$C$51:$C$56</c:f>
              <c:strCache>
                <c:ptCount val="5"/>
                <c:pt idx="0">
                  <c:v>January</c:v>
                </c:pt>
                <c:pt idx="1">
                  <c:v>February</c:v>
                </c:pt>
                <c:pt idx="2">
                  <c:v>March</c:v>
                </c:pt>
                <c:pt idx="3">
                  <c:v>April</c:v>
                </c:pt>
                <c:pt idx="4">
                  <c:v>May</c:v>
                </c:pt>
              </c:strCache>
            </c:strRef>
          </c:cat>
          <c:val>
            <c:numRef>
              <c:f>pivot!$E$51:$E$56</c:f>
              <c:numCache>
                <c:formatCode>0.00%</c:formatCode>
                <c:ptCount val="5"/>
                <c:pt idx="0">
                  <c:v>0.15</c:v>
                </c:pt>
                <c:pt idx="1">
                  <c:v>0.15441176470588236</c:v>
                </c:pt>
                <c:pt idx="2">
                  <c:v>0.19558823529411765</c:v>
                </c:pt>
                <c:pt idx="3">
                  <c:v>0.17941176470588235</c:v>
                </c:pt>
                <c:pt idx="4">
                  <c:v>3.0882352941176472E-2</c:v>
                </c:pt>
              </c:numCache>
            </c:numRef>
          </c:val>
          <c:smooth val="0"/>
          <c:extLst>
            <c:ext xmlns:c16="http://schemas.microsoft.com/office/drawing/2014/chart" uri="{C3380CC4-5D6E-409C-BE32-E72D297353CC}">
              <c16:uniqueId val="{00000001-1A94-4D50-B7EA-2B32395BF0E5}"/>
            </c:ext>
          </c:extLst>
        </c:ser>
        <c:dLbls>
          <c:showLegendKey val="0"/>
          <c:showVal val="0"/>
          <c:showCatName val="0"/>
          <c:showSerName val="0"/>
          <c:showPercent val="0"/>
          <c:showBubbleSize val="0"/>
        </c:dLbls>
        <c:marker val="1"/>
        <c:smooth val="0"/>
        <c:axId val="1036219215"/>
        <c:axId val="829594863"/>
      </c:lineChart>
      <c:catAx>
        <c:axId val="103621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594863"/>
        <c:crosses val="autoZero"/>
        <c:auto val="1"/>
        <c:lblAlgn val="ctr"/>
        <c:lblOffset val="100"/>
        <c:noMultiLvlLbl val="0"/>
      </c:catAx>
      <c:valAx>
        <c:axId val="8295948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1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[Flipkart_Sales_Dataset.xlsx]pivot!PivotTable13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172337"/>
                </a:solidFill>
              </a:rPr>
              <a:t>Top 5 Products by Sales</a:t>
            </a:r>
            <a:endParaRPr lang="en-US">
              <a:solidFill>
                <a:srgbClr val="1723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pivot!$D$62</c:f>
              <c:strCache>
                <c:ptCount val="1"/>
                <c:pt idx="0">
                  <c:v>Total</c:v>
                </c:pt>
              </c:strCache>
            </c:strRef>
          </c:tx>
          <c:spPr>
            <a:solidFill>
              <a:schemeClr val="accent1"/>
            </a:solidFill>
            <a:ln>
              <a:noFill/>
            </a:ln>
            <a:effectLst/>
          </c:spPr>
          <c:invertIfNegative val="0"/>
          <c:cat>
            <c:strRef>
              <c:f>pivot!$C$63:$C$68</c:f>
              <c:strCache>
                <c:ptCount val="5"/>
                <c:pt idx="0">
                  <c:v>Product_35</c:v>
                </c:pt>
                <c:pt idx="1">
                  <c:v>Product_28</c:v>
                </c:pt>
                <c:pt idx="2">
                  <c:v>Product_46</c:v>
                </c:pt>
                <c:pt idx="3">
                  <c:v>Product_15</c:v>
                </c:pt>
                <c:pt idx="4">
                  <c:v>Product_13</c:v>
                </c:pt>
              </c:strCache>
            </c:strRef>
          </c:cat>
          <c:val>
            <c:numRef>
              <c:f>pivot!$D$63:$D$68</c:f>
              <c:numCache>
                <c:formatCode>General</c:formatCode>
                <c:ptCount val="5"/>
                <c:pt idx="0">
                  <c:v>65586.31</c:v>
                </c:pt>
                <c:pt idx="1">
                  <c:v>58749.75</c:v>
                </c:pt>
                <c:pt idx="2">
                  <c:v>54977.659999999996</c:v>
                </c:pt>
                <c:pt idx="3">
                  <c:v>53793.62999999999</c:v>
                </c:pt>
                <c:pt idx="4">
                  <c:v>51151.06</c:v>
                </c:pt>
              </c:numCache>
            </c:numRef>
          </c:val>
          <c:extLst>
            <c:ext xmlns:c16="http://schemas.microsoft.com/office/drawing/2014/chart" uri="{C3380CC4-5D6E-409C-BE32-E72D297353CC}">
              <c16:uniqueId val="{00000000-5981-486E-A407-088D6C8D47AB}"/>
            </c:ext>
          </c:extLst>
        </c:ser>
        <c:dLbls>
          <c:showLegendKey val="0"/>
          <c:showVal val="0"/>
          <c:showCatName val="0"/>
          <c:showSerName val="0"/>
          <c:showPercent val="0"/>
          <c:showBubbleSize val="0"/>
        </c:dLbls>
        <c:gapWidth val="219"/>
        <c:overlap val="-27"/>
        <c:axId val="1036236847"/>
        <c:axId val="585020079"/>
      </c:barChart>
      <c:catAx>
        <c:axId val="10362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020079"/>
        <c:crosses val="autoZero"/>
        <c:auto val="1"/>
        <c:lblAlgn val="ctr"/>
        <c:lblOffset val="100"/>
        <c:noMultiLvlLbl val="0"/>
      </c:catAx>
      <c:valAx>
        <c:axId val="58502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3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[Flipkart_Sales_Dataset.xlsx]pivot!PivotTable15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172337"/>
                </a:solidFill>
              </a:rPr>
              <a:t>Monthly Order Trend</a:t>
            </a:r>
            <a:endParaRPr lang="en-US">
              <a:solidFill>
                <a:srgbClr val="1723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pivot!$J$69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pivot!$I$70:$I$75</c:f>
              <c:strCache>
                <c:ptCount val="5"/>
                <c:pt idx="0">
                  <c:v>January</c:v>
                </c:pt>
                <c:pt idx="1">
                  <c:v>February</c:v>
                </c:pt>
                <c:pt idx="2">
                  <c:v>March</c:v>
                </c:pt>
                <c:pt idx="3">
                  <c:v>April</c:v>
                </c:pt>
                <c:pt idx="4">
                  <c:v>May</c:v>
                </c:pt>
              </c:strCache>
            </c:strRef>
          </c:cat>
          <c:val>
            <c:numRef>
              <c:f>pivot!$J$70:$J$75</c:f>
              <c:numCache>
                <c:formatCode>General</c:formatCode>
                <c:ptCount val="5"/>
                <c:pt idx="0">
                  <c:v>254</c:v>
                </c:pt>
                <c:pt idx="1">
                  <c:v>217</c:v>
                </c:pt>
                <c:pt idx="2">
                  <c:v>261</c:v>
                </c:pt>
                <c:pt idx="3">
                  <c:v>257</c:v>
                </c:pt>
                <c:pt idx="4">
                  <c:v>11</c:v>
                </c:pt>
              </c:numCache>
            </c:numRef>
          </c:val>
          <c:smooth val="0"/>
          <c:extLst>
            <c:ext xmlns:c16="http://schemas.microsoft.com/office/drawing/2014/chart" uri="{C3380CC4-5D6E-409C-BE32-E72D297353CC}">
              <c16:uniqueId val="{00000000-41AA-4074-A424-CA0856182F71}"/>
            </c:ext>
          </c:extLst>
        </c:ser>
        <c:dLbls>
          <c:showLegendKey val="0"/>
          <c:showVal val="0"/>
          <c:showCatName val="0"/>
          <c:showSerName val="0"/>
          <c:showPercent val="0"/>
          <c:showBubbleSize val="0"/>
        </c:dLbls>
        <c:marker val="1"/>
        <c:smooth val="0"/>
        <c:axId val="1183485999"/>
        <c:axId val="433896335"/>
      </c:lineChart>
      <c:catAx>
        <c:axId val="118348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96335"/>
        <c:crosses val="autoZero"/>
        <c:auto val="1"/>
        <c:lblAlgn val="ctr"/>
        <c:lblOffset val="100"/>
        <c:noMultiLvlLbl val="0"/>
      </c:catAx>
      <c:valAx>
        <c:axId val="43389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48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[Flipkart_Sales_Dataset.xlsx]pivot!PivotTable10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172337"/>
                </a:solidFill>
              </a:rPr>
              <a:t>Cancellation Rate by Payment Method</a:t>
            </a:r>
            <a:endParaRPr lang="en-US">
              <a:solidFill>
                <a:srgbClr val="1723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1848958333333273E-2"/>
              <c:y val="-8.1184336198662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8359374999999875E-2"/>
              <c:y val="2.3877745940783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8828125E-2"/>
              <c:y val="8.5959885386819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4869791666666671E-2"/>
              <c:y val="-2.3877745940783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2083333333333336E-2"/>
              <c:y val="-6.2082139446036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pivot!$I$28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48-4F21-B1C8-A1850FF63B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48-4F21-B1C8-A1850FF63B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48-4F21-B1C8-A1850FF63B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48-4F21-B1C8-A1850FF63B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48-4F21-B1C8-A1850FF63B61}"/>
              </c:ext>
            </c:extLst>
          </c:dPt>
          <c:dLbls>
            <c:dLbl>
              <c:idx val="0"/>
              <c:layout>
                <c:manualLayout>
                  <c:x val="6.1848958333333273E-2"/>
                  <c:y val="-8.1184336198662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48-4F21-B1C8-A1850FF63B61}"/>
                </c:ext>
              </c:extLst>
            </c:dLbl>
            <c:dLbl>
              <c:idx val="1"/>
              <c:layout>
                <c:manualLayout>
                  <c:x val="6.8359374999999875E-2"/>
                  <c:y val="2.3877745940783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48-4F21-B1C8-A1850FF63B61}"/>
                </c:ext>
              </c:extLst>
            </c:dLbl>
            <c:dLbl>
              <c:idx val="2"/>
              <c:layout>
                <c:manualLayout>
                  <c:x val="-4.8828125E-2"/>
                  <c:y val="8.59598853868194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48-4F21-B1C8-A1850FF63B61}"/>
                </c:ext>
              </c:extLst>
            </c:dLbl>
            <c:dLbl>
              <c:idx val="3"/>
              <c:layout>
                <c:manualLayout>
                  <c:x val="-7.4869791666666671E-2"/>
                  <c:y val="-2.3877745940783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48-4F21-B1C8-A1850FF63B61}"/>
                </c:ext>
              </c:extLst>
            </c:dLbl>
            <c:dLbl>
              <c:idx val="4"/>
              <c:layout>
                <c:manualLayout>
                  <c:x val="-5.2083333333333336E-2"/>
                  <c:y val="-6.2082139446036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48-4F21-B1C8-A1850FF63B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pivot!$H$29:$H$34</c:f>
              <c:strCache>
                <c:ptCount val="5"/>
                <c:pt idx="0">
                  <c:v>UPI</c:v>
                </c:pt>
                <c:pt idx="1">
                  <c:v>Debit Card</c:v>
                </c:pt>
                <c:pt idx="2">
                  <c:v>Credit Card</c:v>
                </c:pt>
                <c:pt idx="3">
                  <c:v>Net Banking</c:v>
                </c:pt>
                <c:pt idx="4">
                  <c:v>COD</c:v>
                </c:pt>
              </c:strCache>
            </c:strRef>
          </c:cat>
          <c:val>
            <c:numRef>
              <c:f>pivot!$I$29:$I$34</c:f>
              <c:numCache>
                <c:formatCode>0.00%</c:formatCode>
                <c:ptCount val="5"/>
                <c:pt idx="0">
                  <c:v>0.234375</c:v>
                </c:pt>
                <c:pt idx="1">
                  <c:v>0.20937500000000001</c:v>
                </c:pt>
                <c:pt idx="2">
                  <c:v>0.20624999999999999</c:v>
                </c:pt>
                <c:pt idx="3">
                  <c:v>0.1875</c:v>
                </c:pt>
                <c:pt idx="4">
                  <c:v>0.16250000000000001</c:v>
                </c:pt>
              </c:numCache>
            </c:numRef>
          </c:val>
          <c:extLst>
            <c:ext xmlns:c16="http://schemas.microsoft.com/office/drawing/2014/chart" uri="{C3380CC4-5D6E-409C-BE32-E72D297353CC}">
              <c16:uniqueId val="{0000000A-5B48-4F21-B1C8-A1850FF63B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91440</xdr:rowOff>
    </xdr:from>
    <xdr:to>
      <xdr:col>23</xdr:col>
      <xdr:colOff>396240</xdr:colOff>
      <xdr:row>4</xdr:row>
      <xdr:rowOff>7620</xdr:rowOff>
    </xdr:to>
    <xdr:sp macro="" textlink="">
      <xdr:nvSpPr>
        <xdr:cNvPr id="3" name="Rectangle: Rounded Corners 2">
          <a:extLst>
            <a:ext uri="{FF2B5EF4-FFF2-40B4-BE49-F238E27FC236}">
              <a16:creationId xmlns:a16="http://schemas.microsoft.com/office/drawing/2014/main" id="{BEC0CF24-5D49-E0C9-5C65-28F7E718F752}"/>
            </a:ext>
          </a:extLst>
        </xdr:cNvPr>
        <xdr:cNvSpPr/>
      </xdr:nvSpPr>
      <xdr:spPr>
        <a:xfrm>
          <a:off x="129540" y="91440"/>
          <a:ext cx="14287500" cy="647700"/>
        </a:xfrm>
        <a:prstGeom prst="roundRect">
          <a:avLst/>
        </a:prstGeom>
        <a:solidFill>
          <a:srgbClr val="2874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Sales</a:t>
          </a:r>
          <a:r>
            <a:rPr lang="en-IN" sz="2000" b="1" baseline="0"/>
            <a:t> &amp; Delivery Performance Dashboard</a:t>
          </a:r>
        </a:p>
      </xdr:txBody>
    </xdr:sp>
    <xdr:clientData/>
  </xdr:twoCellAnchor>
  <xdr:twoCellAnchor>
    <xdr:from>
      <xdr:col>3</xdr:col>
      <xdr:colOff>76200</xdr:colOff>
      <xdr:row>4</xdr:row>
      <xdr:rowOff>36515</xdr:rowOff>
    </xdr:from>
    <xdr:to>
      <xdr:col>7</xdr:col>
      <xdr:colOff>38100</xdr:colOff>
      <xdr:row>7</xdr:row>
      <xdr:rowOff>76201</xdr:rowOff>
    </xdr:to>
    <xdr:grpSp>
      <xdr:nvGrpSpPr>
        <xdr:cNvPr id="21" name="Group 20">
          <a:extLst>
            <a:ext uri="{FF2B5EF4-FFF2-40B4-BE49-F238E27FC236}">
              <a16:creationId xmlns:a16="http://schemas.microsoft.com/office/drawing/2014/main" id="{782B220D-04F7-4257-7953-AB5E3442FC87}"/>
            </a:ext>
          </a:extLst>
        </xdr:cNvPr>
        <xdr:cNvGrpSpPr/>
      </xdr:nvGrpSpPr>
      <xdr:grpSpPr>
        <a:xfrm>
          <a:off x="1905000" y="768035"/>
          <a:ext cx="2400300" cy="588326"/>
          <a:chOff x="693420" y="942876"/>
          <a:chExt cx="2621280" cy="772025"/>
        </a:xfrm>
      </xdr:grpSpPr>
      <xdr:grpSp>
        <xdr:nvGrpSpPr>
          <xdr:cNvPr id="6" name="Group 5">
            <a:extLst>
              <a:ext uri="{FF2B5EF4-FFF2-40B4-BE49-F238E27FC236}">
                <a16:creationId xmlns:a16="http://schemas.microsoft.com/office/drawing/2014/main" id="{E0CF8B80-AA37-8CF8-B690-201DCFEBD070}"/>
              </a:ext>
            </a:extLst>
          </xdr:cNvPr>
          <xdr:cNvGrpSpPr/>
        </xdr:nvGrpSpPr>
        <xdr:grpSpPr>
          <a:xfrm>
            <a:off x="693420" y="942876"/>
            <a:ext cx="2621280" cy="772025"/>
            <a:chOff x="1173480" y="767616"/>
            <a:chExt cx="2209800" cy="772025"/>
          </a:xfrm>
        </xdr:grpSpPr>
        <xdr:sp macro="" textlink="pivot!M7">
          <xdr:nvSpPr>
            <xdr:cNvPr id="4" name="Rectangle: Rounded Corners 3">
              <a:extLst>
                <a:ext uri="{FF2B5EF4-FFF2-40B4-BE49-F238E27FC236}">
                  <a16:creationId xmlns:a16="http://schemas.microsoft.com/office/drawing/2014/main" id="{4BCE76A1-94B6-2C3E-0E73-9963A2D80FCA}"/>
                </a:ext>
              </a:extLst>
            </xdr:cNvPr>
            <xdr:cNvSpPr/>
          </xdr:nvSpPr>
          <xdr:spPr>
            <a:xfrm>
              <a:off x="1173480" y="769621"/>
              <a:ext cx="2209800" cy="77002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1" i="0" u="none" strike="noStrike">
                  <a:solidFill>
                    <a:srgbClr val="172337"/>
                  </a:solidFill>
                  <a:latin typeface="Calibri"/>
                  <a:ea typeface="Calibri"/>
                  <a:cs typeface="Calibri"/>
                </a:rPr>
                <a:t>          </a:t>
              </a:r>
              <a:fld id="{7C4BAA7A-E1DA-4CD0-BA47-7EB31CADB91D}" type="TxLink">
                <a:rPr lang="en-US" sz="1600" b="1" i="0" u="none" strike="noStrike">
                  <a:solidFill>
                    <a:srgbClr val="172337"/>
                  </a:solidFill>
                  <a:latin typeface="Calibri"/>
                  <a:ea typeface="Calibri"/>
                  <a:cs typeface="Calibri"/>
                </a:rPr>
                <a:pPr algn="ctr"/>
                <a:t>₹ 17,47,718.25</a:t>
              </a:fld>
              <a:endParaRPr lang="en-IN" sz="1600" b="1">
                <a:solidFill>
                  <a:srgbClr val="172337"/>
                </a:solidFill>
              </a:endParaRPr>
            </a:p>
          </xdr:txBody>
        </xdr:sp>
        <xdr:sp macro="" textlink="">
          <xdr:nvSpPr>
            <xdr:cNvPr id="5" name="TextBox 4">
              <a:extLst>
                <a:ext uri="{FF2B5EF4-FFF2-40B4-BE49-F238E27FC236}">
                  <a16:creationId xmlns:a16="http://schemas.microsoft.com/office/drawing/2014/main" id="{16E7DA53-CEBE-1749-E513-ECD9A6878719}"/>
                </a:ext>
              </a:extLst>
            </xdr:cNvPr>
            <xdr:cNvSpPr txBox="1"/>
          </xdr:nvSpPr>
          <xdr:spPr>
            <a:xfrm>
              <a:off x="1835572" y="767616"/>
              <a:ext cx="1211580" cy="325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t>      Total</a:t>
              </a:r>
              <a:r>
                <a:rPr lang="en-IN" sz="1200" baseline="0"/>
                <a:t> Revenue</a:t>
              </a:r>
              <a:endParaRPr lang="en-IN" sz="1200"/>
            </a:p>
          </xdr:txBody>
        </xdr:sp>
      </xdr:grpSp>
      <xdr:pic>
        <xdr:nvPicPr>
          <xdr:cNvPr id="20" name="Graphic 19" descr="Coins with solid fill">
            <a:extLst>
              <a:ext uri="{FF2B5EF4-FFF2-40B4-BE49-F238E27FC236}">
                <a16:creationId xmlns:a16="http://schemas.microsoft.com/office/drawing/2014/main" id="{5F52B41C-A177-3F05-849F-49FCBEE1FE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8011" y="980102"/>
            <a:ext cx="532667" cy="532668"/>
          </a:xfrm>
          <a:prstGeom prst="rect">
            <a:avLst/>
          </a:prstGeom>
        </xdr:spPr>
      </xdr:pic>
    </xdr:grpSp>
    <xdr:clientData/>
  </xdr:twoCellAnchor>
  <xdr:twoCellAnchor>
    <xdr:from>
      <xdr:col>7</xdr:col>
      <xdr:colOff>91440</xdr:colOff>
      <xdr:row>4</xdr:row>
      <xdr:rowOff>43946</xdr:rowOff>
    </xdr:from>
    <xdr:to>
      <xdr:col>11</xdr:col>
      <xdr:colOff>60960</xdr:colOff>
      <xdr:row>7</xdr:row>
      <xdr:rowOff>76200</xdr:rowOff>
    </xdr:to>
    <xdr:grpSp>
      <xdr:nvGrpSpPr>
        <xdr:cNvPr id="33" name="Group 32">
          <a:extLst>
            <a:ext uri="{FF2B5EF4-FFF2-40B4-BE49-F238E27FC236}">
              <a16:creationId xmlns:a16="http://schemas.microsoft.com/office/drawing/2014/main" id="{91E43802-E614-2B84-BE65-BA2BAAEFF7D9}"/>
            </a:ext>
          </a:extLst>
        </xdr:cNvPr>
        <xdr:cNvGrpSpPr/>
      </xdr:nvGrpSpPr>
      <xdr:grpSpPr>
        <a:xfrm>
          <a:off x="4358640" y="775466"/>
          <a:ext cx="2407920" cy="580894"/>
          <a:chOff x="4358640" y="775466"/>
          <a:chExt cx="2240280" cy="580894"/>
        </a:xfrm>
      </xdr:grpSpPr>
      <xdr:grpSp>
        <xdr:nvGrpSpPr>
          <xdr:cNvPr id="7" name="Group 6">
            <a:extLst>
              <a:ext uri="{FF2B5EF4-FFF2-40B4-BE49-F238E27FC236}">
                <a16:creationId xmlns:a16="http://schemas.microsoft.com/office/drawing/2014/main" id="{917491C0-9E58-41D3-8E5B-79CCD1A52E81}"/>
              </a:ext>
            </a:extLst>
          </xdr:cNvPr>
          <xdr:cNvGrpSpPr/>
        </xdr:nvGrpSpPr>
        <xdr:grpSpPr>
          <a:xfrm>
            <a:off x="4358640" y="775466"/>
            <a:ext cx="2240280" cy="580894"/>
            <a:chOff x="1097280" y="736896"/>
            <a:chExt cx="2209800" cy="734674"/>
          </a:xfrm>
        </xdr:grpSpPr>
        <xdr:sp macro="" textlink="pivot!M8">
          <xdr:nvSpPr>
            <xdr:cNvPr id="8" name="Rectangle: Rounded Corners 7">
              <a:extLst>
                <a:ext uri="{FF2B5EF4-FFF2-40B4-BE49-F238E27FC236}">
                  <a16:creationId xmlns:a16="http://schemas.microsoft.com/office/drawing/2014/main" id="{62553D25-3F23-C4D4-1A55-1CC0B2508026}"/>
                </a:ext>
              </a:extLst>
            </xdr:cNvPr>
            <xdr:cNvSpPr/>
          </xdr:nvSpPr>
          <xdr:spPr>
            <a:xfrm>
              <a:off x="1097280" y="739140"/>
              <a:ext cx="2209800" cy="73243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0" u="none" strike="noStrike">
                  <a:solidFill>
                    <a:srgbClr val="172337"/>
                  </a:solidFill>
                  <a:latin typeface="Calibri"/>
                  <a:ea typeface="Calibri"/>
                  <a:cs typeface="Calibri"/>
                </a:rPr>
                <a:t>  </a:t>
              </a:r>
              <a:fld id="{EBAE93AC-6DFC-40E7-A675-484CF3587259}" type="TxLink">
                <a:rPr lang="en-US" sz="1800" b="1" i="0" u="none" strike="noStrike">
                  <a:solidFill>
                    <a:srgbClr val="172337"/>
                  </a:solidFill>
                  <a:latin typeface="Calibri"/>
                  <a:ea typeface="Calibri"/>
                  <a:cs typeface="Calibri"/>
                </a:rPr>
                <a:t>1000</a:t>
              </a:fld>
              <a:endParaRPr lang="en-IN" sz="2800" b="1">
                <a:solidFill>
                  <a:srgbClr val="172337"/>
                </a:solidFill>
              </a:endParaRPr>
            </a:p>
          </xdr:txBody>
        </xdr:sp>
        <xdr:sp macro="" textlink="">
          <xdr:nvSpPr>
            <xdr:cNvPr id="9" name="TextBox 8">
              <a:extLst>
                <a:ext uri="{FF2B5EF4-FFF2-40B4-BE49-F238E27FC236}">
                  <a16:creationId xmlns:a16="http://schemas.microsoft.com/office/drawing/2014/main" id="{477D4090-667D-6FA6-ED51-29089B9F4EA6}"/>
                </a:ext>
              </a:extLst>
            </xdr:cNvPr>
            <xdr:cNvSpPr txBox="1"/>
          </xdr:nvSpPr>
          <xdr:spPr>
            <a:xfrm>
              <a:off x="1858298" y="736896"/>
              <a:ext cx="12115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t>Total</a:t>
              </a:r>
              <a:r>
                <a:rPr lang="en-IN" sz="1200" baseline="0"/>
                <a:t> Order</a:t>
              </a:r>
              <a:endParaRPr lang="en-IN" sz="1200"/>
            </a:p>
          </xdr:txBody>
        </xdr:sp>
      </xdr:grpSp>
      <xdr:pic>
        <xdr:nvPicPr>
          <xdr:cNvPr id="23" name="Graphic 22" descr="Shopping cart with solid fill">
            <a:extLst>
              <a:ext uri="{FF2B5EF4-FFF2-40B4-BE49-F238E27FC236}">
                <a16:creationId xmlns:a16="http://schemas.microsoft.com/office/drawing/2014/main" id="{5E278435-8546-4B71-29A3-7DB9B37C9E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65320" y="876301"/>
            <a:ext cx="396674" cy="396674"/>
          </a:xfrm>
          <a:prstGeom prst="rect">
            <a:avLst/>
          </a:prstGeom>
        </xdr:spPr>
      </xdr:pic>
    </xdr:grpSp>
    <xdr:clientData/>
  </xdr:twoCellAnchor>
  <xdr:twoCellAnchor>
    <xdr:from>
      <xdr:col>11</xdr:col>
      <xdr:colOff>106680</xdr:colOff>
      <xdr:row>4</xdr:row>
      <xdr:rowOff>38100</xdr:rowOff>
    </xdr:from>
    <xdr:to>
      <xdr:col>15</xdr:col>
      <xdr:colOff>236220</xdr:colOff>
      <xdr:row>7</xdr:row>
      <xdr:rowOff>60960</xdr:rowOff>
    </xdr:to>
    <xdr:grpSp>
      <xdr:nvGrpSpPr>
        <xdr:cNvPr id="32" name="Group 31">
          <a:extLst>
            <a:ext uri="{FF2B5EF4-FFF2-40B4-BE49-F238E27FC236}">
              <a16:creationId xmlns:a16="http://schemas.microsoft.com/office/drawing/2014/main" id="{053417D6-A481-9099-30BF-F71E3F013A38}"/>
            </a:ext>
          </a:extLst>
        </xdr:cNvPr>
        <xdr:cNvGrpSpPr/>
      </xdr:nvGrpSpPr>
      <xdr:grpSpPr>
        <a:xfrm>
          <a:off x="6812280" y="769620"/>
          <a:ext cx="2567940" cy="571500"/>
          <a:chOff x="6644640" y="769620"/>
          <a:chExt cx="2209800" cy="867600"/>
        </a:xfrm>
      </xdr:grpSpPr>
      <xdr:grpSp>
        <xdr:nvGrpSpPr>
          <xdr:cNvPr id="10" name="Group 9">
            <a:extLst>
              <a:ext uri="{FF2B5EF4-FFF2-40B4-BE49-F238E27FC236}">
                <a16:creationId xmlns:a16="http://schemas.microsoft.com/office/drawing/2014/main" id="{42920225-1B50-4276-A53D-DCCC9869ACC6}"/>
              </a:ext>
            </a:extLst>
          </xdr:cNvPr>
          <xdr:cNvGrpSpPr/>
        </xdr:nvGrpSpPr>
        <xdr:grpSpPr>
          <a:xfrm>
            <a:off x="6644640" y="769620"/>
            <a:ext cx="2209800" cy="867600"/>
            <a:chOff x="1173480" y="769620"/>
            <a:chExt cx="2209800" cy="1097280"/>
          </a:xfrm>
        </xdr:grpSpPr>
        <xdr:sp macro="" textlink="pivot!M9">
          <xdr:nvSpPr>
            <xdr:cNvPr id="11" name="Rectangle: Rounded Corners 10">
              <a:extLst>
                <a:ext uri="{FF2B5EF4-FFF2-40B4-BE49-F238E27FC236}">
                  <a16:creationId xmlns:a16="http://schemas.microsoft.com/office/drawing/2014/main" id="{F4AE0912-317F-16AC-4F36-07B11D1F6082}"/>
                </a:ext>
              </a:extLst>
            </xdr:cNvPr>
            <xdr:cNvSpPr/>
          </xdr:nvSpPr>
          <xdr:spPr>
            <a:xfrm>
              <a:off x="1173480" y="769620"/>
              <a:ext cx="2209800" cy="10972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82BBCA-2DB5-4AB0-9B62-353BAFCE277F}" type="TxLink">
                <a:rPr lang="en-US" sz="1800" b="1" i="0" u="none" strike="noStrike">
                  <a:solidFill>
                    <a:srgbClr val="172337"/>
                  </a:solidFill>
                  <a:latin typeface="Calibri"/>
                  <a:ea typeface="Calibri"/>
                  <a:cs typeface="Calibri"/>
                </a:rPr>
                <a:t>1000</a:t>
              </a:fld>
              <a:endParaRPr lang="en-IN" sz="2800" b="1">
                <a:solidFill>
                  <a:srgbClr val="172337"/>
                </a:solidFill>
              </a:endParaRPr>
            </a:p>
          </xdr:txBody>
        </xdr:sp>
        <xdr:sp macro="" textlink="">
          <xdr:nvSpPr>
            <xdr:cNvPr id="12" name="TextBox 11">
              <a:extLst>
                <a:ext uri="{FF2B5EF4-FFF2-40B4-BE49-F238E27FC236}">
                  <a16:creationId xmlns:a16="http://schemas.microsoft.com/office/drawing/2014/main" id="{DC537AC5-FC81-F8EB-A3EB-1C951589B1E6}"/>
                </a:ext>
              </a:extLst>
            </xdr:cNvPr>
            <xdr:cNvSpPr txBox="1"/>
          </xdr:nvSpPr>
          <xdr:spPr>
            <a:xfrm>
              <a:off x="1842276" y="786301"/>
              <a:ext cx="1211580" cy="59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t>Total</a:t>
              </a:r>
              <a:r>
                <a:rPr lang="en-IN" sz="1200" baseline="0"/>
                <a:t> Customers</a:t>
              </a:r>
              <a:endParaRPr lang="en-IN" sz="1200"/>
            </a:p>
          </xdr:txBody>
        </xdr:sp>
      </xdr:grpSp>
      <xdr:pic>
        <xdr:nvPicPr>
          <xdr:cNvPr id="25" name="Graphic 24" descr="Users with solid fill">
            <a:extLst>
              <a:ext uri="{FF2B5EF4-FFF2-40B4-BE49-F238E27FC236}">
                <a16:creationId xmlns:a16="http://schemas.microsoft.com/office/drawing/2014/main" id="{0F6D83FE-2024-A897-059E-6FB5636197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91908" y="830302"/>
            <a:ext cx="442887" cy="633398"/>
          </a:xfrm>
          <a:prstGeom prst="rect">
            <a:avLst/>
          </a:prstGeom>
        </xdr:spPr>
      </xdr:pic>
    </xdr:grpSp>
    <xdr:clientData/>
  </xdr:twoCellAnchor>
  <xdr:twoCellAnchor>
    <xdr:from>
      <xdr:col>15</xdr:col>
      <xdr:colOff>266700</xdr:colOff>
      <xdr:row>4</xdr:row>
      <xdr:rowOff>45720</xdr:rowOff>
    </xdr:from>
    <xdr:to>
      <xdr:col>19</xdr:col>
      <xdr:colOff>304800</xdr:colOff>
      <xdr:row>7</xdr:row>
      <xdr:rowOff>60960</xdr:rowOff>
    </xdr:to>
    <xdr:grpSp>
      <xdr:nvGrpSpPr>
        <xdr:cNvPr id="31" name="Group 30">
          <a:extLst>
            <a:ext uri="{FF2B5EF4-FFF2-40B4-BE49-F238E27FC236}">
              <a16:creationId xmlns:a16="http://schemas.microsoft.com/office/drawing/2014/main" id="{F2A52EC2-FD6F-E0A7-52FE-10969AFAF55D}"/>
            </a:ext>
          </a:extLst>
        </xdr:cNvPr>
        <xdr:cNvGrpSpPr/>
      </xdr:nvGrpSpPr>
      <xdr:grpSpPr>
        <a:xfrm>
          <a:off x="9410700" y="777240"/>
          <a:ext cx="2476500" cy="563880"/>
          <a:chOff x="8877300" y="762000"/>
          <a:chExt cx="2209800" cy="563880"/>
        </a:xfrm>
      </xdr:grpSpPr>
      <xdr:grpSp>
        <xdr:nvGrpSpPr>
          <xdr:cNvPr id="13" name="Group 12">
            <a:extLst>
              <a:ext uri="{FF2B5EF4-FFF2-40B4-BE49-F238E27FC236}">
                <a16:creationId xmlns:a16="http://schemas.microsoft.com/office/drawing/2014/main" id="{3D81B44B-2601-4181-B66D-C2B0112885EB}"/>
              </a:ext>
            </a:extLst>
          </xdr:cNvPr>
          <xdr:cNvGrpSpPr/>
        </xdr:nvGrpSpPr>
        <xdr:grpSpPr>
          <a:xfrm>
            <a:off x="8877300" y="762000"/>
            <a:ext cx="2209800" cy="563880"/>
            <a:chOff x="1173480" y="769620"/>
            <a:chExt cx="2209800" cy="713156"/>
          </a:xfrm>
        </xdr:grpSpPr>
        <xdr:sp macro="" textlink="pivot!M10">
          <xdr:nvSpPr>
            <xdr:cNvPr id="14" name="Rectangle: Rounded Corners 13">
              <a:extLst>
                <a:ext uri="{FF2B5EF4-FFF2-40B4-BE49-F238E27FC236}">
                  <a16:creationId xmlns:a16="http://schemas.microsoft.com/office/drawing/2014/main" id="{72C1AE2B-C268-A292-7EC5-0E5A4B7D7769}"/>
                </a:ext>
              </a:extLst>
            </xdr:cNvPr>
            <xdr:cNvSpPr/>
          </xdr:nvSpPr>
          <xdr:spPr>
            <a:xfrm>
              <a:off x="1173480" y="769620"/>
              <a:ext cx="2209800" cy="71315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E74BAC7-ECBB-40C7-901E-73F9018ED21D}" type="TxLink">
                <a:rPr lang="en-US" sz="1600" b="1" i="0" u="none" strike="noStrike">
                  <a:solidFill>
                    <a:srgbClr val="172337"/>
                  </a:solidFill>
                  <a:latin typeface="Calibri"/>
                  <a:ea typeface="Calibri"/>
                  <a:cs typeface="Calibri"/>
                </a:rPr>
                <a:t>32.00%</a:t>
              </a:fld>
              <a:endParaRPr lang="en-IN" sz="2400" b="1">
                <a:solidFill>
                  <a:srgbClr val="172337"/>
                </a:solidFill>
              </a:endParaRPr>
            </a:p>
          </xdr:txBody>
        </xdr:sp>
        <xdr:sp macro="" textlink="">
          <xdr:nvSpPr>
            <xdr:cNvPr id="15" name="TextBox 14">
              <a:extLst>
                <a:ext uri="{FF2B5EF4-FFF2-40B4-BE49-F238E27FC236}">
                  <a16:creationId xmlns:a16="http://schemas.microsoft.com/office/drawing/2014/main" id="{561933DE-F4B1-AE98-A30F-5688AF030684}"/>
                </a:ext>
              </a:extLst>
            </xdr:cNvPr>
            <xdr:cNvSpPr txBox="1"/>
          </xdr:nvSpPr>
          <xdr:spPr>
            <a:xfrm>
              <a:off x="1806409" y="777012"/>
              <a:ext cx="1295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t>Cancellation</a:t>
              </a:r>
              <a:r>
                <a:rPr lang="en-IN" sz="1200" baseline="0"/>
                <a:t> rate</a:t>
              </a:r>
              <a:endParaRPr lang="en-IN" sz="1200"/>
            </a:p>
          </xdr:txBody>
        </xdr:sp>
      </xdr:grpSp>
      <xdr:pic>
        <xdr:nvPicPr>
          <xdr:cNvPr id="27" name="Graphic 26" descr="Close with solid fill">
            <a:extLst>
              <a:ext uri="{FF2B5EF4-FFF2-40B4-BE49-F238E27FC236}">
                <a16:creationId xmlns:a16="http://schemas.microsoft.com/office/drawing/2014/main" id="{79E8C780-FCB7-2C51-E29B-98A38F8C1AA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991600" y="838200"/>
            <a:ext cx="411480" cy="411480"/>
          </a:xfrm>
          <a:prstGeom prst="rect">
            <a:avLst/>
          </a:prstGeom>
        </xdr:spPr>
      </xdr:pic>
    </xdr:grpSp>
    <xdr:clientData/>
  </xdr:twoCellAnchor>
  <xdr:twoCellAnchor>
    <xdr:from>
      <xdr:col>19</xdr:col>
      <xdr:colOff>335280</xdr:colOff>
      <xdr:row>4</xdr:row>
      <xdr:rowOff>45720</xdr:rowOff>
    </xdr:from>
    <xdr:to>
      <xdr:col>23</xdr:col>
      <xdr:colOff>403860</xdr:colOff>
      <xdr:row>7</xdr:row>
      <xdr:rowOff>83820</xdr:rowOff>
    </xdr:to>
    <xdr:grpSp>
      <xdr:nvGrpSpPr>
        <xdr:cNvPr id="30" name="Group 29">
          <a:extLst>
            <a:ext uri="{FF2B5EF4-FFF2-40B4-BE49-F238E27FC236}">
              <a16:creationId xmlns:a16="http://schemas.microsoft.com/office/drawing/2014/main" id="{6118E673-124A-99CE-2174-7784178CDFAC}"/>
            </a:ext>
          </a:extLst>
        </xdr:cNvPr>
        <xdr:cNvGrpSpPr/>
      </xdr:nvGrpSpPr>
      <xdr:grpSpPr>
        <a:xfrm>
          <a:off x="11917680" y="777240"/>
          <a:ext cx="2506980" cy="586740"/>
          <a:chOff x="12108180" y="777240"/>
          <a:chExt cx="2209800" cy="867600"/>
        </a:xfrm>
      </xdr:grpSpPr>
      <xdr:grpSp>
        <xdr:nvGrpSpPr>
          <xdr:cNvPr id="16" name="Group 15">
            <a:extLst>
              <a:ext uri="{FF2B5EF4-FFF2-40B4-BE49-F238E27FC236}">
                <a16:creationId xmlns:a16="http://schemas.microsoft.com/office/drawing/2014/main" id="{41C6F5BC-8974-46A5-AE80-F21955271B92}"/>
              </a:ext>
            </a:extLst>
          </xdr:cNvPr>
          <xdr:cNvGrpSpPr/>
        </xdr:nvGrpSpPr>
        <xdr:grpSpPr>
          <a:xfrm>
            <a:off x="12108180" y="777240"/>
            <a:ext cx="2209800" cy="867600"/>
            <a:chOff x="1173480" y="769620"/>
            <a:chExt cx="2209800" cy="1097280"/>
          </a:xfrm>
        </xdr:grpSpPr>
        <xdr:sp macro="" textlink="pivot!M11">
          <xdr:nvSpPr>
            <xdr:cNvPr id="17" name="Rectangle: Rounded Corners 16">
              <a:extLst>
                <a:ext uri="{FF2B5EF4-FFF2-40B4-BE49-F238E27FC236}">
                  <a16:creationId xmlns:a16="http://schemas.microsoft.com/office/drawing/2014/main" id="{8B5F01DE-665F-70A2-39E2-B8C50606C20A}"/>
                </a:ext>
              </a:extLst>
            </xdr:cNvPr>
            <xdr:cNvSpPr/>
          </xdr:nvSpPr>
          <xdr:spPr>
            <a:xfrm>
              <a:off x="1173480" y="769620"/>
              <a:ext cx="2209800" cy="10972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1" i="0" u="none" strike="noStrike">
                  <a:solidFill>
                    <a:srgbClr val="172337"/>
                  </a:solidFill>
                  <a:latin typeface="Calibri"/>
                  <a:ea typeface="Calibri"/>
                  <a:cs typeface="Calibri"/>
                </a:rPr>
                <a:t>   </a:t>
              </a:r>
              <a:fld id="{C4741F39-7E2A-41F5-B600-ADA610E35D7F}" type="TxLink">
                <a:rPr lang="en-US" sz="1600" b="1" i="0" u="none" strike="noStrike">
                  <a:solidFill>
                    <a:srgbClr val="172337"/>
                  </a:solidFill>
                  <a:latin typeface="Calibri"/>
                  <a:ea typeface="Calibri"/>
                  <a:cs typeface="Calibri"/>
                </a:rPr>
                <a:t>28.97%</a:t>
              </a:fld>
              <a:endParaRPr lang="en-IN" sz="2400" b="1">
                <a:solidFill>
                  <a:srgbClr val="172337"/>
                </a:solidFill>
              </a:endParaRPr>
            </a:p>
          </xdr:txBody>
        </xdr:sp>
        <xdr:sp macro="" textlink="">
          <xdr:nvSpPr>
            <xdr:cNvPr id="18" name="TextBox 17">
              <a:extLst>
                <a:ext uri="{FF2B5EF4-FFF2-40B4-BE49-F238E27FC236}">
                  <a16:creationId xmlns:a16="http://schemas.microsoft.com/office/drawing/2014/main" id="{F75BB1DF-BB11-6FE6-6B2E-173B0061A6F2}"/>
                </a:ext>
              </a:extLst>
            </xdr:cNvPr>
            <xdr:cNvSpPr txBox="1"/>
          </xdr:nvSpPr>
          <xdr:spPr>
            <a:xfrm>
              <a:off x="1850450" y="805925"/>
              <a:ext cx="1211580" cy="5479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t>Fast</a:t>
              </a:r>
              <a:r>
                <a:rPr lang="en-IN" sz="1200" baseline="0"/>
                <a:t> delivery %</a:t>
              </a:r>
              <a:endParaRPr lang="en-IN" sz="1200"/>
            </a:p>
          </xdr:txBody>
        </xdr:sp>
      </xdr:grpSp>
      <xdr:pic>
        <xdr:nvPicPr>
          <xdr:cNvPr id="29" name="Graphic 28" descr="Truck with solid fill">
            <a:extLst>
              <a:ext uri="{FF2B5EF4-FFF2-40B4-BE49-F238E27FC236}">
                <a16:creationId xmlns:a16="http://schemas.microsoft.com/office/drawing/2014/main" id="{E8AA6D61-E5E1-6F37-99B8-B0C9C466A65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237720" y="845818"/>
            <a:ext cx="473771" cy="697613"/>
          </a:xfrm>
          <a:prstGeom prst="rect">
            <a:avLst/>
          </a:prstGeom>
        </xdr:spPr>
      </xdr:pic>
    </xdr:grpSp>
    <xdr:clientData/>
  </xdr:twoCellAnchor>
  <xdr:twoCellAnchor>
    <xdr:from>
      <xdr:col>3</xdr:col>
      <xdr:colOff>91440</xdr:colOff>
      <xdr:row>7</xdr:row>
      <xdr:rowOff>121920</xdr:rowOff>
    </xdr:from>
    <xdr:to>
      <xdr:col>9</xdr:col>
      <xdr:colOff>426720</xdr:colOff>
      <xdr:row>22</xdr:row>
      <xdr:rowOff>167640</xdr:rowOff>
    </xdr:to>
    <xdr:grpSp>
      <xdr:nvGrpSpPr>
        <xdr:cNvPr id="49" name="Group 48">
          <a:extLst>
            <a:ext uri="{FF2B5EF4-FFF2-40B4-BE49-F238E27FC236}">
              <a16:creationId xmlns:a16="http://schemas.microsoft.com/office/drawing/2014/main" id="{DFDC74F9-83B4-9E6C-7258-188693D18E78}"/>
            </a:ext>
          </a:extLst>
        </xdr:cNvPr>
        <xdr:cNvGrpSpPr/>
      </xdr:nvGrpSpPr>
      <xdr:grpSpPr>
        <a:xfrm>
          <a:off x="1920240" y="1402080"/>
          <a:ext cx="3992880" cy="2788920"/>
          <a:chOff x="1866900" y="1684020"/>
          <a:chExt cx="3246120" cy="2308860"/>
        </a:xfrm>
      </xdr:grpSpPr>
      <xdr:sp macro="" textlink="">
        <xdr:nvSpPr>
          <xdr:cNvPr id="34" name="Rectangle: Rounded Corners 33">
            <a:extLst>
              <a:ext uri="{FF2B5EF4-FFF2-40B4-BE49-F238E27FC236}">
                <a16:creationId xmlns:a16="http://schemas.microsoft.com/office/drawing/2014/main" id="{FAD298BA-13DB-8C38-C058-8FAE04D49841}"/>
              </a:ext>
            </a:extLst>
          </xdr:cNvPr>
          <xdr:cNvSpPr/>
        </xdr:nvSpPr>
        <xdr:spPr>
          <a:xfrm>
            <a:off x="1866900" y="1684020"/>
            <a:ext cx="3246120" cy="2308860"/>
          </a:xfrm>
          <a:prstGeom prst="roundRect">
            <a:avLst>
              <a:gd name="adj" fmla="val 28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8AEDA17E-EB54-4A97-8B98-A842AAA92D29}"/>
              </a:ext>
            </a:extLst>
          </xdr:cNvPr>
          <xdr:cNvGraphicFramePr>
            <a:graphicFrameLocks/>
          </xdr:cNvGraphicFramePr>
        </xdr:nvGraphicFramePr>
        <xdr:xfrm>
          <a:off x="1965960" y="1767840"/>
          <a:ext cx="3086100" cy="213360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9</xdr:col>
      <xdr:colOff>464820</xdr:colOff>
      <xdr:row>7</xdr:row>
      <xdr:rowOff>106680</xdr:rowOff>
    </xdr:from>
    <xdr:to>
      <xdr:col>16</xdr:col>
      <xdr:colOff>274320</xdr:colOff>
      <xdr:row>22</xdr:row>
      <xdr:rowOff>160020</xdr:rowOff>
    </xdr:to>
    <xdr:sp macro="" textlink="">
      <xdr:nvSpPr>
        <xdr:cNvPr id="36" name="Rectangle: Rounded Corners 35">
          <a:extLst>
            <a:ext uri="{FF2B5EF4-FFF2-40B4-BE49-F238E27FC236}">
              <a16:creationId xmlns:a16="http://schemas.microsoft.com/office/drawing/2014/main" id="{8DBEC1EA-C7DC-4597-9CEF-D089BBD0586D}"/>
            </a:ext>
          </a:extLst>
        </xdr:cNvPr>
        <xdr:cNvSpPr/>
      </xdr:nvSpPr>
      <xdr:spPr>
        <a:xfrm>
          <a:off x="5951220" y="1386840"/>
          <a:ext cx="4076700" cy="2796540"/>
        </a:xfrm>
        <a:prstGeom prst="roundRect">
          <a:avLst>
            <a:gd name="adj" fmla="val 28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317695</xdr:colOff>
      <xdr:row>7</xdr:row>
      <xdr:rowOff>111202</xdr:rowOff>
    </xdr:from>
    <xdr:to>
      <xdr:col>23</xdr:col>
      <xdr:colOff>449580</xdr:colOff>
      <xdr:row>22</xdr:row>
      <xdr:rowOff>160020</xdr:rowOff>
    </xdr:to>
    <xdr:grpSp>
      <xdr:nvGrpSpPr>
        <xdr:cNvPr id="40" name="Group 39">
          <a:extLst>
            <a:ext uri="{FF2B5EF4-FFF2-40B4-BE49-F238E27FC236}">
              <a16:creationId xmlns:a16="http://schemas.microsoft.com/office/drawing/2014/main" id="{5ECC80F1-177D-5236-283D-EF1C9D05660C}"/>
            </a:ext>
          </a:extLst>
        </xdr:cNvPr>
        <xdr:cNvGrpSpPr/>
      </xdr:nvGrpSpPr>
      <xdr:grpSpPr>
        <a:xfrm>
          <a:off x="10071295" y="1391362"/>
          <a:ext cx="4399085" cy="2792018"/>
          <a:chOff x="11195538" y="1716593"/>
          <a:chExt cx="3307583" cy="2324937"/>
        </a:xfrm>
      </xdr:grpSpPr>
      <xdr:sp macro="" textlink="">
        <xdr:nvSpPr>
          <xdr:cNvPr id="39" name="Rectangle: Rounded Corners 38">
            <a:extLst>
              <a:ext uri="{FF2B5EF4-FFF2-40B4-BE49-F238E27FC236}">
                <a16:creationId xmlns:a16="http://schemas.microsoft.com/office/drawing/2014/main" id="{5179D22D-62C7-4156-99BF-25BE9D0B6FD7}"/>
              </a:ext>
            </a:extLst>
          </xdr:cNvPr>
          <xdr:cNvSpPr/>
        </xdr:nvSpPr>
        <xdr:spPr>
          <a:xfrm>
            <a:off x="11195538" y="1716593"/>
            <a:ext cx="3254493" cy="2324937"/>
          </a:xfrm>
          <a:prstGeom prst="roundRect">
            <a:avLst>
              <a:gd name="adj" fmla="val 28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DD44AB3A-2F10-429C-A40E-43605EE826AB}"/>
              </a:ext>
            </a:extLst>
          </xdr:cNvPr>
          <xdr:cNvGraphicFramePr>
            <a:graphicFrameLocks/>
          </xdr:cNvGraphicFramePr>
        </xdr:nvGraphicFramePr>
        <xdr:xfrm>
          <a:off x="11212286" y="1750089"/>
          <a:ext cx="3290835" cy="2202263"/>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3</xdr:col>
      <xdr:colOff>86947</xdr:colOff>
      <xdr:row>23</xdr:row>
      <xdr:rowOff>27159</xdr:rowOff>
    </xdr:from>
    <xdr:to>
      <xdr:col>9</xdr:col>
      <xdr:colOff>419100</xdr:colOff>
      <xdr:row>39</xdr:row>
      <xdr:rowOff>7620</xdr:rowOff>
    </xdr:to>
    <xdr:grpSp>
      <xdr:nvGrpSpPr>
        <xdr:cNvPr id="50" name="Group 49">
          <a:extLst>
            <a:ext uri="{FF2B5EF4-FFF2-40B4-BE49-F238E27FC236}">
              <a16:creationId xmlns:a16="http://schemas.microsoft.com/office/drawing/2014/main" id="{FF33B5BD-0ACB-BD21-1CCD-BFF10BFCC545}"/>
            </a:ext>
          </a:extLst>
        </xdr:cNvPr>
        <xdr:cNvGrpSpPr/>
      </xdr:nvGrpSpPr>
      <xdr:grpSpPr>
        <a:xfrm>
          <a:off x="1915747" y="4233399"/>
          <a:ext cx="3989753" cy="2906541"/>
          <a:chOff x="1847167" y="7037559"/>
          <a:chExt cx="5375030" cy="3118729"/>
        </a:xfrm>
      </xdr:grpSpPr>
      <xdr:sp macro="" textlink="">
        <xdr:nvSpPr>
          <xdr:cNvPr id="42" name="Rectangle: Rounded Corners 41">
            <a:extLst>
              <a:ext uri="{FF2B5EF4-FFF2-40B4-BE49-F238E27FC236}">
                <a16:creationId xmlns:a16="http://schemas.microsoft.com/office/drawing/2014/main" id="{96BD5A3E-68CA-4FC9-B2D9-C45D933473DE}"/>
              </a:ext>
            </a:extLst>
          </xdr:cNvPr>
          <xdr:cNvSpPr/>
        </xdr:nvSpPr>
        <xdr:spPr>
          <a:xfrm>
            <a:off x="1847167" y="7037559"/>
            <a:ext cx="5375030" cy="3118729"/>
          </a:xfrm>
          <a:prstGeom prst="roundRect">
            <a:avLst>
              <a:gd name="adj" fmla="val 28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9A56E0D3-99C2-4928-9C83-11B963100AB7}"/>
              </a:ext>
            </a:extLst>
          </xdr:cNvPr>
          <xdr:cNvGraphicFramePr>
            <a:graphicFrameLocks/>
          </xdr:cNvGraphicFramePr>
        </xdr:nvGraphicFramePr>
        <xdr:xfrm>
          <a:off x="1925080" y="7041122"/>
          <a:ext cx="5194460" cy="3006337"/>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9</xdr:col>
      <xdr:colOff>475566</xdr:colOff>
      <xdr:row>23</xdr:row>
      <xdr:rowOff>25986</xdr:rowOff>
    </xdr:from>
    <xdr:to>
      <xdr:col>16</xdr:col>
      <xdr:colOff>259080</xdr:colOff>
      <xdr:row>38</xdr:row>
      <xdr:rowOff>167640</xdr:rowOff>
    </xdr:to>
    <xdr:grpSp>
      <xdr:nvGrpSpPr>
        <xdr:cNvPr id="45" name="Group 44">
          <a:extLst>
            <a:ext uri="{FF2B5EF4-FFF2-40B4-BE49-F238E27FC236}">
              <a16:creationId xmlns:a16="http://schemas.microsoft.com/office/drawing/2014/main" id="{6FB9D28C-F615-B7AA-F300-50B710F5B205}"/>
            </a:ext>
          </a:extLst>
        </xdr:cNvPr>
        <xdr:cNvGrpSpPr/>
      </xdr:nvGrpSpPr>
      <xdr:grpSpPr>
        <a:xfrm>
          <a:off x="5961966" y="4232226"/>
          <a:ext cx="4050714" cy="2884854"/>
          <a:chOff x="8460154" y="4151923"/>
          <a:chExt cx="5343768" cy="3165231"/>
        </a:xfrm>
      </xdr:grpSpPr>
      <xdr:sp macro="" textlink="">
        <xdr:nvSpPr>
          <xdr:cNvPr id="44" name="Rectangle: Rounded Corners 43">
            <a:extLst>
              <a:ext uri="{FF2B5EF4-FFF2-40B4-BE49-F238E27FC236}">
                <a16:creationId xmlns:a16="http://schemas.microsoft.com/office/drawing/2014/main" id="{932BB7CD-2D50-4C22-A30A-4787A365FB57}"/>
              </a:ext>
            </a:extLst>
          </xdr:cNvPr>
          <xdr:cNvSpPr/>
        </xdr:nvSpPr>
        <xdr:spPr>
          <a:xfrm>
            <a:off x="8460154" y="4151923"/>
            <a:ext cx="5343768" cy="3165231"/>
          </a:xfrm>
          <a:prstGeom prst="roundRect">
            <a:avLst>
              <a:gd name="adj" fmla="val 28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3" name="Chart 42">
            <a:extLst>
              <a:ext uri="{FF2B5EF4-FFF2-40B4-BE49-F238E27FC236}">
                <a16:creationId xmlns:a16="http://schemas.microsoft.com/office/drawing/2014/main" id="{C6514E3E-A6AB-43F6-BB2C-8C2B36A8FC46}"/>
              </a:ext>
            </a:extLst>
          </xdr:cNvPr>
          <xdr:cNvGraphicFramePr>
            <a:graphicFrameLocks/>
          </xdr:cNvGraphicFramePr>
        </xdr:nvGraphicFramePr>
        <xdr:xfrm>
          <a:off x="8635999" y="4165214"/>
          <a:ext cx="4962769" cy="305997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16</xdr:col>
      <xdr:colOff>318869</xdr:colOff>
      <xdr:row>23</xdr:row>
      <xdr:rowOff>31457</xdr:rowOff>
    </xdr:from>
    <xdr:to>
      <xdr:col>23</xdr:col>
      <xdr:colOff>358141</xdr:colOff>
      <xdr:row>38</xdr:row>
      <xdr:rowOff>160020</xdr:rowOff>
    </xdr:to>
    <xdr:sp macro="" textlink="">
      <xdr:nvSpPr>
        <xdr:cNvPr id="46" name="Rectangle: Rounded Corners 45">
          <a:extLst>
            <a:ext uri="{FF2B5EF4-FFF2-40B4-BE49-F238E27FC236}">
              <a16:creationId xmlns:a16="http://schemas.microsoft.com/office/drawing/2014/main" id="{028B6617-2E67-4A49-933E-B9C2541BC2BB}"/>
            </a:ext>
          </a:extLst>
        </xdr:cNvPr>
        <xdr:cNvSpPr/>
      </xdr:nvSpPr>
      <xdr:spPr>
        <a:xfrm>
          <a:off x="10072469" y="4237697"/>
          <a:ext cx="4306472" cy="2871763"/>
        </a:xfrm>
        <a:prstGeom prst="roundRect">
          <a:avLst>
            <a:gd name="adj" fmla="val 280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388620</xdr:colOff>
      <xdr:row>23</xdr:row>
      <xdr:rowOff>46696</xdr:rowOff>
    </xdr:from>
    <xdr:to>
      <xdr:col>23</xdr:col>
      <xdr:colOff>281940</xdr:colOff>
      <xdr:row>38</xdr:row>
      <xdr:rowOff>8401</xdr:rowOff>
    </xdr:to>
    <xdr:graphicFrame macro="">
      <xdr:nvGraphicFramePr>
        <xdr:cNvPr id="47" name="Chart 46">
          <a:extLst>
            <a:ext uri="{FF2B5EF4-FFF2-40B4-BE49-F238E27FC236}">
              <a16:creationId xmlns:a16="http://schemas.microsoft.com/office/drawing/2014/main" id="{B2C6459A-281C-4C47-A484-F8681E9DB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510540</xdr:colOff>
      <xdr:row>7</xdr:row>
      <xdr:rowOff>175260</xdr:rowOff>
    </xdr:from>
    <xdr:to>
      <xdr:col>16</xdr:col>
      <xdr:colOff>144780</xdr:colOff>
      <xdr:row>22</xdr:row>
      <xdr:rowOff>91440</xdr:rowOff>
    </xdr:to>
    <xdr:graphicFrame macro="">
      <xdr:nvGraphicFramePr>
        <xdr:cNvPr id="51" name="Chart 50">
          <a:extLst>
            <a:ext uri="{FF2B5EF4-FFF2-40B4-BE49-F238E27FC236}">
              <a16:creationId xmlns:a16="http://schemas.microsoft.com/office/drawing/2014/main" id="{2265A8D9-98AA-4C48-8847-E703FE8B0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175260</xdr:colOff>
      <xdr:row>4</xdr:row>
      <xdr:rowOff>53340</xdr:rowOff>
    </xdr:from>
    <xdr:to>
      <xdr:col>3</xdr:col>
      <xdr:colOff>30480</xdr:colOff>
      <xdr:row>13</xdr:row>
      <xdr:rowOff>53339</xdr:rowOff>
    </xdr:to>
    <mc:AlternateContent xmlns:mc="http://schemas.openxmlformats.org/markup-compatibility/2006">
      <mc:Choice xmlns:a14="http://schemas.microsoft.com/office/drawing/2010/main" Requires="a14">
        <xdr:graphicFrame macro="">
          <xdr:nvGraphicFramePr>
            <xdr:cNvPr id="52" name="Region">
              <a:extLst>
                <a:ext uri="{FF2B5EF4-FFF2-40B4-BE49-F238E27FC236}">
                  <a16:creationId xmlns:a16="http://schemas.microsoft.com/office/drawing/2014/main" id="{2E7882D6-D80A-4A88-9D79-AAC0FC776B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5260" y="784860"/>
              <a:ext cx="168402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13</xdr:row>
      <xdr:rowOff>76200</xdr:rowOff>
    </xdr:from>
    <xdr:to>
      <xdr:col>3</xdr:col>
      <xdr:colOff>22860</xdr:colOff>
      <xdr:row>24</xdr:row>
      <xdr:rowOff>60960</xdr:rowOff>
    </xdr:to>
    <mc:AlternateContent xmlns:mc="http://schemas.openxmlformats.org/markup-compatibility/2006">
      <mc:Choice xmlns:a14="http://schemas.microsoft.com/office/drawing/2010/main" Requires="a14">
        <xdr:graphicFrame macro="">
          <xdr:nvGraphicFramePr>
            <xdr:cNvPr id="53" name="Category">
              <a:extLst>
                <a:ext uri="{FF2B5EF4-FFF2-40B4-BE49-F238E27FC236}">
                  <a16:creationId xmlns:a16="http://schemas.microsoft.com/office/drawing/2014/main" id="{36521BDE-3AC0-4450-B5C6-D946ABA526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7640" y="2453640"/>
              <a:ext cx="168402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24</xdr:row>
      <xdr:rowOff>76200</xdr:rowOff>
    </xdr:from>
    <xdr:to>
      <xdr:col>3</xdr:col>
      <xdr:colOff>30480</xdr:colOff>
      <xdr:row>36</xdr:row>
      <xdr:rowOff>160019</xdr:rowOff>
    </xdr:to>
    <mc:AlternateContent xmlns:mc="http://schemas.openxmlformats.org/markup-compatibility/2006">
      <mc:Choice xmlns:a14="http://schemas.microsoft.com/office/drawing/2010/main" Requires="a14">
        <xdr:graphicFrame macro="">
          <xdr:nvGraphicFramePr>
            <xdr:cNvPr id="54" name="PaymentMethod">
              <a:extLst>
                <a:ext uri="{FF2B5EF4-FFF2-40B4-BE49-F238E27FC236}">
                  <a16:creationId xmlns:a16="http://schemas.microsoft.com/office/drawing/2014/main" id="{2827528C-E361-4DE6-9EF4-6F0EF0282BCD}"/>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52400" y="4465320"/>
              <a:ext cx="1706880" cy="2278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299662</xdr:colOff>
      <xdr:row>0</xdr:row>
      <xdr:rowOff>145550</xdr:rowOff>
    </xdr:from>
    <xdr:to>
      <xdr:col>4</xdr:col>
      <xdr:colOff>428089</xdr:colOff>
      <xdr:row>3</xdr:row>
      <xdr:rowOff>136988</xdr:rowOff>
    </xdr:to>
    <xdr:pic>
      <xdr:nvPicPr>
        <xdr:cNvPr id="56" name="Picture 55">
          <a:extLst>
            <a:ext uri="{FF2B5EF4-FFF2-40B4-BE49-F238E27FC236}">
              <a16:creationId xmlns:a16="http://schemas.microsoft.com/office/drawing/2014/main" id="{837BAEF9-3075-DDC2-2A09-6E258D9AC3F2}"/>
            </a:ext>
          </a:extLst>
        </xdr:cNvPr>
        <xdr:cNvPicPr>
          <a:picLocks noChangeAspect="1"/>
        </xdr:cNvPicPr>
      </xdr:nvPicPr>
      <xdr:blipFill>
        <a:blip xmlns:r="http://schemas.openxmlformats.org/officeDocument/2006/relationships" r:embed="rId17"/>
        <a:stretch>
          <a:fillRect/>
        </a:stretch>
      </xdr:blipFill>
      <xdr:spPr>
        <a:xfrm>
          <a:off x="299662" y="145550"/>
          <a:ext cx="2559978" cy="530831"/>
        </a:xfrm>
        <a:prstGeom prst="rect">
          <a:avLst/>
        </a:prstGeom>
      </xdr:spPr>
    </xdr:pic>
    <xdr:clientData/>
  </xdr:twoCellAnchor>
  <xdr:oneCellAnchor>
    <xdr:from>
      <xdr:col>5</xdr:col>
      <xdr:colOff>77057</xdr:colOff>
      <xdr:row>2</xdr:row>
      <xdr:rowOff>85618</xdr:rowOff>
    </xdr:from>
    <xdr:ext cx="3437351" cy="280205"/>
    <xdr:sp macro="" textlink="">
      <xdr:nvSpPr>
        <xdr:cNvPr id="57" name="TextBox 56">
          <a:extLst>
            <a:ext uri="{FF2B5EF4-FFF2-40B4-BE49-F238E27FC236}">
              <a16:creationId xmlns:a16="http://schemas.microsoft.com/office/drawing/2014/main" id="{96AE7144-D2B0-9EE6-198B-74DB25D9F105}"/>
            </a:ext>
          </a:extLst>
        </xdr:cNvPr>
        <xdr:cNvSpPr txBox="1"/>
      </xdr:nvSpPr>
      <xdr:spPr>
        <a:xfrm>
          <a:off x="3116495" y="445214"/>
          <a:ext cx="34373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Better Choice | Faster delivery | Happier Customer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 refreshedDate="46281.591159837961" createdVersion="8" refreshedVersion="8" minRefreshableVersion="3" recordCount="1000" xr:uid="{5604F1C0-107F-4D07-AAB0-87F5432F309E}">
  <cacheSource type="worksheet">
    <worksheetSource ref="A1:T1001" sheet="FlipkartSales"/>
  </cacheSource>
  <cacheFields count="20">
    <cacheField name="OrderID" numFmtId="0">
      <sharedItems/>
    </cacheField>
    <cacheField name="CustomerID" numFmtId="0">
      <sharedItems/>
    </cacheField>
    <cacheField name="ProductID" numFmtId="0">
      <sharedItems/>
    </cacheField>
    <cacheField name="OrderDate" numFmtId="14">
      <sharedItems containsSemiMixedTypes="0" containsNonDate="0" containsDate="1" containsString="0" minDate="2025-01-01T00:00:00" maxDate="2025-05-02T00:00:00"/>
    </cacheField>
    <cacheField name="DeliveryDate" numFmtId="14">
      <sharedItems containsNonDate="0" containsDate="1" containsString="0" containsBlank="1" minDate="2025-01-03T00:00:00" maxDate="2025-05-08T00:00:00"/>
    </cacheField>
    <cacheField name="CancelDate" numFmtId="0">
      <sharedItems containsNonDate="0" containsDate="1" containsString="0" containsBlank="1" minDate="2025-01-01T00:00:00" maxDate="2025-05-04T00:00:00"/>
    </cacheField>
    <cacheField name="Region" numFmtId="0">
      <sharedItems count="4">
        <s v="West"/>
        <s v="North"/>
        <s v="South"/>
        <s v="East"/>
      </sharedItems>
    </cacheField>
    <cacheField name="Category" numFmtId="0">
      <sharedItems count="5">
        <s v="Beauty"/>
        <s v="Grocery"/>
        <s v="Home"/>
        <s v="Fashion"/>
        <s v="Electronics"/>
      </sharedItems>
    </cacheField>
    <cacheField name="PaymentMethod" numFmtId="0">
      <sharedItems count="5">
        <s v="Credit Card"/>
        <s v="Debit Card"/>
        <s v="COD"/>
        <s v="Net Banking"/>
        <s v="UPI"/>
      </sharedItems>
    </cacheField>
    <cacheField name="DeliveryStatus" numFmtId="0">
      <sharedItems/>
    </cacheField>
    <cacheField name="SalesAmount" numFmtId="0">
      <sharedItems containsSemiMixedTypes="0" containsString="0" containsNumber="1" minValue="222.23" maxValue="4998.6400000000003"/>
    </cacheField>
    <cacheField name="Order Month" numFmtId="0">
      <sharedItems count="5">
        <s v="April"/>
        <s v="February"/>
        <s v="January"/>
        <s v="March"/>
        <s v="May"/>
      </sharedItems>
    </cacheField>
    <cacheField name="Months" numFmtId="0">
      <sharedItems count="6">
        <s v="April"/>
        <s v="Cancelled"/>
        <s v="February"/>
        <s v="January"/>
        <s v="March"/>
        <s v="May"/>
      </sharedItems>
    </cacheField>
    <cacheField name="Delivery Category" numFmtId="0">
      <sharedItems count="2">
        <s v="Delivered"/>
        <s v="Cancelled"/>
      </sharedItems>
    </cacheField>
    <cacheField name="Delivery Days" numFmtId="0">
      <sharedItems containsMixedTypes="1" containsNumber="1" containsInteger="1" minValue="1" maxValue="6"/>
    </cacheField>
    <cacheField name="Order Flag" numFmtId="0">
      <sharedItems count="2">
        <s v="Completed"/>
        <s v="Cancelled"/>
      </sharedItems>
    </cacheField>
    <cacheField name="Order performance" numFmtId="0">
      <sharedItems count="3">
        <s v="Fast"/>
        <s v="Cancelled"/>
        <s v="Slow"/>
      </sharedItems>
    </cacheField>
    <cacheField name="Customer Name" numFmtId="0">
      <sharedItems/>
    </cacheField>
    <cacheField name="Product Name" numFmtId="0">
      <sharedItems count="50">
        <s v="Product_13"/>
        <s v="Product_27"/>
        <s v="Product_20"/>
        <s v="Product_9"/>
        <s v="Product_42"/>
        <s v="Product_21"/>
        <s v="Product_39"/>
        <s v="Product_10"/>
        <s v="Product_43"/>
        <s v="Product_8"/>
        <s v="Product_15"/>
        <s v="Product_19"/>
        <s v="Product_40"/>
        <s v="Product_29"/>
        <s v="Product_5"/>
        <s v="Product_44"/>
        <s v="Product_6"/>
        <s v="Product_11"/>
        <s v="Product_12"/>
        <s v="Product_25"/>
        <s v="Product_14"/>
        <s v="Product_38"/>
        <s v="Product_31"/>
        <s v="Product_0"/>
        <s v="Product_3"/>
        <s v="Product_45"/>
        <s v="Product_32"/>
        <s v="Product_36"/>
        <s v="Product_18"/>
        <s v="Product_4"/>
        <s v="Product_2"/>
        <s v="Product_46"/>
        <s v="Product_35"/>
        <s v="Product_23"/>
        <s v="Product_41"/>
        <s v="Product_24"/>
        <s v="Product_28"/>
        <s v="Product_17"/>
        <s v="Product_16"/>
        <s v="Product_37"/>
        <s v="Product_26"/>
        <s v="Product_47"/>
        <s v="Product_30"/>
        <s v="Product_34"/>
        <s v="Product_1"/>
        <s v="Product_48"/>
        <s v="Product_7"/>
        <s v="Product_22"/>
        <s v="Product_49"/>
        <s v="Product_33"/>
      </sharedItems>
    </cacheField>
    <cacheField name="Region Manager" numFmtId="0">
      <sharedItems/>
    </cacheField>
  </cacheFields>
  <extLst>
    <ext xmlns:x14="http://schemas.microsoft.com/office/spreadsheetml/2009/9/main" uri="{725AE2AE-9491-48be-B2B4-4EB974FC3084}">
      <x14:pivotCacheDefinition pivotCacheId="1371300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
    <s v="CUST1276"/>
    <s v="PROD124"/>
    <d v="2025-04-20T00:00:00"/>
    <d v="2025-04-22T00:00:00"/>
    <m/>
    <x v="0"/>
    <x v="0"/>
    <x v="0"/>
    <s v="Delivered"/>
    <n v="1997.79"/>
    <x v="0"/>
    <x v="0"/>
    <x v="0"/>
    <n v="2"/>
    <x v="0"/>
    <x v="0"/>
    <s v="Customer_10"/>
    <x v="0"/>
    <s v="D"/>
  </r>
  <r>
    <s v="ORD10001"/>
    <s v="CUST1297"/>
    <s v="PROD147"/>
    <d v="2025-04-19T00:00:00"/>
    <m/>
    <d v="2025-04-21T00:00:00"/>
    <x v="1"/>
    <x v="1"/>
    <x v="1"/>
    <s v="Returned"/>
    <n v="4763.43"/>
    <x v="0"/>
    <x v="1"/>
    <x v="1"/>
    <s v="Order Cancelled"/>
    <x v="1"/>
    <x v="1"/>
    <s v="Customer_140"/>
    <x v="1"/>
    <s v="A"/>
  </r>
  <r>
    <s v="ORD10002"/>
    <s v="CUST1030"/>
    <s v="PROD109"/>
    <d v="2025-02-03T00:00:00"/>
    <d v="2025-02-06T00:00:00"/>
    <m/>
    <x v="1"/>
    <x v="2"/>
    <x v="2"/>
    <s v="Returned"/>
    <n v="3713.57"/>
    <x v="1"/>
    <x v="2"/>
    <x v="0"/>
    <n v="3"/>
    <x v="0"/>
    <x v="2"/>
    <s v="Customer_136"/>
    <x v="2"/>
    <s v="A"/>
  </r>
  <r>
    <s v="ORD10003"/>
    <s v="CUST1237"/>
    <s v="PROD113"/>
    <d v="2025-01-25T00:00:00"/>
    <d v="2025-01-29T00:00:00"/>
    <m/>
    <x v="2"/>
    <x v="3"/>
    <x v="0"/>
    <s v="Cancelled"/>
    <n v="3073.56"/>
    <x v="2"/>
    <x v="3"/>
    <x v="0"/>
    <n v="4"/>
    <x v="0"/>
    <x v="2"/>
    <s v="Customer_86"/>
    <x v="3"/>
    <s v="B"/>
  </r>
  <r>
    <s v="ORD10004"/>
    <s v="CUST1003"/>
    <s v="PROD129"/>
    <d v="2025-03-20T00:00:00"/>
    <m/>
    <d v="2025-03-22T00:00:00"/>
    <x v="1"/>
    <x v="2"/>
    <x v="0"/>
    <s v="Delivered"/>
    <n v="948.89"/>
    <x v="3"/>
    <x v="1"/>
    <x v="1"/>
    <s v="Order Cancelled"/>
    <x v="1"/>
    <x v="1"/>
    <s v="Customer_232"/>
    <x v="4"/>
    <s v="A"/>
  </r>
  <r>
    <s v="ORD10005"/>
    <s v="CUST1193"/>
    <s v="PROD118"/>
    <d v="2025-01-03T00:00:00"/>
    <d v="2025-01-05T00:00:00"/>
    <m/>
    <x v="2"/>
    <x v="1"/>
    <x v="0"/>
    <s v="Delivered"/>
    <n v="948.77"/>
    <x v="2"/>
    <x v="3"/>
    <x v="0"/>
    <n v="2"/>
    <x v="0"/>
    <x v="0"/>
    <s v="Customer_265"/>
    <x v="5"/>
    <s v="B"/>
  </r>
  <r>
    <s v="ORD10006"/>
    <s v="CUST1033"/>
    <s v="PROD122"/>
    <d v="2025-02-07T00:00:00"/>
    <d v="2025-02-12T00:00:00"/>
    <m/>
    <x v="1"/>
    <x v="0"/>
    <x v="3"/>
    <s v="Returned"/>
    <n v="478.8"/>
    <x v="1"/>
    <x v="2"/>
    <x v="0"/>
    <n v="5"/>
    <x v="0"/>
    <x v="2"/>
    <s v="Customer_250"/>
    <x v="6"/>
    <s v="A"/>
  </r>
  <r>
    <s v="ORD10007"/>
    <s v="CUST1293"/>
    <s v="PROD112"/>
    <d v="2025-01-08T00:00:00"/>
    <d v="2025-01-13T00:00:00"/>
    <m/>
    <x v="0"/>
    <x v="1"/>
    <x v="4"/>
    <s v="Cancelled"/>
    <n v="4357.6499999999996"/>
    <x v="2"/>
    <x v="3"/>
    <x v="0"/>
    <n v="5"/>
    <x v="0"/>
    <x v="2"/>
    <s v="Customer_60"/>
    <x v="7"/>
    <s v="D"/>
  </r>
  <r>
    <s v="ORD10008"/>
    <s v="CUST1228"/>
    <s v="PROD107"/>
    <d v="2025-03-02T00:00:00"/>
    <d v="2025-03-05T00:00:00"/>
    <m/>
    <x v="1"/>
    <x v="4"/>
    <x v="1"/>
    <s v="Cancelled"/>
    <n v="3085.35"/>
    <x v="3"/>
    <x v="4"/>
    <x v="0"/>
    <n v="3"/>
    <x v="0"/>
    <x v="2"/>
    <s v="Customer_91"/>
    <x v="8"/>
    <s v="A"/>
  </r>
  <r>
    <s v="ORD10009"/>
    <s v="CUST1159"/>
    <s v="PROD120"/>
    <d v="2025-01-31T00:00:00"/>
    <d v="2025-02-05T00:00:00"/>
    <m/>
    <x v="3"/>
    <x v="4"/>
    <x v="3"/>
    <s v="Delivered"/>
    <n v="3598.75"/>
    <x v="2"/>
    <x v="2"/>
    <x v="0"/>
    <n v="5"/>
    <x v="0"/>
    <x v="2"/>
    <s v="Customer_26"/>
    <x v="9"/>
    <s v="C"/>
  </r>
  <r>
    <s v="ORD10010"/>
    <s v="CUST1227"/>
    <s v="PROD139"/>
    <d v="2025-01-25T00:00:00"/>
    <d v="2025-01-27T00:00:00"/>
    <m/>
    <x v="2"/>
    <x v="1"/>
    <x v="0"/>
    <s v="Delivered"/>
    <n v="298.81"/>
    <x v="2"/>
    <x v="3"/>
    <x v="0"/>
    <n v="2"/>
    <x v="0"/>
    <x v="0"/>
    <s v="Customer_68"/>
    <x v="10"/>
    <s v="B"/>
  </r>
  <r>
    <s v="ORD10011"/>
    <s v="CUST1132"/>
    <s v="PROD110"/>
    <d v="2025-04-14T00:00:00"/>
    <d v="2025-04-18T00:00:00"/>
    <m/>
    <x v="3"/>
    <x v="2"/>
    <x v="0"/>
    <s v="Returned"/>
    <n v="4855.57"/>
    <x v="0"/>
    <x v="0"/>
    <x v="0"/>
    <n v="4"/>
    <x v="0"/>
    <x v="2"/>
    <s v="Customer_44"/>
    <x v="11"/>
    <s v="C"/>
  </r>
  <r>
    <s v="ORD10012"/>
    <s v="CUST1105"/>
    <s v="PROD115"/>
    <d v="2025-03-12T00:00:00"/>
    <m/>
    <d v="2025-03-14T00:00:00"/>
    <x v="2"/>
    <x v="0"/>
    <x v="0"/>
    <s v="Returned"/>
    <n v="4195.72"/>
    <x v="3"/>
    <x v="1"/>
    <x v="1"/>
    <s v="Order Cancelled"/>
    <x v="1"/>
    <x v="1"/>
    <s v="Customer_11"/>
    <x v="12"/>
    <s v="B"/>
  </r>
  <r>
    <s v="ORD10013"/>
    <s v="CUST1165"/>
    <s v="PROD141"/>
    <d v="2025-04-22T00:00:00"/>
    <d v="2025-04-24T00:00:00"/>
    <m/>
    <x v="0"/>
    <x v="4"/>
    <x v="4"/>
    <s v="Cancelled"/>
    <n v="1219.23"/>
    <x v="0"/>
    <x v="0"/>
    <x v="0"/>
    <n v="2"/>
    <x v="0"/>
    <x v="0"/>
    <s v="Customer_155"/>
    <x v="13"/>
    <s v="D"/>
  </r>
  <r>
    <s v="ORD10014"/>
    <s v="CUST1017"/>
    <s v="PROD108"/>
    <d v="2025-04-03T00:00:00"/>
    <m/>
    <d v="2025-04-05T00:00:00"/>
    <x v="2"/>
    <x v="4"/>
    <x v="2"/>
    <s v="Delivered"/>
    <n v="1072.76"/>
    <x v="0"/>
    <x v="1"/>
    <x v="1"/>
    <s v="Order Cancelled"/>
    <x v="1"/>
    <x v="1"/>
    <s v="Customer_61"/>
    <x v="14"/>
    <s v="B"/>
  </r>
  <r>
    <s v="ORD10015"/>
    <s v="CUST1006"/>
    <s v="PROD128"/>
    <d v="2025-02-02T00:00:00"/>
    <m/>
    <d v="2025-02-02T00:00:00"/>
    <x v="3"/>
    <x v="1"/>
    <x v="4"/>
    <s v="Returned"/>
    <n v="1080.3399999999999"/>
    <x v="1"/>
    <x v="1"/>
    <x v="1"/>
    <s v="Order Cancelled"/>
    <x v="1"/>
    <x v="1"/>
    <s v="Customer_218"/>
    <x v="15"/>
    <s v="C"/>
  </r>
  <r>
    <s v="ORD10016"/>
    <s v="CUST1128"/>
    <s v="PROD102"/>
    <d v="2025-01-26T00:00:00"/>
    <d v="2025-01-27T00:00:00"/>
    <m/>
    <x v="0"/>
    <x v="1"/>
    <x v="4"/>
    <s v="Delivered"/>
    <n v="1660.36"/>
    <x v="2"/>
    <x v="3"/>
    <x v="0"/>
    <n v="1"/>
    <x v="0"/>
    <x v="0"/>
    <s v="Customer_255"/>
    <x v="16"/>
    <s v="D"/>
  </r>
  <r>
    <s v="ORD10017"/>
    <s v="CUST1241"/>
    <s v="PROD102"/>
    <d v="2025-04-23T00:00:00"/>
    <d v="2025-04-28T00:00:00"/>
    <m/>
    <x v="2"/>
    <x v="3"/>
    <x v="2"/>
    <s v="Returned"/>
    <n v="2718.83"/>
    <x v="0"/>
    <x v="0"/>
    <x v="0"/>
    <n v="5"/>
    <x v="0"/>
    <x v="2"/>
    <s v="Customer_205"/>
    <x v="16"/>
    <s v="B"/>
  </r>
  <r>
    <s v="ORD10018"/>
    <s v="CUST1108"/>
    <s v="PROD139"/>
    <d v="2025-01-02T00:00:00"/>
    <d v="2025-01-04T00:00:00"/>
    <m/>
    <x v="1"/>
    <x v="1"/>
    <x v="4"/>
    <s v="Returned"/>
    <n v="2273.34"/>
    <x v="2"/>
    <x v="3"/>
    <x v="0"/>
    <n v="2"/>
    <x v="0"/>
    <x v="0"/>
    <s v="Customer_199"/>
    <x v="10"/>
    <s v="A"/>
  </r>
  <r>
    <s v="ORD10019"/>
    <s v="CUST1156"/>
    <s v="PROD141"/>
    <d v="2025-02-24T00:00:00"/>
    <d v="2025-02-27T00:00:00"/>
    <m/>
    <x v="1"/>
    <x v="2"/>
    <x v="0"/>
    <s v="Cancelled"/>
    <n v="1597.9"/>
    <x v="1"/>
    <x v="2"/>
    <x v="0"/>
    <n v="3"/>
    <x v="0"/>
    <x v="2"/>
    <s v="Customer_95"/>
    <x v="13"/>
    <s v="A"/>
  </r>
  <r>
    <s v="ORD10020"/>
    <s v="CUST1078"/>
    <s v="PROD105"/>
    <d v="2025-04-14T00:00:00"/>
    <m/>
    <d v="2025-04-15T00:00:00"/>
    <x v="3"/>
    <x v="2"/>
    <x v="0"/>
    <s v="Cancelled"/>
    <n v="3136.89"/>
    <x v="0"/>
    <x v="1"/>
    <x v="1"/>
    <s v="Order Cancelled"/>
    <x v="1"/>
    <x v="1"/>
    <s v="Customer_283"/>
    <x v="17"/>
    <s v="C"/>
  </r>
  <r>
    <s v="ORD10021"/>
    <s v="CUST1003"/>
    <s v="PROD114"/>
    <d v="2025-01-01T00:00:00"/>
    <m/>
    <d v="2025-01-03T00:00:00"/>
    <x v="0"/>
    <x v="2"/>
    <x v="3"/>
    <s v="Cancelled"/>
    <n v="869.57"/>
    <x v="2"/>
    <x v="1"/>
    <x v="1"/>
    <s v="Order Cancelled"/>
    <x v="1"/>
    <x v="1"/>
    <s v="Customer_232"/>
    <x v="18"/>
    <s v="D"/>
  </r>
  <r>
    <s v="ORD10022"/>
    <s v="CUST1235"/>
    <s v="PROD103"/>
    <d v="2025-02-14T00:00:00"/>
    <m/>
    <d v="2025-02-15T00:00:00"/>
    <x v="1"/>
    <x v="3"/>
    <x v="3"/>
    <s v="Cancelled"/>
    <n v="1602.29"/>
    <x v="1"/>
    <x v="1"/>
    <x v="1"/>
    <s v="Order Cancelled"/>
    <x v="1"/>
    <x v="1"/>
    <s v="Customer_267"/>
    <x v="19"/>
    <s v="A"/>
  </r>
  <r>
    <s v="ORD10023"/>
    <s v="CUST1229"/>
    <s v="PROD121"/>
    <d v="2025-03-11T00:00:00"/>
    <d v="2025-03-16T00:00:00"/>
    <m/>
    <x v="1"/>
    <x v="1"/>
    <x v="0"/>
    <s v="Returned"/>
    <n v="1958.54"/>
    <x v="3"/>
    <x v="4"/>
    <x v="0"/>
    <n v="5"/>
    <x v="0"/>
    <x v="2"/>
    <s v="Customer_278"/>
    <x v="20"/>
    <s v="A"/>
  </r>
  <r>
    <s v="ORD10024"/>
    <s v="CUST1220"/>
    <s v="PROD138"/>
    <d v="2025-02-04T00:00:00"/>
    <m/>
    <d v="2025-02-04T00:00:00"/>
    <x v="3"/>
    <x v="4"/>
    <x v="0"/>
    <s v="Returned"/>
    <n v="2389.14"/>
    <x v="1"/>
    <x v="1"/>
    <x v="1"/>
    <s v="Order Cancelled"/>
    <x v="1"/>
    <x v="1"/>
    <s v="Customer_195"/>
    <x v="21"/>
    <s v="C"/>
  </r>
  <r>
    <s v="ORD10025"/>
    <s v="CUST1198"/>
    <s v="PROD143"/>
    <d v="2025-04-30T00:00:00"/>
    <d v="2025-05-03T00:00:00"/>
    <m/>
    <x v="1"/>
    <x v="4"/>
    <x v="3"/>
    <s v="Returned"/>
    <n v="3968.84"/>
    <x v="0"/>
    <x v="5"/>
    <x v="0"/>
    <n v="3"/>
    <x v="0"/>
    <x v="2"/>
    <s v="Customer_107"/>
    <x v="22"/>
    <s v="A"/>
  </r>
  <r>
    <s v="ORD10026"/>
    <s v="CUST1152"/>
    <s v="PROD150"/>
    <d v="2025-02-10T00:00:00"/>
    <d v="2025-02-12T00:00:00"/>
    <m/>
    <x v="0"/>
    <x v="0"/>
    <x v="2"/>
    <s v="Returned"/>
    <n v="1158.43"/>
    <x v="1"/>
    <x v="2"/>
    <x v="0"/>
    <n v="2"/>
    <x v="0"/>
    <x v="0"/>
    <s v="Customer_42"/>
    <x v="23"/>
    <s v="D"/>
  </r>
  <r>
    <s v="ORD10027"/>
    <s v="CUST1106"/>
    <s v="PROD104"/>
    <d v="2025-01-18T00:00:00"/>
    <d v="2025-01-22T00:00:00"/>
    <m/>
    <x v="1"/>
    <x v="1"/>
    <x v="0"/>
    <s v="Returned"/>
    <n v="2668.33"/>
    <x v="2"/>
    <x v="3"/>
    <x v="0"/>
    <n v="4"/>
    <x v="0"/>
    <x v="2"/>
    <s v="Customer_58"/>
    <x v="24"/>
    <s v="A"/>
  </r>
  <r>
    <s v="ORD10028"/>
    <s v="CUST1063"/>
    <s v="PROD120"/>
    <d v="2025-03-13T00:00:00"/>
    <m/>
    <d v="2025-03-15T00:00:00"/>
    <x v="2"/>
    <x v="3"/>
    <x v="0"/>
    <s v="Cancelled"/>
    <n v="3043.59"/>
    <x v="3"/>
    <x v="1"/>
    <x v="1"/>
    <s v="Order Cancelled"/>
    <x v="1"/>
    <x v="1"/>
    <s v="Customer_81"/>
    <x v="9"/>
    <s v="B"/>
  </r>
  <r>
    <s v="ORD10029"/>
    <s v="CUST1249"/>
    <s v="PROD142"/>
    <d v="2025-04-26T00:00:00"/>
    <d v="2025-04-30T00:00:00"/>
    <m/>
    <x v="3"/>
    <x v="1"/>
    <x v="2"/>
    <s v="Delivered"/>
    <n v="422.96"/>
    <x v="0"/>
    <x v="0"/>
    <x v="0"/>
    <n v="4"/>
    <x v="0"/>
    <x v="2"/>
    <s v="Customer_271"/>
    <x v="25"/>
    <s v="C"/>
  </r>
  <r>
    <s v="ORD10030"/>
    <s v="CUST1278"/>
    <s v="PROD125"/>
    <d v="2025-02-08T00:00:00"/>
    <m/>
    <d v="2025-02-08T00:00:00"/>
    <x v="0"/>
    <x v="4"/>
    <x v="3"/>
    <s v="Returned"/>
    <n v="3116.22"/>
    <x v="1"/>
    <x v="1"/>
    <x v="1"/>
    <s v="Order Cancelled"/>
    <x v="1"/>
    <x v="1"/>
    <s v="Customer_196"/>
    <x v="26"/>
    <s v="D"/>
  </r>
  <r>
    <s v="ORD10031"/>
    <s v="CUST1298"/>
    <s v="PROD125"/>
    <d v="2025-03-20T00:00:00"/>
    <d v="2025-03-25T00:00:00"/>
    <m/>
    <x v="0"/>
    <x v="1"/>
    <x v="1"/>
    <s v="Delivered"/>
    <n v="1018.52"/>
    <x v="3"/>
    <x v="4"/>
    <x v="0"/>
    <n v="5"/>
    <x v="0"/>
    <x v="2"/>
    <s v="Customer_178"/>
    <x v="26"/>
    <s v="D"/>
  </r>
  <r>
    <s v="ORD10032"/>
    <s v="CUST1292"/>
    <s v="PROD145"/>
    <d v="2025-02-22T00:00:00"/>
    <d v="2025-02-27T00:00:00"/>
    <m/>
    <x v="1"/>
    <x v="4"/>
    <x v="2"/>
    <s v="Delivered"/>
    <n v="512.25"/>
    <x v="1"/>
    <x v="2"/>
    <x v="0"/>
    <n v="5"/>
    <x v="0"/>
    <x v="2"/>
    <s v="Customer_1"/>
    <x v="27"/>
    <s v="A"/>
  </r>
  <r>
    <s v="ORD10033"/>
    <s v="CUST1126"/>
    <s v="PROD117"/>
    <d v="2025-04-19T00:00:00"/>
    <m/>
    <d v="2025-04-20T00:00:00"/>
    <x v="1"/>
    <x v="1"/>
    <x v="1"/>
    <s v="Cancelled"/>
    <n v="4754.6499999999996"/>
    <x v="0"/>
    <x v="1"/>
    <x v="1"/>
    <s v="Order Cancelled"/>
    <x v="1"/>
    <x v="1"/>
    <s v="Customer_215"/>
    <x v="28"/>
    <s v="A"/>
  </r>
  <r>
    <s v="ORD10034"/>
    <s v="CUST1184"/>
    <s v="PROD117"/>
    <d v="2025-03-16T00:00:00"/>
    <d v="2025-03-19T00:00:00"/>
    <m/>
    <x v="1"/>
    <x v="0"/>
    <x v="0"/>
    <s v="Cancelled"/>
    <n v="4835.03"/>
    <x v="3"/>
    <x v="4"/>
    <x v="0"/>
    <n v="3"/>
    <x v="0"/>
    <x v="2"/>
    <s v="Customer_50"/>
    <x v="28"/>
    <s v="A"/>
  </r>
  <r>
    <s v="ORD10035"/>
    <s v="CUST1051"/>
    <s v="PROD139"/>
    <d v="2025-02-14T00:00:00"/>
    <d v="2025-02-15T00:00:00"/>
    <m/>
    <x v="2"/>
    <x v="1"/>
    <x v="3"/>
    <s v="Delivered"/>
    <n v="4080.31"/>
    <x v="1"/>
    <x v="2"/>
    <x v="0"/>
    <n v="1"/>
    <x v="0"/>
    <x v="0"/>
    <s v="Customer_52"/>
    <x v="10"/>
    <s v="B"/>
  </r>
  <r>
    <s v="ORD10036"/>
    <s v="CUST1125"/>
    <s v="PROD139"/>
    <d v="2025-04-16T00:00:00"/>
    <d v="2025-04-22T00:00:00"/>
    <m/>
    <x v="1"/>
    <x v="1"/>
    <x v="1"/>
    <s v="Returned"/>
    <n v="1662.15"/>
    <x v="0"/>
    <x v="0"/>
    <x v="0"/>
    <n v="6"/>
    <x v="0"/>
    <x v="2"/>
    <s v="Customer_281"/>
    <x v="10"/>
    <s v="A"/>
  </r>
  <r>
    <s v="ORD10037"/>
    <s v="CUST1098"/>
    <s v="PROD147"/>
    <d v="2025-02-11T00:00:00"/>
    <m/>
    <d v="2025-02-13T00:00:00"/>
    <x v="1"/>
    <x v="4"/>
    <x v="0"/>
    <s v="Cancelled"/>
    <n v="668.83"/>
    <x v="1"/>
    <x v="1"/>
    <x v="1"/>
    <s v="Order Cancelled"/>
    <x v="1"/>
    <x v="1"/>
    <s v="Customer_66"/>
    <x v="1"/>
    <s v="A"/>
  </r>
  <r>
    <s v="ORD10038"/>
    <s v="CUST1172"/>
    <s v="PROD107"/>
    <d v="2025-01-24T00:00:00"/>
    <d v="2025-01-27T00:00:00"/>
    <m/>
    <x v="3"/>
    <x v="2"/>
    <x v="3"/>
    <s v="Cancelled"/>
    <n v="3484.32"/>
    <x v="2"/>
    <x v="3"/>
    <x v="0"/>
    <n v="3"/>
    <x v="0"/>
    <x v="2"/>
    <s v="Customer_268"/>
    <x v="8"/>
    <s v="C"/>
  </r>
  <r>
    <s v="ORD10039"/>
    <s v="CUST1088"/>
    <s v="PROD138"/>
    <d v="2025-03-16T00:00:00"/>
    <d v="2025-03-21T00:00:00"/>
    <m/>
    <x v="3"/>
    <x v="4"/>
    <x v="3"/>
    <s v="Delivered"/>
    <n v="2312.73"/>
    <x v="3"/>
    <x v="4"/>
    <x v="0"/>
    <n v="5"/>
    <x v="0"/>
    <x v="2"/>
    <s v="Customer_197"/>
    <x v="21"/>
    <s v="C"/>
  </r>
  <r>
    <s v="ORD10040"/>
    <s v="CUST1138"/>
    <s v="PROD145"/>
    <d v="2025-01-09T00:00:00"/>
    <d v="2025-01-13T00:00:00"/>
    <m/>
    <x v="0"/>
    <x v="3"/>
    <x v="1"/>
    <s v="Returned"/>
    <n v="785.78"/>
    <x v="2"/>
    <x v="3"/>
    <x v="0"/>
    <n v="4"/>
    <x v="0"/>
    <x v="2"/>
    <s v="Customer_93"/>
    <x v="27"/>
    <s v="D"/>
  </r>
  <r>
    <s v="ORD10041"/>
    <s v="CUST1184"/>
    <s v="PROD143"/>
    <d v="2025-04-10T00:00:00"/>
    <m/>
    <d v="2025-04-12T00:00:00"/>
    <x v="3"/>
    <x v="3"/>
    <x v="0"/>
    <s v="Delivered"/>
    <n v="2576.85"/>
    <x v="0"/>
    <x v="1"/>
    <x v="1"/>
    <s v="Order Cancelled"/>
    <x v="1"/>
    <x v="1"/>
    <s v="Customer_50"/>
    <x v="22"/>
    <s v="C"/>
  </r>
  <r>
    <s v="ORD10042"/>
    <s v="CUST1258"/>
    <s v="PROD139"/>
    <d v="2025-04-11T00:00:00"/>
    <d v="2025-04-13T00:00:00"/>
    <m/>
    <x v="0"/>
    <x v="4"/>
    <x v="4"/>
    <s v="Cancelled"/>
    <n v="365.06"/>
    <x v="0"/>
    <x v="0"/>
    <x v="0"/>
    <n v="2"/>
    <x v="0"/>
    <x v="0"/>
    <s v="Customer_170"/>
    <x v="10"/>
    <s v="D"/>
  </r>
  <r>
    <s v="ORD10043"/>
    <s v="CUST1289"/>
    <s v="PROD132"/>
    <d v="2025-02-11T00:00:00"/>
    <d v="2025-02-13T00:00:00"/>
    <m/>
    <x v="3"/>
    <x v="4"/>
    <x v="1"/>
    <s v="Returned"/>
    <n v="4564.74"/>
    <x v="1"/>
    <x v="2"/>
    <x v="0"/>
    <n v="2"/>
    <x v="0"/>
    <x v="0"/>
    <s v="Customer_72"/>
    <x v="29"/>
    <s v="C"/>
  </r>
  <r>
    <s v="ORD10044"/>
    <s v="CUST1071"/>
    <s v="PROD149"/>
    <d v="2025-01-25T00:00:00"/>
    <d v="2025-01-30T00:00:00"/>
    <m/>
    <x v="1"/>
    <x v="0"/>
    <x v="1"/>
    <s v="Delivered"/>
    <n v="1442.14"/>
    <x v="2"/>
    <x v="3"/>
    <x v="0"/>
    <n v="5"/>
    <x v="0"/>
    <x v="2"/>
    <s v="Customer_132"/>
    <x v="30"/>
    <s v="A"/>
  </r>
  <r>
    <s v="ORD10045"/>
    <s v="CUST1114"/>
    <s v="PROD120"/>
    <d v="2025-01-23T00:00:00"/>
    <m/>
    <d v="2025-01-25T00:00:00"/>
    <x v="2"/>
    <x v="2"/>
    <x v="0"/>
    <s v="Delivered"/>
    <n v="3380.11"/>
    <x v="2"/>
    <x v="1"/>
    <x v="1"/>
    <s v="Order Cancelled"/>
    <x v="1"/>
    <x v="1"/>
    <s v="Customer_21"/>
    <x v="9"/>
    <s v="B"/>
  </r>
  <r>
    <s v="ORD10046"/>
    <s v="CUST1118"/>
    <s v="PROD146"/>
    <d v="2025-04-05T00:00:00"/>
    <d v="2025-04-09T00:00:00"/>
    <m/>
    <x v="1"/>
    <x v="2"/>
    <x v="0"/>
    <s v="Cancelled"/>
    <n v="1696.21"/>
    <x v="0"/>
    <x v="0"/>
    <x v="0"/>
    <n v="4"/>
    <x v="0"/>
    <x v="2"/>
    <s v="Customer_214"/>
    <x v="31"/>
    <s v="A"/>
  </r>
  <r>
    <s v="ORD10047"/>
    <s v="CUST1100"/>
    <s v="PROD139"/>
    <d v="2025-04-04T00:00:00"/>
    <d v="2025-04-06T00:00:00"/>
    <m/>
    <x v="2"/>
    <x v="4"/>
    <x v="4"/>
    <s v="Cancelled"/>
    <n v="2696.33"/>
    <x v="0"/>
    <x v="0"/>
    <x v="0"/>
    <n v="2"/>
    <x v="0"/>
    <x v="0"/>
    <s v="Customer_269"/>
    <x v="10"/>
    <s v="B"/>
  </r>
  <r>
    <s v="ORD10048"/>
    <s v="CUST1164"/>
    <s v="PROD135"/>
    <d v="2025-03-01T00:00:00"/>
    <d v="2025-03-04T00:00:00"/>
    <m/>
    <x v="3"/>
    <x v="3"/>
    <x v="2"/>
    <s v="Cancelled"/>
    <n v="2824.21"/>
    <x v="3"/>
    <x v="4"/>
    <x v="0"/>
    <n v="3"/>
    <x v="0"/>
    <x v="2"/>
    <s v="Customer_2"/>
    <x v="32"/>
    <s v="C"/>
  </r>
  <r>
    <s v="ORD10049"/>
    <s v="CUST1124"/>
    <s v="PROD137"/>
    <d v="2025-03-13T00:00:00"/>
    <d v="2025-03-15T00:00:00"/>
    <m/>
    <x v="2"/>
    <x v="1"/>
    <x v="2"/>
    <s v="Returned"/>
    <n v="1087.3"/>
    <x v="3"/>
    <x v="4"/>
    <x v="0"/>
    <n v="2"/>
    <x v="0"/>
    <x v="0"/>
    <s v="Customer_49"/>
    <x v="33"/>
    <s v="B"/>
  </r>
  <r>
    <s v="ORD10050"/>
    <s v="CUST1219"/>
    <s v="PROD146"/>
    <d v="2025-01-07T00:00:00"/>
    <d v="2025-01-10T00:00:00"/>
    <m/>
    <x v="1"/>
    <x v="3"/>
    <x v="4"/>
    <s v="Returned"/>
    <n v="4854.01"/>
    <x v="2"/>
    <x v="3"/>
    <x v="0"/>
    <n v="3"/>
    <x v="0"/>
    <x v="2"/>
    <s v="Customer_229"/>
    <x v="31"/>
    <s v="A"/>
  </r>
  <r>
    <s v="ORD10051"/>
    <s v="CUST1042"/>
    <s v="PROD103"/>
    <d v="2025-02-11T00:00:00"/>
    <d v="2025-02-12T00:00:00"/>
    <m/>
    <x v="1"/>
    <x v="2"/>
    <x v="2"/>
    <s v="Cancelled"/>
    <n v="3920.64"/>
    <x v="1"/>
    <x v="2"/>
    <x v="0"/>
    <n v="1"/>
    <x v="0"/>
    <x v="0"/>
    <s v="Customer_135"/>
    <x v="19"/>
    <s v="A"/>
  </r>
  <r>
    <s v="ORD10052"/>
    <s v="CUST1232"/>
    <s v="PROD135"/>
    <d v="2025-01-31T00:00:00"/>
    <d v="2025-02-04T00:00:00"/>
    <m/>
    <x v="2"/>
    <x v="1"/>
    <x v="3"/>
    <s v="Delivered"/>
    <n v="4709.59"/>
    <x v="2"/>
    <x v="2"/>
    <x v="0"/>
    <n v="4"/>
    <x v="0"/>
    <x v="2"/>
    <s v="Customer_262"/>
    <x v="32"/>
    <s v="B"/>
  </r>
  <r>
    <s v="ORD10053"/>
    <s v="CUST1112"/>
    <s v="PROD113"/>
    <d v="2025-04-24T00:00:00"/>
    <m/>
    <d v="2025-04-25T00:00:00"/>
    <x v="3"/>
    <x v="4"/>
    <x v="0"/>
    <s v="Cancelled"/>
    <n v="4495.17"/>
    <x v="0"/>
    <x v="1"/>
    <x v="1"/>
    <s v="Order Cancelled"/>
    <x v="1"/>
    <x v="1"/>
    <s v="Customer_169"/>
    <x v="3"/>
    <s v="C"/>
  </r>
  <r>
    <s v="ORD10054"/>
    <s v="CUST1017"/>
    <s v="PROD117"/>
    <d v="2025-02-01T00:00:00"/>
    <d v="2025-02-06T00:00:00"/>
    <m/>
    <x v="3"/>
    <x v="1"/>
    <x v="2"/>
    <s v="Delivered"/>
    <n v="3069.92"/>
    <x v="1"/>
    <x v="2"/>
    <x v="0"/>
    <n v="5"/>
    <x v="0"/>
    <x v="2"/>
    <s v="Customer_61"/>
    <x v="28"/>
    <s v="C"/>
  </r>
  <r>
    <s v="ORD10055"/>
    <s v="CUST1135"/>
    <s v="PROD116"/>
    <d v="2025-01-06T00:00:00"/>
    <d v="2025-01-09T00:00:00"/>
    <m/>
    <x v="1"/>
    <x v="4"/>
    <x v="4"/>
    <s v="Returned"/>
    <n v="4625"/>
    <x v="2"/>
    <x v="3"/>
    <x v="0"/>
    <n v="3"/>
    <x v="0"/>
    <x v="2"/>
    <s v="Customer_126"/>
    <x v="34"/>
    <s v="A"/>
  </r>
  <r>
    <s v="ORD10056"/>
    <s v="CUST1187"/>
    <s v="PROD125"/>
    <d v="2025-04-24T00:00:00"/>
    <d v="2025-04-28T00:00:00"/>
    <m/>
    <x v="2"/>
    <x v="3"/>
    <x v="2"/>
    <s v="Delivered"/>
    <n v="624.76"/>
    <x v="0"/>
    <x v="0"/>
    <x v="0"/>
    <n v="4"/>
    <x v="0"/>
    <x v="2"/>
    <s v="Customer_84"/>
    <x v="26"/>
    <s v="B"/>
  </r>
  <r>
    <s v="ORD10057"/>
    <s v="CUST1140"/>
    <s v="PROD135"/>
    <d v="2025-01-07T00:00:00"/>
    <d v="2025-01-09T00:00:00"/>
    <m/>
    <x v="0"/>
    <x v="3"/>
    <x v="3"/>
    <s v="Returned"/>
    <n v="1140.72"/>
    <x v="2"/>
    <x v="3"/>
    <x v="0"/>
    <n v="2"/>
    <x v="0"/>
    <x v="0"/>
    <s v="Customer_124"/>
    <x v="32"/>
    <s v="D"/>
  </r>
  <r>
    <s v="ORD10058"/>
    <s v="CUST1108"/>
    <s v="PROD130"/>
    <d v="2025-02-27T00:00:00"/>
    <m/>
    <d v="2025-03-01T00:00:00"/>
    <x v="3"/>
    <x v="3"/>
    <x v="3"/>
    <s v="Returned"/>
    <n v="417.09"/>
    <x v="1"/>
    <x v="1"/>
    <x v="1"/>
    <s v="Order Cancelled"/>
    <x v="1"/>
    <x v="1"/>
    <s v="Customer_199"/>
    <x v="35"/>
    <s v="C"/>
  </r>
  <r>
    <s v="ORD10059"/>
    <s v="CUST1112"/>
    <s v="PROD139"/>
    <d v="2025-02-04T00:00:00"/>
    <d v="2025-02-07T00:00:00"/>
    <m/>
    <x v="2"/>
    <x v="3"/>
    <x v="3"/>
    <s v="Delivered"/>
    <n v="1761.59"/>
    <x v="1"/>
    <x v="2"/>
    <x v="0"/>
    <n v="3"/>
    <x v="0"/>
    <x v="2"/>
    <s v="Customer_169"/>
    <x v="10"/>
    <s v="B"/>
  </r>
  <r>
    <s v="ORD10060"/>
    <s v="CUST1291"/>
    <s v="PROD127"/>
    <d v="2025-01-20T00:00:00"/>
    <d v="2025-01-25T00:00:00"/>
    <m/>
    <x v="1"/>
    <x v="2"/>
    <x v="0"/>
    <s v="Cancelled"/>
    <n v="2065.65"/>
    <x v="2"/>
    <x v="3"/>
    <x v="0"/>
    <n v="5"/>
    <x v="0"/>
    <x v="2"/>
    <s v="Customer_224"/>
    <x v="36"/>
    <s v="A"/>
  </r>
  <r>
    <s v="ORD10061"/>
    <s v="CUST1149"/>
    <s v="PROD134"/>
    <d v="2025-04-11T00:00:00"/>
    <m/>
    <d v="2025-04-13T00:00:00"/>
    <x v="2"/>
    <x v="3"/>
    <x v="1"/>
    <s v="Cancelled"/>
    <n v="1502.48"/>
    <x v="0"/>
    <x v="1"/>
    <x v="1"/>
    <s v="Order Cancelled"/>
    <x v="1"/>
    <x v="1"/>
    <s v="Customer_12"/>
    <x v="37"/>
    <s v="B"/>
  </r>
  <r>
    <s v="ORD10062"/>
    <s v="CUST1104"/>
    <s v="PROD129"/>
    <d v="2025-04-09T00:00:00"/>
    <d v="2025-04-15T00:00:00"/>
    <m/>
    <x v="3"/>
    <x v="2"/>
    <x v="2"/>
    <s v="Cancelled"/>
    <n v="4177.9399999999996"/>
    <x v="0"/>
    <x v="0"/>
    <x v="0"/>
    <n v="6"/>
    <x v="0"/>
    <x v="2"/>
    <s v="Customer_179"/>
    <x v="4"/>
    <s v="C"/>
  </r>
  <r>
    <s v="ORD10063"/>
    <s v="CUST1145"/>
    <s v="PROD136"/>
    <d v="2025-04-03T00:00:00"/>
    <m/>
    <d v="2025-04-05T00:00:00"/>
    <x v="3"/>
    <x v="1"/>
    <x v="4"/>
    <s v="Returned"/>
    <n v="1912.42"/>
    <x v="0"/>
    <x v="1"/>
    <x v="1"/>
    <s v="Order Cancelled"/>
    <x v="1"/>
    <x v="1"/>
    <s v="Customer_233"/>
    <x v="38"/>
    <s v="C"/>
  </r>
  <r>
    <s v="ORD10064"/>
    <s v="CUST1257"/>
    <s v="PROD132"/>
    <d v="2025-02-18T00:00:00"/>
    <d v="2025-02-23T00:00:00"/>
    <m/>
    <x v="2"/>
    <x v="3"/>
    <x v="0"/>
    <s v="Cancelled"/>
    <n v="1548.49"/>
    <x v="1"/>
    <x v="2"/>
    <x v="0"/>
    <n v="5"/>
    <x v="0"/>
    <x v="2"/>
    <s v="Customer_29"/>
    <x v="29"/>
    <s v="B"/>
  </r>
  <r>
    <s v="ORD10065"/>
    <s v="CUST1144"/>
    <s v="PROD107"/>
    <d v="2025-02-13T00:00:00"/>
    <m/>
    <d v="2025-02-14T00:00:00"/>
    <x v="3"/>
    <x v="3"/>
    <x v="1"/>
    <s v="Returned"/>
    <n v="2804.94"/>
    <x v="1"/>
    <x v="1"/>
    <x v="1"/>
    <s v="Order Cancelled"/>
    <x v="1"/>
    <x v="1"/>
    <s v="Customer_181"/>
    <x v="8"/>
    <s v="C"/>
  </r>
  <r>
    <s v="ORD10066"/>
    <s v="CUST1076"/>
    <s v="PROD147"/>
    <d v="2025-04-06T00:00:00"/>
    <d v="2025-04-09T00:00:00"/>
    <m/>
    <x v="1"/>
    <x v="2"/>
    <x v="0"/>
    <s v="Returned"/>
    <n v="876.44"/>
    <x v="0"/>
    <x v="0"/>
    <x v="0"/>
    <n v="3"/>
    <x v="0"/>
    <x v="2"/>
    <s v="Customer_256"/>
    <x v="1"/>
    <s v="A"/>
  </r>
  <r>
    <s v="ORD10067"/>
    <s v="CUST1152"/>
    <s v="PROD120"/>
    <d v="2025-03-22T00:00:00"/>
    <d v="2025-03-25T00:00:00"/>
    <m/>
    <x v="1"/>
    <x v="4"/>
    <x v="2"/>
    <s v="Delivered"/>
    <n v="4050.55"/>
    <x v="3"/>
    <x v="4"/>
    <x v="0"/>
    <n v="3"/>
    <x v="0"/>
    <x v="2"/>
    <s v="Customer_42"/>
    <x v="9"/>
    <s v="A"/>
  </r>
  <r>
    <s v="ORD10068"/>
    <s v="CUST1156"/>
    <s v="PROD129"/>
    <d v="2025-03-07T00:00:00"/>
    <d v="2025-03-09T00:00:00"/>
    <m/>
    <x v="2"/>
    <x v="2"/>
    <x v="0"/>
    <s v="Cancelled"/>
    <n v="557.84"/>
    <x v="3"/>
    <x v="4"/>
    <x v="0"/>
    <n v="2"/>
    <x v="0"/>
    <x v="0"/>
    <s v="Customer_95"/>
    <x v="4"/>
    <s v="B"/>
  </r>
  <r>
    <s v="ORD10069"/>
    <s v="CUST1116"/>
    <s v="PROD146"/>
    <d v="2025-03-21T00:00:00"/>
    <d v="2025-03-25T00:00:00"/>
    <m/>
    <x v="0"/>
    <x v="3"/>
    <x v="3"/>
    <s v="Returned"/>
    <n v="4937.0600000000004"/>
    <x v="3"/>
    <x v="4"/>
    <x v="0"/>
    <n v="4"/>
    <x v="0"/>
    <x v="2"/>
    <s v="Customer_223"/>
    <x v="31"/>
    <s v="D"/>
  </r>
  <r>
    <s v="ORD10070"/>
    <s v="CUST1239"/>
    <s v="PROD135"/>
    <d v="2025-01-24T00:00:00"/>
    <d v="2025-01-29T00:00:00"/>
    <m/>
    <x v="3"/>
    <x v="3"/>
    <x v="1"/>
    <s v="Delivered"/>
    <n v="3906.77"/>
    <x v="2"/>
    <x v="3"/>
    <x v="0"/>
    <n v="5"/>
    <x v="0"/>
    <x v="2"/>
    <s v="Customer_36"/>
    <x v="32"/>
    <s v="C"/>
  </r>
  <r>
    <s v="ORD10071"/>
    <s v="CUST1048"/>
    <s v="PROD132"/>
    <d v="2025-04-01T00:00:00"/>
    <m/>
    <d v="2025-04-02T00:00:00"/>
    <x v="3"/>
    <x v="0"/>
    <x v="0"/>
    <s v="Delivered"/>
    <n v="1153.8399999999999"/>
    <x v="0"/>
    <x v="1"/>
    <x v="1"/>
    <s v="Order Cancelled"/>
    <x v="1"/>
    <x v="1"/>
    <s v="Customer_257"/>
    <x v="29"/>
    <s v="C"/>
  </r>
  <r>
    <s v="ORD10072"/>
    <s v="CUST1223"/>
    <s v="PROD108"/>
    <d v="2025-04-19T00:00:00"/>
    <m/>
    <d v="2025-04-21T00:00:00"/>
    <x v="0"/>
    <x v="3"/>
    <x v="0"/>
    <s v="Delivered"/>
    <n v="226.51"/>
    <x v="0"/>
    <x v="1"/>
    <x v="1"/>
    <s v="Order Cancelled"/>
    <x v="1"/>
    <x v="1"/>
    <s v="Customer_258"/>
    <x v="14"/>
    <s v="D"/>
  </r>
  <r>
    <s v="ORD10073"/>
    <s v="CUST1099"/>
    <s v="PROD110"/>
    <d v="2025-02-28T00:00:00"/>
    <d v="2025-03-01T00:00:00"/>
    <m/>
    <x v="3"/>
    <x v="4"/>
    <x v="0"/>
    <s v="Returned"/>
    <n v="4114.21"/>
    <x v="1"/>
    <x v="4"/>
    <x v="0"/>
    <n v="1"/>
    <x v="0"/>
    <x v="0"/>
    <s v="Customer_280"/>
    <x v="11"/>
    <s v="C"/>
  </r>
  <r>
    <s v="ORD10074"/>
    <s v="CUST1124"/>
    <s v="PROD121"/>
    <d v="2025-01-06T00:00:00"/>
    <m/>
    <d v="2025-01-06T00:00:00"/>
    <x v="1"/>
    <x v="4"/>
    <x v="4"/>
    <s v="Returned"/>
    <n v="3592.92"/>
    <x v="2"/>
    <x v="1"/>
    <x v="1"/>
    <s v="Order Cancelled"/>
    <x v="1"/>
    <x v="1"/>
    <s v="Customer_49"/>
    <x v="20"/>
    <s v="A"/>
  </r>
  <r>
    <s v="ORD10075"/>
    <s v="CUST1008"/>
    <s v="PROD145"/>
    <d v="2025-02-21T00:00:00"/>
    <d v="2025-02-22T00:00:00"/>
    <m/>
    <x v="3"/>
    <x v="4"/>
    <x v="2"/>
    <s v="Delivered"/>
    <n v="3699.23"/>
    <x v="1"/>
    <x v="2"/>
    <x v="0"/>
    <n v="1"/>
    <x v="0"/>
    <x v="0"/>
    <s v="Customer_128"/>
    <x v="27"/>
    <s v="C"/>
  </r>
  <r>
    <s v="ORD10076"/>
    <s v="CUST1116"/>
    <s v="PROD135"/>
    <d v="2025-03-27T00:00:00"/>
    <d v="2025-03-31T00:00:00"/>
    <m/>
    <x v="2"/>
    <x v="0"/>
    <x v="2"/>
    <s v="Cancelled"/>
    <n v="3902.1"/>
    <x v="3"/>
    <x v="4"/>
    <x v="0"/>
    <n v="4"/>
    <x v="0"/>
    <x v="2"/>
    <s v="Customer_223"/>
    <x v="32"/>
    <s v="B"/>
  </r>
  <r>
    <s v="ORD10077"/>
    <s v="CUST1265"/>
    <s v="PROD143"/>
    <d v="2025-04-08T00:00:00"/>
    <m/>
    <d v="2025-04-09T00:00:00"/>
    <x v="2"/>
    <x v="4"/>
    <x v="1"/>
    <s v="Cancelled"/>
    <n v="555.41"/>
    <x v="0"/>
    <x v="1"/>
    <x v="1"/>
    <s v="Order Cancelled"/>
    <x v="1"/>
    <x v="1"/>
    <s v="Customer_54"/>
    <x v="22"/>
    <s v="B"/>
  </r>
  <r>
    <s v="ORD10078"/>
    <s v="CUST1256"/>
    <s v="PROD108"/>
    <d v="2025-01-13T00:00:00"/>
    <d v="2025-01-17T00:00:00"/>
    <m/>
    <x v="0"/>
    <x v="3"/>
    <x v="0"/>
    <s v="Cancelled"/>
    <n v="1920.64"/>
    <x v="2"/>
    <x v="3"/>
    <x v="0"/>
    <n v="4"/>
    <x v="0"/>
    <x v="2"/>
    <s v="Customer_245"/>
    <x v="14"/>
    <s v="D"/>
  </r>
  <r>
    <s v="ORD10079"/>
    <s v="CUST1240"/>
    <s v="PROD144"/>
    <d v="2025-01-31T00:00:00"/>
    <d v="2025-02-04T00:00:00"/>
    <m/>
    <x v="0"/>
    <x v="0"/>
    <x v="4"/>
    <s v="Delivered"/>
    <n v="756.17"/>
    <x v="2"/>
    <x v="2"/>
    <x v="0"/>
    <n v="4"/>
    <x v="0"/>
    <x v="2"/>
    <s v="Customer_78"/>
    <x v="39"/>
    <s v="D"/>
  </r>
  <r>
    <s v="ORD10080"/>
    <s v="CUST1153"/>
    <s v="PROD147"/>
    <d v="2025-01-08T00:00:00"/>
    <d v="2025-01-10T00:00:00"/>
    <m/>
    <x v="3"/>
    <x v="3"/>
    <x v="4"/>
    <s v="Returned"/>
    <n v="4342.8999999999996"/>
    <x v="2"/>
    <x v="3"/>
    <x v="0"/>
    <n v="2"/>
    <x v="0"/>
    <x v="0"/>
    <s v="Customer_242"/>
    <x v="1"/>
    <s v="C"/>
  </r>
  <r>
    <s v="ORD10081"/>
    <s v="CUST1120"/>
    <s v="PROD101"/>
    <d v="2025-03-15T00:00:00"/>
    <d v="2025-03-18T00:00:00"/>
    <m/>
    <x v="0"/>
    <x v="3"/>
    <x v="2"/>
    <s v="Delivered"/>
    <n v="3191.83"/>
    <x v="3"/>
    <x v="4"/>
    <x v="0"/>
    <n v="3"/>
    <x v="0"/>
    <x v="2"/>
    <s v="Customer_226"/>
    <x v="40"/>
    <s v="D"/>
  </r>
  <r>
    <s v="ORD10082"/>
    <s v="CUST1231"/>
    <s v="PROD135"/>
    <d v="2025-04-29T00:00:00"/>
    <d v="2025-05-01T00:00:00"/>
    <m/>
    <x v="3"/>
    <x v="3"/>
    <x v="0"/>
    <s v="Cancelled"/>
    <n v="1788.31"/>
    <x v="0"/>
    <x v="5"/>
    <x v="0"/>
    <n v="2"/>
    <x v="0"/>
    <x v="0"/>
    <s v="Customer_118"/>
    <x v="32"/>
    <s v="C"/>
  </r>
  <r>
    <s v="ORD10083"/>
    <s v="CUST1114"/>
    <s v="PROD104"/>
    <d v="2025-03-19T00:00:00"/>
    <m/>
    <d v="2025-03-19T00:00:00"/>
    <x v="1"/>
    <x v="0"/>
    <x v="0"/>
    <s v="Delivered"/>
    <n v="505.08"/>
    <x v="3"/>
    <x v="1"/>
    <x v="1"/>
    <s v="Order Cancelled"/>
    <x v="1"/>
    <x v="1"/>
    <s v="Customer_21"/>
    <x v="24"/>
    <s v="A"/>
  </r>
  <r>
    <s v="ORD10084"/>
    <s v="CUST1072"/>
    <s v="PROD113"/>
    <d v="2025-04-03T00:00:00"/>
    <d v="2025-04-06T00:00:00"/>
    <m/>
    <x v="0"/>
    <x v="3"/>
    <x v="1"/>
    <s v="Delivered"/>
    <n v="1692.72"/>
    <x v="0"/>
    <x v="0"/>
    <x v="0"/>
    <n v="3"/>
    <x v="0"/>
    <x v="2"/>
    <s v="Customer_192"/>
    <x v="3"/>
    <s v="D"/>
  </r>
  <r>
    <s v="ORD10085"/>
    <s v="CUST1037"/>
    <s v="PROD137"/>
    <d v="2025-03-07T00:00:00"/>
    <d v="2025-03-11T00:00:00"/>
    <m/>
    <x v="2"/>
    <x v="4"/>
    <x v="3"/>
    <s v="Cancelled"/>
    <n v="1760.88"/>
    <x v="3"/>
    <x v="4"/>
    <x v="0"/>
    <n v="4"/>
    <x v="0"/>
    <x v="2"/>
    <s v="Customer_222"/>
    <x v="33"/>
    <s v="B"/>
  </r>
  <r>
    <s v="ORD10086"/>
    <s v="CUST1140"/>
    <s v="PROD118"/>
    <d v="2025-01-22T00:00:00"/>
    <m/>
    <d v="2025-01-23T00:00:00"/>
    <x v="3"/>
    <x v="2"/>
    <x v="2"/>
    <s v="Returned"/>
    <n v="3702.11"/>
    <x v="2"/>
    <x v="1"/>
    <x v="1"/>
    <s v="Order Cancelled"/>
    <x v="1"/>
    <x v="1"/>
    <s v="Customer_124"/>
    <x v="5"/>
    <s v="C"/>
  </r>
  <r>
    <s v="ORD10087"/>
    <s v="CUST1150"/>
    <s v="PROD149"/>
    <d v="2025-03-16T00:00:00"/>
    <m/>
    <d v="2025-03-17T00:00:00"/>
    <x v="2"/>
    <x v="0"/>
    <x v="4"/>
    <s v="Returned"/>
    <n v="3260.28"/>
    <x v="3"/>
    <x v="1"/>
    <x v="1"/>
    <s v="Order Cancelled"/>
    <x v="1"/>
    <x v="1"/>
    <s v="Customer_198"/>
    <x v="30"/>
    <s v="B"/>
  </r>
  <r>
    <s v="ORD10088"/>
    <s v="CUST1225"/>
    <s v="PROD133"/>
    <d v="2025-01-17T00:00:00"/>
    <d v="2025-01-21T00:00:00"/>
    <m/>
    <x v="1"/>
    <x v="3"/>
    <x v="2"/>
    <s v="Delivered"/>
    <n v="4458.62"/>
    <x v="2"/>
    <x v="3"/>
    <x v="0"/>
    <n v="4"/>
    <x v="0"/>
    <x v="2"/>
    <s v="Customer_152"/>
    <x v="41"/>
    <s v="A"/>
  </r>
  <r>
    <s v="ORD10089"/>
    <s v="CUST1031"/>
    <s v="PROD140"/>
    <d v="2025-04-14T00:00:00"/>
    <m/>
    <d v="2025-04-16T00:00:00"/>
    <x v="1"/>
    <x v="1"/>
    <x v="2"/>
    <s v="Cancelled"/>
    <n v="2466.63"/>
    <x v="0"/>
    <x v="1"/>
    <x v="1"/>
    <s v="Order Cancelled"/>
    <x v="1"/>
    <x v="1"/>
    <s v="Customer_101"/>
    <x v="42"/>
    <s v="A"/>
  </r>
  <r>
    <s v="ORD10090"/>
    <s v="CUST1264"/>
    <s v="PROD130"/>
    <d v="2025-02-19T00:00:00"/>
    <d v="2025-02-24T00:00:00"/>
    <m/>
    <x v="3"/>
    <x v="1"/>
    <x v="1"/>
    <s v="Delivered"/>
    <n v="774.05"/>
    <x v="1"/>
    <x v="2"/>
    <x v="0"/>
    <n v="5"/>
    <x v="0"/>
    <x v="2"/>
    <s v="Customer_173"/>
    <x v="35"/>
    <s v="C"/>
  </r>
  <r>
    <s v="ORD10091"/>
    <s v="CUST1083"/>
    <s v="PROD106"/>
    <d v="2025-01-01T00:00:00"/>
    <m/>
    <d v="2025-01-01T00:00:00"/>
    <x v="3"/>
    <x v="4"/>
    <x v="4"/>
    <s v="Cancelled"/>
    <n v="3623.57"/>
    <x v="2"/>
    <x v="1"/>
    <x v="1"/>
    <s v="Order Cancelled"/>
    <x v="1"/>
    <x v="1"/>
    <s v="Customer_189"/>
    <x v="43"/>
    <s v="C"/>
  </r>
  <r>
    <s v="ORD10092"/>
    <s v="CUST1163"/>
    <s v="PROD149"/>
    <d v="2025-03-23T00:00:00"/>
    <d v="2025-03-28T00:00:00"/>
    <m/>
    <x v="1"/>
    <x v="1"/>
    <x v="3"/>
    <s v="Returned"/>
    <n v="3851.77"/>
    <x v="3"/>
    <x v="4"/>
    <x v="0"/>
    <n v="5"/>
    <x v="0"/>
    <x v="2"/>
    <s v="Customer_129"/>
    <x v="30"/>
    <s v="A"/>
  </r>
  <r>
    <s v="ORD10093"/>
    <s v="CUST1105"/>
    <s v="PROD115"/>
    <d v="2025-01-06T00:00:00"/>
    <m/>
    <d v="2025-01-08T00:00:00"/>
    <x v="1"/>
    <x v="1"/>
    <x v="4"/>
    <s v="Cancelled"/>
    <n v="2894.13"/>
    <x v="2"/>
    <x v="1"/>
    <x v="1"/>
    <s v="Order Cancelled"/>
    <x v="1"/>
    <x v="1"/>
    <s v="Customer_11"/>
    <x v="12"/>
    <s v="A"/>
  </r>
  <r>
    <s v="ORD10094"/>
    <s v="CUST1126"/>
    <s v="PROD136"/>
    <d v="2025-04-23T00:00:00"/>
    <m/>
    <d v="2025-04-23T00:00:00"/>
    <x v="2"/>
    <x v="2"/>
    <x v="4"/>
    <s v="Delivered"/>
    <n v="3900.64"/>
    <x v="0"/>
    <x v="1"/>
    <x v="1"/>
    <s v="Order Cancelled"/>
    <x v="1"/>
    <x v="1"/>
    <s v="Customer_215"/>
    <x v="38"/>
    <s v="B"/>
  </r>
  <r>
    <s v="ORD10095"/>
    <s v="CUST1233"/>
    <s v="PROD116"/>
    <d v="2025-01-23T00:00:00"/>
    <d v="2025-01-27T00:00:00"/>
    <m/>
    <x v="1"/>
    <x v="4"/>
    <x v="0"/>
    <s v="Cancelled"/>
    <n v="2570.2199999999998"/>
    <x v="2"/>
    <x v="3"/>
    <x v="0"/>
    <n v="4"/>
    <x v="0"/>
    <x v="2"/>
    <s v="Customer_148"/>
    <x v="34"/>
    <s v="A"/>
  </r>
  <r>
    <s v="ORD10096"/>
    <s v="CUST1137"/>
    <s v="PROD101"/>
    <d v="2025-01-10T00:00:00"/>
    <d v="2025-01-13T00:00:00"/>
    <m/>
    <x v="0"/>
    <x v="4"/>
    <x v="1"/>
    <s v="Cancelled"/>
    <n v="2709.12"/>
    <x v="2"/>
    <x v="3"/>
    <x v="0"/>
    <n v="3"/>
    <x v="0"/>
    <x v="2"/>
    <s v="Customer_263"/>
    <x v="40"/>
    <s v="D"/>
  </r>
  <r>
    <s v="ORD10097"/>
    <s v="CUST1219"/>
    <s v="PROD117"/>
    <d v="2025-04-11T00:00:00"/>
    <m/>
    <d v="2025-04-11T00:00:00"/>
    <x v="2"/>
    <x v="3"/>
    <x v="4"/>
    <s v="Returned"/>
    <n v="2252.1999999999998"/>
    <x v="0"/>
    <x v="1"/>
    <x v="1"/>
    <s v="Order Cancelled"/>
    <x v="1"/>
    <x v="1"/>
    <s v="Customer_229"/>
    <x v="28"/>
    <s v="B"/>
  </r>
  <r>
    <s v="ORD10098"/>
    <s v="CUST1041"/>
    <s v="PROD105"/>
    <d v="2025-01-21T00:00:00"/>
    <d v="2025-01-23T00:00:00"/>
    <m/>
    <x v="0"/>
    <x v="3"/>
    <x v="4"/>
    <s v="Delivered"/>
    <n v="322.01"/>
    <x v="2"/>
    <x v="3"/>
    <x v="0"/>
    <n v="2"/>
    <x v="0"/>
    <x v="0"/>
    <s v="Customer_249"/>
    <x v="17"/>
    <s v="D"/>
  </r>
  <r>
    <s v="ORD10099"/>
    <s v="CUST1088"/>
    <s v="PROD116"/>
    <d v="2025-02-08T00:00:00"/>
    <d v="2025-02-12T00:00:00"/>
    <m/>
    <x v="3"/>
    <x v="2"/>
    <x v="1"/>
    <s v="Delivered"/>
    <n v="717.88"/>
    <x v="1"/>
    <x v="2"/>
    <x v="0"/>
    <n v="4"/>
    <x v="0"/>
    <x v="2"/>
    <s v="Customer_197"/>
    <x v="34"/>
    <s v="C"/>
  </r>
  <r>
    <s v="ORD10100"/>
    <s v="CUST1121"/>
    <s v="PROD107"/>
    <d v="2025-04-19T00:00:00"/>
    <d v="2025-04-23T00:00:00"/>
    <m/>
    <x v="1"/>
    <x v="4"/>
    <x v="0"/>
    <s v="Cancelled"/>
    <n v="350.86"/>
    <x v="0"/>
    <x v="0"/>
    <x v="0"/>
    <n v="4"/>
    <x v="0"/>
    <x v="2"/>
    <s v="Customer_210"/>
    <x v="8"/>
    <s v="A"/>
  </r>
  <r>
    <s v="ORD10101"/>
    <s v="CUST1049"/>
    <s v="PROD117"/>
    <d v="2025-01-28T00:00:00"/>
    <d v="2025-01-31T00:00:00"/>
    <m/>
    <x v="0"/>
    <x v="3"/>
    <x v="3"/>
    <s v="Cancelled"/>
    <n v="3254.77"/>
    <x v="2"/>
    <x v="3"/>
    <x v="0"/>
    <n v="3"/>
    <x v="0"/>
    <x v="2"/>
    <s v="Customer_244"/>
    <x v="28"/>
    <s v="D"/>
  </r>
  <r>
    <s v="ORD10102"/>
    <s v="CUST1211"/>
    <s v="PROD130"/>
    <d v="2025-04-18T00:00:00"/>
    <d v="2025-04-23T00:00:00"/>
    <m/>
    <x v="3"/>
    <x v="4"/>
    <x v="0"/>
    <s v="Delivered"/>
    <n v="1708.91"/>
    <x v="0"/>
    <x v="0"/>
    <x v="0"/>
    <n v="5"/>
    <x v="0"/>
    <x v="2"/>
    <s v="Customer_100"/>
    <x v="35"/>
    <s v="C"/>
  </r>
  <r>
    <s v="ORD10103"/>
    <s v="CUST1091"/>
    <s v="PROD129"/>
    <d v="2025-03-02T00:00:00"/>
    <m/>
    <d v="2025-03-03T00:00:00"/>
    <x v="2"/>
    <x v="3"/>
    <x v="3"/>
    <s v="Returned"/>
    <n v="2641.14"/>
    <x v="3"/>
    <x v="1"/>
    <x v="1"/>
    <s v="Order Cancelled"/>
    <x v="1"/>
    <x v="1"/>
    <s v="Customer_73"/>
    <x v="4"/>
    <s v="B"/>
  </r>
  <r>
    <s v="ORD10104"/>
    <s v="CUST1144"/>
    <s v="PROD147"/>
    <d v="2025-04-27T00:00:00"/>
    <m/>
    <d v="2025-04-27T00:00:00"/>
    <x v="0"/>
    <x v="3"/>
    <x v="1"/>
    <s v="Returned"/>
    <n v="4556.32"/>
    <x v="0"/>
    <x v="1"/>
    <x v="1"/>
    <s v="Order Cancelled"/>
    <x v="1"/>
    <x v="1"/>
    <s v="Customer_181"/>
    <x v="1"/>
    <s v="D"/>
  </r>
  <r>
    <s v="ORD10105"/>
    <s v="CUST1195"/>
    <s v="PROD134"/>
    <d v="2025-04-03T00:00:00"/>
    <d v="2025-04-07T00:00:00"/>
    <m/>
    <x v="3"/>
    <x v="2"/>
    <x v="2"/>
    <s v="Returned"/>
    <n v="1396.6"/>
    <x v="0"/>
    <x v="0"/>
    <x v="0"/>
    <n v="4"/>
    <x v="0"/>
    <x v="2"/>
    <s v="Customer_121"/>
    <x v="37"/>
    <s v="C"/>
  </r>
  <r>
    <s v="ORD10106"/>
    <s v="CUST1288"/>
    <s v="PROD138"/>
    <d v="2025-03-06T00:00:00"/>
    <d v="2025-03-07T00:00:00"/>
    <m/>
    <x v="0"/>
    <x v="4"/>
    <x v="3"/>
    <s v="Cancelled"/>
    <n v="2169.84"/>
    <x v="3"/>
    <x v="4"/>
    <x v="0"/>
    <n v="1"/>
    <x v="0"/>
    <x v="0"/>
    <s v="Customer_139"/>
    <x v="21"/>
    <s v="D"/>
  </r>
  <r>
    <s v="ORD10107"/>
    <s v="CUST1087"/>
    <s v="PROD111"/>
    <d v="2025-01-17T00:00:00"/>
    <d v="2025-01-20T00:00:00"/>
    <m/>
    <x v="0"/>
    <x v="4"/>
    <x v="0"/>
    <s v="Delivered"/>
    <n v="3826.65"/>
    <x v="2"/>
    <x v="3"/>
    <x v="0"/>
    <n v="3"/>
    <x v="0"/>
    <x v="2"/>
    <s v="Customer_158"/>
    <x v="44"/>
    <s v="D"/>
  </r>
  <r>
    <s v="ORD10108"/>
    <s v="CUST1299"/>
    <s v="PROD135"/>
    <d v="2025-01-07T00:00:00"/>
    <m/>
    <d v="2025-01-08T00:00:00"/>
    <x v="1"/>
    <x v="1"/>
    <x v="2"/>
    <s v="Cancelled"/>
    <n v="1298.23"/>
    <x v="2"/>
    <x v="1"/>
    <x v="1"/>
    <s v="Order Cancelled"/>
    <x v="1"/>
    <x v="1"/>
    <s v="Customer_123"/>
    <x v="32"/>
    <s v="A"/>
  </r>
  <r>
    <s v="ORD10109"/>
    <s v="CUST1170"/>
    <s v="PROD138"/>
    <d v="2025-04-18T00:00:00"/>
    <m/>
    <d v="2025-04-20T00:00:00"/>
    <x v="3"/>
    <x v="2"/>
    <x v="3"/>
    <s v="Returned"/>
    <n v="569.5"/>
    <x v="0"/>
    <x v="1"/>
    <x v="1"/>
    <s v="Order Cancelled"/>
    <x v="1"/>
    <x v="1"/>
    <s v="Customer_3"/>
    <x v="21"/>
    <s v="C"/>
  </r>
  <r>
    <s v="ORD10110"/>
    <s v="CUST1209"/>
    <s v="PROD122"/>
    <d v="2025-01-05T00:00:00"/>
    <m/>
    <d v="2025-01-05T00:00:00"/>
    <x v="1"/>
    <x v="4"/>
    <x v="2"/>
    <s v="Delivered"/>
    <n v="1590.81"/>
    <x v="2"/>
    <x v="1"/>
    <x v="1"/>
    <s v="Order Cancelled"/>
    <x v="1"/>
    <x v="1"/>
    <s v="Customer_240"/>
    <x v="6"/>
    <s v="A"/>
  </r>
  <r>
    <s v="ORD10111"/>
    <s v="CUST1100"/>
    <s v="PROD139"/>
    <d v="2025-04-03T00:00:00"/>
    <m/>
    <d v="2025-04-05T00:00:00"/>
    <x v="2"/>
    <x v="2"/>
    <x v="4"/>
    <s v="Returned"/>
    <n v="973.86"/>
    <x v="0"/>
    <x v="1"/>
    <x v="1"/>
    <s v="Order Cancelled"/>
    <x v="1"/>
    <x v="1"/>
    <s v="Customer_269"/>
    <x v="10"/>
    <s v="B"/>
  </r>
  <r>
    <s v="ORD10112"/>
    <s v="CUST1167"/>
    <s v="PROD109"/>
    <d v="2025-03-10T00:00:00"/>
    <d v="2025-03-15T00:00:00"/>
    <m/>
    <x v="3"/>
    <x v="0"/>
    <x v="4"/>
    <s v="Cancelled"/>
    <n v="4662.55"/>
    <x v="3"/>
    <x v="4"/>
    <x v="0"/>
    <n v="5"/>
    <x v="0"/>
    <x v="2"/>
    <s v="Customer_160"/>
    <x v="2"/>
    <s v="C"/>
  </r>
  <r>
    <s v="ORD10113"/>
    <s v="CUST1078"/>
    <s v="PROD112"/>
    <d v="2025-01-16T00:00:00"/>
    <d v="2025-01-21T00:00:00"/>
    <m/>
    <x v="3"/>
    <x v="3"/>
    <x v="1"/>
    <s v="Cancelled"/>
    <n v="4078.98"/>
    <x v="2"/>
    <x v="3"/>
    <x v="0"/>
    <n v="5"/>
    <x v="0"/>
    <x v="2"/>
    <s v="Customer_283"/>
    <x v="7"/>
    <s v="C"/>
  </r>
  <r>
    <s v="ORD10114"/>
    <s v="CUST1215"/>
    <s v="PROD106"/>
    <d v="2025-01-17T00:00:00"/>
    <d v="2025-01-18T00:00:00"/>
    <m/>
    <x v="3"/>
    <x v="2"/>
    <x v="3"/>
    <s v="Delivered"/>
    <n v="3240.34"/>
    <x v="2"/>
    <x v="3"/>
    <x v="0"/>
    <n v="1"/>
    <x v="0"/>
    <x v="0"/>
    <s v="Customer_37"/>
    <x v="43"/>
    <s v="C"/>
  </r>
  <r>
    <s v="ORD10115"/>
    <s v="CUST1287"/>
    <s v="PROD107"/>
    <d v="2025-03-02T00:00:00"/>
    <d v="2025-03-05T00:00:00"/>
    <m/>
    <x v="0"/>
    <x v="4"/>
    <x v="1"/>
    <s v="Cancelled"/>
    <n v="4383.01"/>
    <x v="3"/>
    <x v="4"/>
    <x v="0"/>
    <n v="3"/>
    <x v="0"/>
    <x v="2"/>
    <s v="Customer_53"/>
    <x v="8"/>
    <s v="D"/>
  </r>
  <r>
    <s v="ORD10116"/>
    <s v="CUST1007"/>
    <s v="PROD128"/>
    <d v="2025-04-03T00:00:00"/>
    <d v="2025-04-07T00:00:00"/>
    <m/>
    <x v="2"/>
    <x v="3"/>
    <x v="4"/>
    <s v="Delivered"/>
    <n v="4057.63"/>
    <x v="0"/>
    <x v="0"/>
    <x v="0"/>
    <n v="4"/>
    <x v="0"/>
    <x v="2"/>
    <s v="Customer_16"/>
    <x v="15"/>
    <s v="B"/>
  </r>
  <r>
    <s v="ORD10117"/>
    <s v="CUST1041"/>
    <s v="PROD135"/>
    <d v="2025-01-30T00:00:00"/>
    <m/>
    <d v="2025-02-01T00:00:00"/>
    <x v="3"/>
    <x v="0"/>
    <x v="0"/>
    <s v="Delivered"/>
    <n v="1095.54"/>
    <x v="2"/>
    <x v="1"/>
    <x v="1"/>
    <s v="Order Cancelled"/>
    <x v="1"/>
    <x v="1"/>
    <s v="Customer_249"/>
    <x v="32"/>
    <s v="C"/>
  </r>
  <r>
    <s v="ORD10118"/>
    <s v="CUST1179"/>
    <s v="PROD135"/>
    <d v="2025-01-10T00:00:00"/>
    <d v="2025-01-13T00:00:00"/>
    <m/>
    <x v="0"/>
    <x v="1"/>
    <x v="3"/>
    <s v="Cancelled"/>
    <n v="4484.28"/>
    <x v="2"/>
    <x v="3"/>
    <x v="0"/>
    <n v="3"/>
    <x v="0"/>
    <x v="2"/>
    <s v="Customer_57"/>
    <x v="32"/>
    <s v="D"/>
  </r>
  <r>
    <s v="ORD10119"/>
    <s v="CUST1289"/>
    <s v="PROD120"/>
    <d v="2025-01-06T00:00:00"/>
    <d v="2025-01-12T00:00:00"/>
    <m/>
    <x v="1"/>
    <x v="0"/>
    <x v="2"/>
    <s v="Cancelled"/>
    <n v="2788.84"/>
    <x v="2"/>
    <x v="3"/>
    <x v="0"/>
    <n v="6"/>
    <x v="0"/>
    <x v="2"/>
    <s v="Customer_72"/>
    <x v="9"/>
    <s v="A"/>
  </r>
  <r>
    <s v="ORD10120"/>
    <s v="CUST1266"/>
    <s v="PROD124"/>
    <d v="2025-03-22T00:00:00"/>
    <d v="2025-03-27T00:00:00"/>
    <m/>
    <x v="1"/>
    <x v="2"/>
    <x v="3"/>
    <s v="Returned"/>
    <n v="4075.71"/>
    <x v="3"/>
    <x v="4"/>
    <x v="0"/>
    <n v="5"/>
    <x v="0"/>
    <x v="2"/>
    <s v="Customer_171"/>
    <x v="0"/>
    <s v="A"/>
  </r>
  <r>
    <s v="ORD10121"/>
    <s v="CUST1151"/>
    <s v="PROD122"/>
    <d v="2025-02-19T00:00:00"/>
    <d v="2025-02-23T00:00:00"/>
    <m/>
    <x v="0"/>
    <x v="4"/>
    <x v="3"/>
    <s v="Delivered"/>
    <n v="4501.24"/>
    <x v="1"/>
    <x v="2"/>
    <x v="0"/>
    <n v="4"/>
    <x v="0"/>
    <x v="2"/>
    <s v="Customer_206"/>
    <x v="6"/>
    <s v="D"/>
  </r>
  <r>
    <s v="ORD10122"/>
    <s v="CUST1268"/>
    <s v="PROD103"/>
    <d v="2025-01-17T00:00:00"/>
    <d v="2025-01-19T00:00:00"/>
    <m/>
    <x v="3"/>
    <x v="2"/>
    <x v="3"/>
    <s v="Returned"/>
    <n v="1726.42"/>
    <x v="2"/>
    <x v="3"/>
    <x v="0"/>
    <n v="2"/>
    <x v="0"/>
    <x v="0"/>
    <s v="Customer_201"/>
    <x v="19"/>
    <s v="C"/>
  </r>
  <r>
    <s v="ORD10123"/>
    <s v="CUST1080"/>
    <s v="PROD129"/>
    <d v="2025-03-26T00:00:00"/>
    <d v="2025-03-31T00:00:00"/>
    <m/>
    <x v="2"/>
    <x v="2"/>
    <x v="4"/>
    <s v="Delivered"/>
    <n v="728.25"/>
    <x v="3"/>
    <x v="4"/>
    <x v="0"/>
    <n v="5"/>
    <x v="0"/>
    <x v="2"/>
    <s v="Customer_272"/>
    <x v="4"/>
    <s v="B"/>
  </r>
  <r>
    <s v="ORD10124"/>
    <s v="CUST1300"/>
    <s v="PROD109"/>
    <d v="2025-02-10T00:00:00"/>
    <d v="2025-02-12T00:00:00"/>
    <m/>
    <x v="2"/>
    <x v="3"/>
    <x v="4"/>
    <s v="Cancelled"/>
    <n v="1294.0899999999999"/>
    <x v="1"/>
    <x v="2"/>
    <x v="0"/>
    <n v="2"/>
    <x v="0"/>
    <x v="0"/>
    <s v="Customer_9"/>
    <x v="2"/>
    <s v="B"/>
  </r>
  <r>
    <s v="ORD10125"/>
    <s v="CUST1070"/>
    <s v="PROD125"/>
    <d v="2025-04-02T00:00:00"/>
    <d v="2025-04-03T00:00:00"/>
    <m/>
    <x v="3"/>
    <x v="3"/>
    <x v="3"/>
    <s v="Cancelled"/>
    <n v="2250.12"/>
    <x v="0"/>
    <x v="0"/>
    <x v="0"/>
    <n v="1"/>
    <x v="0"/>
    <x v="0"/>
    <s v="Customer_231"/>
    <x v="26"/>
    <s v="C"/>
  </r>
  <r>
    <s v="ORD10126"/>
    <s v="CUST1281"/>
    <s v="PROD133"/>
    <d v="2025-03-03T00:00:00"/>
    <d v="2025-03-08T00:00:00"/>
    <m/>
    <x v="2"/>
    <x v="2"/>
    <x v="4"/>
    <s v="Cancelled"/>
    <n v="4126.47"/>
    <x v="3"/>
    <x v="4"/>
    <x v="0"/>
    <n v="5"/>
    <x v="0"/>
    <x v="2"/>
    <s v="Customer_175"/>
    <x v="41"/>
    <s v="B"/>
  </r>
  <r>
    <s v="ORD10127"/>
    <s v="CUST1269"/>
    <s v="PROD104"/>
    <d v="2025-03-27T00:00:00"/>
    <d v="2025-04-02T00:00:00"/>
    <m/>
    <x v="3"/>
    <x v="3"/>
    <x v="0"/>
    <s v="Returned"/>
    <n v="4331.51"/>
    <x v="3"/>
    <x v="0"/>
    <x v="0"/>
    <n v="6"/>
    <x v="0"/>
    <x v="2"/>
    <s v="Customer_138"/>
    <x v="24"/>
    <s v="C"/>
  </r>
  <r>
    <s v="ORD10128"/>
    <s v="CUST1164"/>
    <s v="PROD106"/>
    <d v="2025-03-10T00:00:00"/>
    <d v="2025-03-12T00:00:00"/>
    <m/>
    <x v="3"/>
    <x v="0"/>
    <x v="3"/>
    <s v="Delivered"/>
    <n v="233.37"/>
    <x v="3"/>
    <x v="4"/>
    <x v="0"/>
    <n v="2"/>
    <x v="0"/>
    <x v="0"/>
    <s v="Customer_2"/>
    <x v="43"/>
    <s v="C"/>
  </r>
  <r>
    <s v="ORD10129"/>
    <s v="CUST1261"/>
    <s v="PROD119"/>
    <d v="2025-04-16T00:00:00"/>
    <m/>
    <d v="2025-04-17T00:00:00"/>
    <x v="0"/>
    <x v="1"/>
    <x v="2"/>
    <s v="Returned"/>
    <n v="2651.59"/>
    <x v="0"/>
    <x v="1"/>
    <x v="1"/>
    <s v="Order Cancelled"/>
    <x v="1"/>
    <x v="1"/>
    <s v="Customer_25"/>
    <x v="45"/>
    <s v="D"/>
  </r>
  <r>
    <s v="ORD10130"/>
    <s v="CUST1173"/>
    <s v="PROD131"/>
    <d v="2025-02-02T00:00:00"/>
    <d v="2025-02-04T00:00:00"/>
    <m/>
    <x v="3"/>
    <x v="1"/>
    <x v="4"/>
    <s v="Returned"/>
    <n v="2203.5700000000002"/>
    <x v="1"/>
    <x v="2"/>
    <x v="0"/>
    <n v="2"/>
    <x v="0"/>
    <x v="0"/>
    <s v="Customer_144"/>
    <x v="46"/>
    <s v="C"/>
  </r>
  <r>
    <s v="ORD10131"/>
    <s v="CUST1160"/>
    <s v="PROD130"/>
    <d v="2025-04-03T00:00:00"/>
    <m/>
    <d v="2025-04-03T00:00:00"/>
    <x v="1"/>
    <x v="3"/>
    <x v="4"/>
    <s v="Delivered"/>
    <n v="1266.1199999999999"/>
    <x v="0"/>
    <x v="1"/>
    <x v="1"/>
    <s v="Order Cancelled"/>
    <x v="1"/>
    <x v="1"/>
    <s v="Customer_282"/>
    <x v="35"/>
    <s v="A"/>
  </r>
  <r>
    <s v="ORD10132"/>
    <s v="CUST1298"/>
    <s v="PROD104"/>
    <d v="2025-03-08T00:00:00"/>
    <d v="2025-03-11T00:00:00"/>
    <m/>
    <x v="3"/>
    <x v="1"/>
    <x v="3"/>
    <s v="Returned"/>
    <n v="775.35"/>
    <x v="3"/>
    <x v="4"/>
    <x v="0"/>
    <n v="3"/>
    <x v="0"/>
    <x v="2"/>
    <s v="Customer_178"/>
    <x v="24"/>
    <s v="C"/>
  </r>
  <r>
    <s v="ORD10133"/>
    <s v="CUST1031"/>
    <s v="PROD135"/>
    <d v="2025-02-02T00:00:00"/>
    <d v="2025-02-08T00:00:00"/>
    <m/>
    <x v="1"/>
    <x v="1"/>
    <x v="3"/>
    <s v="Delivered"/>
    <n v="1820.55"/>
    <x v="1"/>
    <x v="2"/>
    <x v="0"/>
    <n v="6"/>
    <x v="0"/>
    <x v="2"/>
    <s v="Customer_101"/>
    <x v="32"/>
    <s v="A"/>
  </r>
  <r>
    <s v="ORD10134"/>
    <s v="CUST1242"/>
    <s v="PROD102"/>
    <d v="2025-01-28T00:00:00"/>
    <m/>
    <d v="2025-01-28T00:00:00"/>
    <x v="3"/>
    <x v="3"/>
    <x v="0"/>
    <s v="Delivered"/>
    <n v="4725.97"/>
    <x v="2"/>
    <x v="1"/>
    <x v="1"/>
    <s v="Order Cancelled"/>
    <x v="1"/>
    <x v="1"/>
    <s v="Customer_94"/>
    <x v="16"/>
    <s v="C"/>
  </r>
  <r>
    <s v="ORD10135"/>
    <s v="CUST1273"/>
    <s v="PROD129"/>
    <d v="2025-01-31T00:00:00"/>
    <d v="2025-02-02T00:00:00"/>
    <m/>
    <x v="1"/>
    <x v="2"/>
    <x v="3"/>
    <s v="Delivered"/>
    <n v="1751.37"/>
    <x v="2"/>
    <x v="2"/>
    <x v="0"/>
    <n v="2"/>
    <x v="0"/>
    <x v="0"/>
    <s v="Customer_96"/>
    <x v="4"/>
    <s v="A"/>
  </r>
  <r>
    <s v="ORD10136"/>
    <s v="CUST1055"/>
    <s v="PROD145"/>
    <d v="2025-04-24T00:00:00"/>
    <d v="2025-04-29T00:00:00"/>
    <m/>
    <x v="1"/>
    <x v="4"/>
    <x v="3"/>
    <s v="Cancelled"/>
    <n v="2690.19"/>
    <x v="0"/>
    <x v="0"/>
    <x v="0"/>
    <n v="5"/>
    <x v="0"/>
    <x v="2"/>
    <s v="Customer_113"/>
    <x v="27"/>
    <s v="A"/>
  </r>
  <r>
    <s v="ORD10137"/>
    <s v="CUST1182"/>
    <s v="PROD134"/>
    <d v="2025-04-22T00:00:00"/>
    <d v="2025-04-27T00:00:00"/>
    <m/>
    <x v="3"/>
    <x v="3"/>
    <x v="4"/>
    <s v="Returned"/>
    <n v="3574.49"/>
    <x v="0"/>
    <x v="0"/>
    <x v="0"/>
    <n v="5"/>
    <x v="0"/>
    <x v="2"/>
    <s v="Customer_239"/>
    <x v="37"/>
    <s v="C"/>
  </r>
  <r>
    <s v="ORD10138"/>
    <s v="CUST1256"/>
    <s v="PROD124"/>
    <d v="2025-02-03T00:00:00"/>
    <d v="2025-02-05T00:00:00"/>
    <m/>
    <x v="1"/>
    <x v="3"/>
    <x v="0"/>
    <s v="Returned"/>
    <n v="1945.42"/>
    <x v="1"/>
    <x v="2"/>
    <x v="0"/>
    <n v="2"/>
    <x v="0"/>
    <x v="0"/>
    <s v="Customer_245"/>
    <x v="0"/>
    <s v="A"/>
  </r>
  <r>
    <s v="ORD10139"/>
    <s v="CUST1232"/>
    <s v="PROD107"/>
    <d v="2025-03-29T00:00:00"/>
    <d v="2025-03-31T00:00:00"/>
    <m/>
    <x v="0"/>
    <x v="1"/>
    <x v="2"/>
    <s v="Cancelled"/>
    <n v="4864.55"/>
    <x v="3"/>
    <x v="4"/>
    <x v="0"/>
    <n v="2"/>
    <x v="0"/>
    <x v="0"/>
    <s v="Customer_262"/>
    <x v="8"/>
    <s v="D"/>
  </r>
  <r>
    <s v="ORD10140"/>
    <s v="CUST1155"/>
    <s v="PROD131"/>
    <d v="2025-03-26T00:00:00"/>
    <d v="2025-03-31T00:00:00"/>
    <m/>
    <x v="0"/>
    <x v="3"/>
    <x v="0"/>
    <s v="Delivered"/>
    <n v="4819.75"/>
    <x v="3"/>
    <x v="4"/>
    <x v="0"/>
    <n v="5"/>
    <x v="0"/>
    <x v="2"/>
    <s v="Customer_69"/>
    <x v="46"/>
    <s v="D"/>
  </r>
  <r>
    <s v="ORD10141"/>
    <s v="CUST1125"/>
    <s v="PROD137"/>
    <d v="2025-03-19T00:00:00"/>
    <d v="2025-03-21T00:00:00"/>
    <m/>
    <x v="0"/>
    <x v="0"/>
    <x v="2"/>
    <s v="Cancelled"/>
    <n v="1408.56"/>
    <x v="3"/>
    <x v="4"/>
    <x v="0"/>
    <n v="2"/>
    <x v="0"/>
    <x v="0"/>
    <s v="Customer_281"/>
    <x v="33"/>
    <s v="D"/>
  </r>
  <r>
    <s v="ORD10142"/>
    <s v="CUST1077"/>
    <s v="PROD146"/>
    <d v="2025-03-13T00:00:00"/>
    <m/>
    <d v="2025-03-14T00:00:00"/>
    <x v="2"/>
    <x v="2"/>
    <x v="1"/>
    <s v="Cancelled"/>
    <n v="2586.79"/>
    <x v="3"/>
    <x v="1"/>
    <x v="1"/>
    <s v="Order Cancelled"/>
    <x v="1"/>
    <x v="1"/>
    <s v="Customer_159"/>
    <x v="31"/>
    <s v="B"/>
  </r>
  <r>
    <s v="ORD10143"/>
    <s v="CUST1142"/>
    <s v="PROD147"/>
    <d v="2025-04-21T00:00:00"/>
    <d v="2025-04-27T00:00:00"/>
    <m/>
    <x v="1"/>
    <x v="3"/>
    <x v="1"/>
    <s v="Returned"/>
    <n v="1644.22"/>
    <x v="0"/>
    <x v="0"/>
    <x v="0"/>
    <n v="6"/>
    <x v="0"/>
    <x v="2"/>
    <s v="Customer_23"/>
    <x v="1"/>
    <s v="A"/>
  </r>
  <r>
    <s v="ORD10144"/>
    <s v="CUST1300"/>
    <s v="PROD112"/>
    <d v="2025-02-14T00:00:00"/>
    <d v="2025-02-17T00:00:00"/>
    <m/>
    <x v="1"/>
    <x v="3"/>
    <x v="2"/>
    <s v="Delivered"/>
    <n v="1567.23"/>
    <x v="1"/>
    <x v="2"/>
    <x v="0"/>
    <n v="3"/>
    <x v="0"/>
    <x v="2"/>
    <s v="Customer_9"/>
    <x v="7"/>
    <s v="A"/>
  </r>
  <r>
    <s v="ORD10145"/>
    <s v="CUST1036"/>
    <s v="PROD121"/>
    <d v="2025-04-22T00:00:00"/>
    <m/>
    <d v="2025-04-22T00:00:00"/>
    <x v="1"/>
    <x v="0"/>
    <x v="2"/>
    <s v="Delivered"/>
    <n v="377.06"/>
    <x v="0"/>
    <x v="1"/>
    <x v="1"/>
    <s v="Order Cancelled"/>
    <x v="1"/>
    <x v="1"/>
    <s v="Customer_106"/>
    <x v="20"/>
    <s v="A"/>
  </r>
  <r>
    <s v="ORD10146"/>
    <s v="CUST1117"/>
    <s v="PROD121"/>
    <d v="2025-04-07T00:00:00"/>
    <d v="2025-04-09T00:00:00"/>
    <m/>
    <x v="0"/>
    <x v="4"/>
    <x v="2"/>
    <s v="Delivered"/>
    <n v="3125.91"/>
    <x v="0"/>
    <x v="0"/>
    <x v="0"/>
    <n v="2"/>
    <x v="0"/>
    <x v="0"/>
    <s v="Customer_110"/>
    <x v="20"/>
    <s v="D"/>
  </r>
  <r>
    <s v="ORD10147"/>
    <s v="CUST1093"/>
    <s v="PROD137"/>
    <d v="2025-02-12T00:00:00"/>
    <d v="2025-02-13T00:00:00"/>
    <m/>
    <x v="3"/>
    <x v="2"/>
    <x v="3"/>
    <s v="Returned"/>
    <n v="2612.86"/>
    <x v="1"/>
    <x v="2"/>
    <x v="0"/>
    <n v="1"/>
    <x v="0"/>
    <x v="0"/>
    <s v="Customer_277"/>
    <x v="33"/>
    <s v="C"/>
  </r>
  <r>
    <s v="ORD10148"/>
    <s v="CUST1008"/>
    <s v="PROD142"/>
    <d v="2025-02-13T00:00:00"/>
    <d v="2025-02-18T00:00:00"/>
    <m/>
    <x v="1"/>
    <x v="4"/>
    <x v="3"/>
    <s v="Delivered"/>
    <n v="447.1"/>
    <x v="1"/>
    <x v="2"/>
    <x v="0"/>
    <n v="5"/>
    <x v="0"/>
    <x v="2"/>
    <s v="Customer_128"/>
    <x v="25"/>
    <s v="A"/>
  </r>
  <r>
    <s v="ORD10149"/>
    <s v="CUST1298"/>
    <s v="PROD124"/>
    <d v="2025-01-06T00:00:00"/>
    <d v="2025-01-10T00:00:00"/>
    <m/>
    <x v="1"/>
    <x v="1"/>
    <x v="0"/>
    <s v="Returned"/>
    <n v="1537.5"/>
    <x v="2"/>
    <x v="3"/>
    <x v="0"/>
    <n v="4"/>
    <x v="0"/>
    <x v="2"/>
    <s v="Customer_178"/>
    <x v="0"/>
    <s v="A"/>
  </r>
  <r>
    <s v="ORD10150"/>
    <s v="CUST1239"/>
    <s v="PROD121"/>
    <d v="2025-01-10T00:00:00"/>
    <m/>
    <d v="2025-01-12T00:00:00"/>
    <x v="2"/>
    <x v="3"/>
    <x v="4"/>
    <s v="Returned"/>
    <n v="4559.68"/>
    <x v="2"/>
    <x v="1"/>
    <x v="1"/>
    <s v="Order Cancelled"/>
    <x v="1"/>
    <x v="1"/>
    <s v="Customer_36"/>
    <x v="20"/>
    <s v="B"/>
  </r>
  <r>
    <s v="ORD10151"/>
    <s v="CUST1294"/>
    <s v="PROD147"/>
    <d v="2025-04-18T00:00:00"/>
    <m/>
    <d v="2025-04-19T00:00:00"/>
    <x v="3"/>
    <x v="1"/>
    <x v="1"/>
    <s v="Cancelled"/>
    <n v="1349.9"/>
    <x v="0"/>
    <x v="1"/>
    <x v="1"/>
    <s v="Order Cancelled"/>
    <x v="1"/>
    <x v="1"/>
    <s v="Customer_27"/>
    <x v="1"/>
    <s v="C"/>
  </r>
  <r>
    <s v="ORD10152"/>
    <s v="CUST1263"/>
    <s v="PROD150"/>
    <d v="2025-03-11T00:00:00"/>
    <d v="2025-03-14T00:00:00"/>
    <m/>
    <x v="3"/>
    <x v="3"/>
    <x v="0"/>
    <s v="Returned"/>
    <n v="895.5"/>
    <x v="3"/>
    <x v="4"/>
    <x v="0"/>
    <n v="3"/>
    <x v="0"/>
    <x v="2"/>
    <s v="Customer_6"/>
    <x v="23"/>
    <s v="C"/>
  </r>
  <r>
    <s v="ORD10153"/>
    <s v="CUST1086"/>
    <s v="PROD116"/>
    <d v="2025-04-05T00:00:00"/>
    <m/>
    <d v="2025-04-05T00:00:00"/>
    <x v="3"/>
    <x v="2"/>
    <x v="1"/>
    <s v="Delivered"/>
    <n v="2549.37"/>
    <x v="0"/>
    <x v="1"/>
    <x v="1"/>
    <s v="Order Cancelled"/>
    <x v="1"/>
    <x v="1"/>
    <s v="Customer_191"/>
    <x v="34"/>
    <s v="C"/>
  </r>
  <r>
    <s v="ORD10154"/>
    <s v="CUST1199"/>
    <s v="PROD118"/>
    <d v="2025-03-28T00:00:00"/>
    <m/>
    <d v="2025-03-28T00:00:00"/>
    <x v="0"/>
    <x v="0"/>
    <x v="3"/>
    <s v="Cancelled"/>
    <n v="4931.12"/>
    <x v="3"/>
    <x v="1"/>
    <x v="1"/>
    <s v="Order Cancelled"/>
    <x v="1"/>
    <x v="1"/>
    <s v="Customer_259"/>
    <x v="5"/>
    <s v="D"/>
  </r>
  <r>
    <s v="ORD10155"/>
    <s v="CUST1171"/>
    <s v="PROD121"/>
    <d v="2025-04-11T00:00:00"/>
    <d v="2025-04-16T00:00:00"/>
    <m/>
    <x v="3"/>
    <x v="0"/>
    <x v="2"/>
    <s v="Delivered"/>
    <n v="1361.87"/>
    <x v="0"/>
    <x v="0"/>
    <x v="0"/>
    <n v="5"/>
    <x v="0"/>
    <x v="2"/>
    <s v="Customer_130"/>
    <x v="20"/>
    <s v="C"/>
  </r>
  <r>
    <s v="ORD10156"/>
    <s v="CUST1032"/>
    <s v="PROD138"/>
    <d v="2025-01-29T00:00:00"/>
    <m/>
    <d v="2025-01-31T00:00:00"/>
    <x v="3"/>
    <x v="3"/>
    <x v="4"/>
    <s v="Returned"/>
    <n v="3426.25"/>
    <x v="2"/>
    <x v="1"/>
    <x v="1"/>
    <s v="Order Cancelled"/>
    <x v="1"/>
    <x v="1"/>
    <s v="Customer_31"/>
    <x v="21"/>
    <s v="C"/>
  </r>
  <r>
    <s v="ORD10157"/>
    <s v="CUST1235"/>
    <s v="PROD118"/>
    <d v="2025-02-19T00:00:00"/>
    <d v="2025-02-21T00:00:00"/>
    <m/>
    <x v="2"/>
    <x v="1"/>
    <x v="1"/>
    <s v="Returned"/>
    <n v="3855.77"/>
    <x v="1"/>
    <x v="2"/>
    <x v="0"/>
    <n v="2"/>
    <x v="0"/>
    <x v="0"/>
    <s v="Customer_267"/>
    <x v="5"/>
    <s v="B"/>
  </r>
  <r>
    <s v="ORD10158"/>
    <s v="CUST1007"/>
    <s v="PROD117"/>
    <d v="2025-02-17T00:00:00"/>
    <d v="2025-02-19T00:00:00"/>
    <m/>
    <x v="3"/>
    <x v="3"/>
    <x v="3"/>
    <s v="Cancelled"/>
    <n v="1340.66"/>
    <x v="1"/>
    <x v="2"/>
    <x v="0"/>
    <n v="2"/>
    <x v="0"/>
    <x v="0"/>
    <s v="Customer_16"/>
    <x v="28"/>
    <s v="C"/>
  </r>
  <r>
    <s v="ORD10159"/>
    <s v="CUST1062"/>
    <s v="PROD101"/>
    <d v="2025-01-06T00:00:00"/>
    <m/>
    <d v="2025-01-07T00:00:00"/>
    <x v="0"/>
    <x v="0"/>
    <x v="4"/>
    <s v="Delivered"/>
    <n v="3695.44"/>
    <x v="2"/>
    <x v="1"/>
    <x v="1"/>
    <s v="Order Cancelled"/>
    <x v="1"/>
    <x v="1"/>
    <s v="Customer_260"/>
    <x v="40"/>
    <s v="D"/>
  </r>
  <r>
    <s v="ORD10160"/>
    <s v="CUST1223"/>
    <s v="PROD127"/>
    <d v="2025-04-17T00:00:00"/>
    <d v="2025-04-20T00:00:00"/>
    <m/>
    <x v="2"/>
    <x v="4"/>
    <x v="2"/>
    <s v="Delivered"/>
    <n v="1965.36"/>
    <x v="0"/>
    <x v="0"/>
    <x v="0"/>
    <n v="3"/>
    <x v="0"/>
    <x v="2"/>
    <s v="Customer_258"/>
    <x v="36"/>
    <s v="B"/>
  </r>
  <r>
    <s v="ORD10161"/>
    <s v="CUST1005"/>
    <s v="PROD145"/>
    <d v="2025-03-03T00:00:00"/>
    <d v="2025-03-06T00:00:00"/>
    <m/>
    <x v="1"/>
    <x v="0"/>
    <x v="1"/>
    <s v="Delivered"/>
    <n v="3235.07"/>
    <x v="3"/>
    <x v="4"/>
    <x v="0"/>
    <n v="3"/>
    <x v="0"/>
    <x v="2"/>
    <s v="Customer_166"/>
    <x v="27"/>
    <s v="A"/>
  </r>
  <r>
    <s v="ORD10162"/>
    <s v="CUST1009"/>
    <s v="PROD145"/>
    <d v="2025-01-03T00:00:00"/>
    <d v="2025-01-04T00:00:00"/>
    <m/>
    <x v="1"/>
    <x v="2"/>
    <x v="2"/>
    <s v="Returned"/>
    <n v="3240.94"/>
    <x v="2"/>
    <x v="3"/>
    <x v="0"/>
    <n v="1"/>
    <x v="0"/>
    <x v="0"/>
    <s v="Customer_254"/>
    <x v="27"/>
    <s v="A"/>
  </r>
  <r>
    <s v="ORD10163"/>
    <s v="CUST1008"/>
    <s v="PROD128"/>
    <d v="2025-04-02T00:00:00"/>
    <d v="2025-04-06T00:00:00"/>
    <m/>
    <x v="1"/>
    <x v="3"/>
    <x v="0"/>
    <s v="Returned"/>
    <n v="2771.72"/>
    <x v="0"/>
    <x v="0"/>
    <x v="0"/>
    <n v="4"/>
    <x v="0"/>
    <x v="2"/>
    <s v="Customer_128"/>
    <x v="15"/>
    <s v="A"/>
  </r>
  <r>
    <s v="ORD10164"/>
    <s v="CUST1008"/>
    <s v="PROD142"/>
    <d v="2025-03-26T00:00:00"/>
    <d v="2025-03-31T00:00:00"/>
    <m/>
    <x v="2"/>
    <x v="2"/>
    <x v="3"/>
    <s v="Returned"/>
    <n v="633.39"/>
    <x v="3"/>
    <x v="4"/>
    <x v="0"/>
    <n v="5"/>
    <x v="0"/>
    <x v="2"/>
    <s v="Customer_128"/>
    <x v="25"/>
    <s v="B"/>
  </r>
  <r>
    <s v="ORD10165"/>
    <s v="CUST1152"/>
    <s v="PROD110"/>
    <d v="2025-04-13T00:00:00"/>
    <m/>
    <d v="2025-04-15T00:00:00"/>
    <x v="0"/>
    <x v="0"/>
    <x v="2"/>
    <s v="Returned"/>
    <n v="4209.45"/>
    <x v="0"/>
    <x v="1"/>
    <x v="1"/>
    <s v="Order Cancelled"/>
    <x v="1"/>
    <x v="1"/>
    <s v="Customer_42"/>
    <x v="11"/>
    <s v="D"/>
  </r>
  <r>
    <s v="ORD10166"/>
    <s v="CUST1224"/>
    <s v="PROD149"/>
    <d v="2025-02-11T00:00:00"/>
    <d v="2025-02-17T00:00:00"/>
    <m/>
    <x v="2"/>
    <x v="2"/>
    <x v="3"/>
    <s v="Cancelled"/>
    <n v="1739.74"/>
    <x v="1"/>
    <x v="2"/>
    <x v="0"/>
    <n v="6"/>
    <x v="0"/>
    <x v="2"/>
    <s v="Customer_149"/>
    <x v="30"/>
    <s v="B"/>
  </r>
  <r>
    <s v="ORD10167"/>
    <s v="CUST1064"/>
    <s v="PROD146"/>
    <d v="2025-01-12T00:00:00"/>
    <d v="2025-01-14T00:00:00"/>
    <m/>
    <x v="0"/>
    <x v="3"/>
    <x v="0"/>
    <s v="Delivered"/>
    <n v="1095.29"/>
    <x v="2"/>
    <x v="3"/>
    <x v="0"/>
    <n v="2"/>
    <x v="0"/>
    <x v="0"/>
    <s v="Customer_180"/>
    <x v="31"/>
    <s v="D"/>
  </r>
  <r>
    <s v="ORD10168"/>
    <s v="CUST1209"/>
    <s v="PROD128"/>
    <d v="2025-01-10T00:00:00"/>
    <m/>
    <d v="2025-01-10T00:00:00"/>
    <x v="2"/>
    <x v="1"/>
    <x v="0"/>
    <s v="Returned"/>
    <n v="395.72"/>
    <x v="2"/>
    <x v="1"/>
    <x v="1"/>
    <s v="Order Cancelled"/>
    <x v="1"/>
    <x v="1"/>
    <s v="Customer_240"/>
    <x v="15"/>
    <s v="B"/>
  </r>
  <r>
    <s v="ORD10169"/>
    <s v="CUST1121"/>
    <s v="PROD149"/>
    <d v="2025-01-02T00:00:00"/>
    <d v="2025-01-06T00:00:00"/>
    <m/>
    <x v="0"/>
    <x v="1"/>
    <x v="3"/>
    <s v="Cancelled"/>
    <n v="3036.29"/>
    <x v="2"/>
    <x v="3"/>
    <x v="0"/>
    <n v="4"/>
    <x v="0"/>
    <x v="2"/>
    <s v="Customer_210"/>
    <x v="30"/>
    <s v="D"/>
  </r>
  <r>
    <s v="ORD10170"/>
    <s v="CUST1093"/>
    <s v="PROD134"/>
    <d v="2025-03-01T00:00:00"/>
    <m/>
    <d v="2025-03-01T00:00:00"/>
    <x v="3"/>
    <x v="4"/>
    <x v="2"/>
    <s v="Delivered"/>
    <n v="3452.31"/>
    <x v="3"/>
    <x v="1"/>
    <x v="1"/>
    <s v="Order Cancelled"/>
    <x v="1"/>
    <x v="1"/>
    <s v="Customer_277"/>
    <x v="37"/>
    <s v="C"/>
  </r>
  <r>
    <s v="ORD10171"/>
    <s v="CUST1249"/>
    <s v="PROD144"/>
    <d v="2025-01-24T00:00:00"/>
    <m/>
    <d v="2025-01-26T00:00:00"/>
    <x v="0"/>
    <x v="0"/>
    <x v="4"/>
    <s v="Delivered"/>
    <n v="279.62"/>
    <x v="2"/>
    <x v="1"/>
    <x v="1"/>
    <s v="Order Cancelled"/>
    <x v="1"/>
    <x v="1"/>
    <s v="Customer_271"/>
    <x v="39"/>
    <s v="D"/>
  </r>
  <r>
    <s v="ORD10172"/>
    <s v="CUST1001"/>
    <s v="PROD141"/>
    <d v="2025-01-01T00:00:00"/>
    <d v="2025-01-03T00:00:00"/>
    <m/>
    <x v="2"/>
    <x v="0"/>
    <x v="2"/>
    <s v="Delivered"/>
    <n v="2658.05"/>
    <x v="2"/>
    <x v="3"/>
    <x v="0"/>
    <n v="2"/>
    <x v="0"/>
    <x v="0"/>
    <s v="Customer_284"/>
    <x v="13"/>
    <s v="B"/>
  </r>
  <r>
    <s v="ORD10173"/>
    <s v="CUST1005"/>
    <s v="PROD124"/>
    <d v="2025-02-07T00:00:00"/>
    <d v="2025-02-10T00:00:00"/>
    <m/>
    <x v="1"/>
    <x v="4"/>
    <x v="3"/>
    <s v="Delivered"/>
    <n v="1287.18"/>
    <x v="1"/>
    <x v="2"/>
    <x v="0"/>
    <n v="3"/>
    <x v="0"/>
    <x v="2"/>
    <s v="Customer_166"/>
    <x v="0"/>
    <s v="A"/>
  </r>
  <r>
    <s v="ORD10174"/>
    <s v="CUST1238"/>
    <s v="PROD140"/>
    <d v="2025-04-14T00:00:00"/>
    <d v="2025-04-18T00:00:00"/>
    <m/>
    <x v="1"/>
    <x v="3"/>
    <x v="0"/>
    <s v="Returned"/>
    <n v="3296.83"/>
    <x v="0"/>
    <x v="0"/>
    <x v="0"/>
    <n v="4"/>
    <x v="0"/>
    <x v="2"/>
    <s v="Customer_17"/>
    <x v="42"/>
    <s v="A"/>
  </r>
  <r>
    <s v="ORD10175"/>
    <s v="CUST1243"/>
    <s v="PROD109"/>
    <d v="2025-03-27T00:00:00"/>
    <m/>
    <d v="2025-03-27T00:00:00"/>
    <x v="3"/>
    <x v="4"/>
    <x v="4"/>
    <s v="Returned"/>
    <n v="1036.96"/>
    <x v="3"/>
    <x v="1"/>
    <x v="1"/>
    <s v="Order Cancelled"/>
    <x v="1"/>
    <x v="1"/>
    <s v="Customer_156"/>
    <x v="2"/>
    <s v="C"/>
  </r>
  <r>
    <s v="ORD10176"/>
    <s v="CUST1242"/>
    <s v="PROD104"/>
    <d v="2025-01-28T00:00:00"/>
    <d v="2025-02-01T00:00:00"/>
    <m/>
    <x v="3"/>
    <x v="4"/>
    <x v="2"/>
    <s v="Returned"/>
    <n v="3516.5"/>
    <x v="2"/>
    <x v="2"/>
    <x v="0"/>
    <n v="4"/>
    <x v="0"/>
    <x v="2"/>
    <s v="Customer_94"/>
    <x v="24"/>
    <s v="C"/>
  </r>
  <r>
    <s v="ORD10177"/>
    <s v="CUST1205"/>
    <s v="PROD112"/>
    <d v="2025-01-26T00:00:00"/>
    <d v="2025-01-31T00:00:00"/>
    <m/>
    <x v="3"/>
    <x v="2"/>
    <x v="4"/>
    <s v="Delivered"/>
    <n v="2056.33"/>
    <x v="2"/>
    <x v="3"/>
    <x v="0"/>
    <n v="5"/>
    <x v="0"/>
    <x v="2"/>
    <s v="Customer_39"/>
    <x v="7"/>
    <s v="C"/>
  </r>
  <r>
    <s v="ORD10178"/>
    <s v="CUST1273"/>
    <s v="PROD146"/>
    <d v="2025-01-11T00:00:00"/>
    <d v="2025-01-14T00:00:00"/>
    <m/>
    <x v="0"/>
    <x v="2"/>
    <x v="2"/>
    <s v="Cancelled"/>
    <n v="4696.3"/>
    <x v="2"/>
    <x v="3"/>
    <x v="0"/>
    <n v="3"/>
    <x v="0"/>
    <x v="2"/>
    <s v="Customer_96"/>
    <x v="31"/>
    <s v="D"/>
  </r>
  <r>
    <s v="ORD10179"/>
    <s v="CUST1041"/>
    <s v="PROD132"/>
    <d v="2025-03-19T00:00:00"/>
    <d v="2025-03-22T00:00:00"/>
    <m/>
    <x v="0"/>
    <x v="4"/>
    <x v="1"/>
    <s v="Delivered"/>
    <n v="860.1"/>
    <x v="3"/>
    <x v="4"/>
    <x v="0"/>
    <n v="3"/>
    <x v="0"/>
    <x v="2"/>
    <s v="Customer_249"/>
    <x v="29"/>
    <s v="D"/>
  </r>
  <r>
    <s v="ORD10180"/>
    <s v="CUST1105"/>
    <s v="PROD111"/>
    <d v="2025-04-11T00:00:00"/>
    <d v="2025-04-14T00:00:00"/>
    <m/>
    <x v="1"/>
    <x v="1"/>
    <x v="3"/>
    <s v="Returned"/>
    <n v="1837.12"/>
    <x v="0"/>
    <x v="0"/>
    <x v="0"/>
    <n v="3"/>
    <x v="0"/>
    <x v="2"/>
    <s v="Customer_11"/>
    <x v="44"/>
    <s v="A"/>
  </r>
  <r>
    <s v="ORD10181"/>
    <s v="CUST1229"/>
    <s v="PROD130"/>
    <d v="2025-04-22T00:00:00"/>
    <m/>
    <d v="2025-04-22T00:00:00"/>
    <x v="3"/>
    <x v="2"/>
    <x v="0"/>
    <s v="Delivered"/>
    <n v="744.67"/>
    <x v="0"/>
    <x v="1"/>
    <x v="1"/>
    <s v="Order Cancelled"/>
    <x v="1"/>
    <x v="1"/>
    <s v="Customer_278"/>
    <x v="35"/>
    <s v="C"/>
  </r>
  <r>
    <s v="ORD10182"/>
    <s v="CUST1218"/>
    <s v="PROD136"/>
    <d v="2025-04-20T00:00:00"/>
    <d v="2025-04-25T00:00:00"/>
    <m/>
    <x v="1"/>
    <x v="4"/>
    <x v="1"/>
    <s v="Returned"/>
    <n v="4638.53"/>
    <x v="0"/>
    <x v="0"/>
    <x v="0"/>
    <n v="5"/>
    <x v="0"/>
    <x v="2"/>
    <s v="Customer_43"/>
    <x v="38"/>
    <s v="A"/>
  </r>
  <r>
    <s v="ORD10183"/>
    <s v="CUST1180"/>
    <s v="PROD105"/>
    <d v="2025-01-04T00:00:00"/>
    <d v="2025-01-06T00:00:00"/>
    <m/>
    <x v="3"/>
    <x v="0"/>
    <x v="2"/>
    <s v="Delivered"/>
    <n v="4411.2299999999996"/>
    <x v="2"/>
    <x v="3"/>
    <x v="0"/>
    <n v="2"/>
    <x v="0"/>
    <x v="0"/>
    <s v="Customer_164"/>
    <x v="17"/>
    <s v="C"/>
  </r>
  <r>
    <s v="ORD10184"/>
    <s v="CUST1033"/>
    <s v="PROD145"/>
    <d v="2025-01-08T00:00:00"/>
    <d v="2025-01-11T00:00:00"/>
    <m/>
    <x v="2"/>
    <x v="4"/>
    <x v="1"/>
    <s v="Delivered"/>
    <n v="1438.12"/>
    <x v="2"/>
    <x v="3"/>
    <x v="0"/>
    <n v="3"/>
    <x v="0"/>
    <x v="2"/>
    <s v="Customer_250"/>
    <x v="27"/>
    <s v="B"/>
  </r>
  <r>
    <s v="ORD10185"/>
    <s v="CUST1098"/>
    <s v="PROD104"/>
    <d v="2025-02-25T00:00:00"/>
    <d v="2025-02-26T00:00:00"/>
    <m/>
    <x v="2"/>
    <x v="1"/>
    <x v="4"/>
    <s v="Cancelled"/>
    <n v="3367.92"/>
    <x v="1"/>
    <x v="2"/>
    <x v="0"/>
    <n v="1"/>
    <x v="0"/>
    <x v="0"/>
    <s v="Customer_66"/>
    <x v="24"/>
    <s v="B"/>
  </r>
  <r>
    <s v="ORD10186"/>
    <s v="CUST1150"/>
    <s v="PROD111"/>
    <d v="2025-02-07T00:00:00"/>
    <d v="2025-02-12T00:00:00"/>
    <m/>
    <x v="1"/>
    <x v="2"/>
    <x v="3"/>
    <s v="Delivered"/>
    <n v="4122.67"/>
    <x v="1"/>
    <x v="2"/>
    <x v="0"/>
    <n v="5"/>
    <x v="0"/>
    <x v="2"/>
    <s v="Customer_198"/>
    <x v="44"/>
    <s v="A"/>
  </r>
  <r>
    <s v="ORD10187"/>
    <s v="CUST1233"/>
    <s v="PROD105"/>
    <d v="2025-03-26T00:00:00"/>
    <d v="2025-03-31T00:00:00"/>
    <m/>
    <x v="2"/>
    <x v="1"/>
    <x v="3"/>
    <s v="Delivered"/>
    <n v="2864.96"/>
    <x v="3"/>
    <x v="4"/>
    <x v="0"/>
    <n v="5"/>
    <x v="0"/>
    <x v="2"/>
    <s v="Customer_148"/>
    <x v="17"/>
    <s v="B"/>
  </r>
  <r>
    <s v="ORD10188"/>
    <s v="CUST1106"/>
    <s v="PROD150"/>
    <d v="2025-04-11T00:00:00"/>
    <d v="2025-04-16T00:00:00"/>
    <m/>
    <x v="0"/>
    <x v="1"/>
    <x v="3"/>
    <s v="Cancelled"/>
    <n v="2742.32"/>
    <x v="0"/>
    <x v="0"/>
    <x v="0"/>
    <n v="5"/>
    <x v="0"/>
    <x v="2"/>
    <s v="Customer_58"/>
    <x v="23"/>
    <s v="D"/>
  </r>
  <r>
    <s v="ORD10189"/>
    <s v="CUST1169"/>
    <s v="PROD117"/>
    <d v="2025-03-01T00:00:00"/>
    <d v="2025-03-04T00:00:00"/>
    <m/>
    <x v="0"/>
    <x v="3"/>
    <x v="0"/>
    <s v="Returned"/>
    <n v="1360.89"/>
    <x v="3"/>
    <x v="4"/>
    <x v="0"/>
    <n v="3"/>
    <x v="0"/>
    <x v="2"/>
    <s v="Customer_228"/>
    <x v="28"/>
    <s v="D"/>
  </r>
  <r>
    <s v="ORD10190"/>
    <s v="CUST1003"/>
    <s v="PROD115"/>
    <d v="2025-04-09T00:00:00"/>
    <d v="2025-04-12T00:00:00"/>
    <m/>
    <x v="0"/>
    <x v="3"/>
    <x v="0"/>
    <s v="Returned"/>
    <n v="646.89"/>
    <x v="0"/>
    <x v="0"/>
    <x v="0"/>
    <n v="3"/>
    <x v="0"/>
    <x v="2"/>
    <s v="Customer_232"/>
    <x v="12"/>
    <s v="D"/>
  </r>
  <r>
    <s v="ORD10191"/>
    <s v="CUST1054"/>
    <s v="PROD127"/>
    <d v="2025-02-02T00:00:00"/>
    <d v="2025-02-07T00:00:00"/>
    <m/>
    <x v="1"/>
    <x v="1"/>
    <x v="1"/>
    <s v="Cancelled"/>
    <n v="4506.6400000000003"/>
    <x v="1"/>
    <x v="2"/>
    <x v="0"/>
    <n v="5"/>
    <x v="0"/>
    <x v="2"/>
    <s v="Customer_45"/>
    <x v="36"/>
    <s v="A"/>
  </r>
  <r>
    <s v="ORD10192"/>
    <s v="CUST1043"/>
    <s v="PROD102"/>
    <d v="2025-02-15T00:00:00"/>
    <m/>
    <d v="2025-02-17T00:00:00"/>
    <x v="3"/>
    <x v="0"/>
    <x v="1"/>
    <s v="Delivered"/>
    <n v="4522.01"/>
    <x v="1"/>
    <x v="1"/>
    <x v="1"/>
    <s v="Order Cancelled"/>
    <x v="1"/>
    <x v="1"/>
    <s v="Customer_234"/>
    <x v="16"/>
    <s v="C"/>
  </r>
  <r>
    <s v="ORD10193"/>
    <s v="CUST1129"/>
    <s v="PROD107"/>
    <d v="2025-02-10T00:00:00"/>
    <d v="2025-02-12T00:00:00"/>
    <m/>
    <x v="0"/>
    <x v="0"/>
    <x v="4"/>
    <s v="Cancelled"/>
    <n v="3238.89"/>
    <x v="1"/>
    <x v="2"/>
    <x v="0"/>
    <n v="2"/>
    <x v="0"/>
    <x v="0"/>
    <s v="Customer_208"/>
    <x v="8"/>
    <s v="D"/>
  </r>
  <r>
    <s v="ORD10194"/>
    <s v="CUST1271"/>
    <s v="PROD133"/>
    <d v="2025-01-31T00:00:00"/>
    <d v="2025-02-01T00:00:00"/>
    <m/>
    <x v="0"/>
    <x v="3"/>
    <x v="3"/>
    <s v="Delivered"/>
    <n v="1827.34"/>
    <x v="2"/>
    <x v="2"/>
    <x v="0"/>
    <n v="1"/>
    <x v="0"/>
    <x v="0"/>
    <s v="Customer_13"/>
    <x v="41"/>
    <s v="D"/>
  </r>
  <r>
    <s v="ORD10195"/>
    <s v="CUST1157"/>
    <s v="PROD120"/>
    <d v="2025-04-10T00:00:00"/>
    <m/>
    <d v="2025-04-10T00:00:00"/>
    <x v="3"/>
    <x v="3"/>
    <x v="3"/>
    <s v="Delivered"/>
    <n v="1876.21"/>
    <x v="0"/>
    <x v="1"/>
    <x v="1"/>
    <s v="Order Cancelled"/>
    <x v="1"/>
    <x v="1"/>
    <s v="Customer_200"/>
    <x v="9"/>
    <s v="C"/>
  </r>
  <r>
    <s v="ORD10196"/>
    <s v="CUST1085"/>
    <s v="PROD120"/>
    <d v="2025-02-10T00:00:00"/>
    <m/>
    <d v="2025-02-10T00:00:00"/>
    <x v="0"/>
    <x v="0"/>
    <x v="1"/>
    <s v="Delivered"/>
    <n v="3684.59"/>
    <x v="1"/>
    <x v="1"/>
    <x v="1"/>
    <s v="Order Cancelled"/>
    <x v="1"/>
    <x v="1"/>
    <s v="Customer_151"/>
    <x v="9"/>
    <s v="D"/>
  </r>
  <r>
    <s v="ORD10197"/>
    <s v="CUST1282"/>
    <s v="PROD117"/>
    <d v="2025-03-27T00:00:00"/>
    <m/>
    <d v="2025-03-27T00:00:00"/>
    <x v="1"/>
    <x v="2"/>
    <x v="4"/>
    <s v="Cancelled"/>
    <n v="4506.13"/>
    <x v="3"/>
    <x v="1"/>
    <x v="1"/>
    <s v="Order Cancelled"/>
    <x v="1"/>
    <x v="1"/>
    <s v="Customer_137"/>
    <x v="28"/>
    <s v="A"/>
  </r>
  <r>
    <s v="ORD10198"/>
    <s v="CUST1293"/>
    <s v="PROD139"/>
    <d v="2025-03-01T00:00:00"/>
    <m/>
    <d v="2025-03-02T00:00:00"/>
    <x v="3"/>
    <x v="1"/>
    <x v="2"/>
    <s v="Cancelled"/>
    <n v="4458.01"/>
    <x v="3"/>
    <x v="1"/>
    <x v="1"/>
    <s v="Order Cancelled"/>
    <x v="1"/>
    <x v="1"/>
    <s v="Customer_60"/>
    <x v="10"/>
    <s v="C"/>
  </r>
  <r>
    <s v="ORD10199"/>
    <s v="CUST1024"/>
    <s v="PROD107"/>
    <d v="2025-03-22T00:00:00"/>
    <m/>
    <d v="2025-03-22T00:00:00"/>
    <x v="3"/>
    <x v="0"/>
    <x v="4"/>
    <s v="Cancelled"/>
    <n v="3943.4"/>
    <x v="3"/>
    <x v="1"/>
    <x v="1"/>
    <s v="Order Cancelled"/>
    <x v="1"/>
    <x v="1"/>
    <s v="Customer_266"/>
    <x v="8"/>
    <s v="C"/>
  </r>
  <r>
    <s v="ORD10200"/>
    <s v="CUST1082"/>
    <s v="PROD107"/>
    <d v="2025-02-06T00:00:00"/>
    <m/>
    <d v="2025-02-08T00:00:00"/>
    <x v="3"/>
    <x v="0"/>
    <x v="0"/>
    <s v="Returned"/>
    <n v="3281.75"/>
    <x v="1"/>
    <x v="1"/>
    <x v="1"/>
    <s v="Order Cancelled"/>
    <x v="1"/>
    <x v="1"/>
    <s v="Customer_38"/>
    <x v="8"/>
    <s v="C"/>
  </r>
  <r>
    <s v="ORD10201"/>
    <s v="CUST1282"/>
    <s v="PROD136"/>
    <d v="2025-02-01T00:00:00"/>
    <d v="2025-02-05T00:00:00"/>
    <m/>
    <x v="1"/>
    <x v="1"/>
    <x v="0"/>
    <s v="Cancelled"/>
    <n v="603.87"/>
    <x v="1"/>
    <x v="2"/>
    <x v="0"/>
    <n v="4"/>
    <x v="0"/>
    <x v="2"/>
    <s v="Customer_137"/>
    <x v="38"/>
    <s v="A"/>
  </r>
  <r>
    <s v="ORD10202"/>
    <s v="CUST1267"/>
    <s v="PROD149"/>
    <d v="2025-01-13T00:00:00"/>
    <d v="2025-01-17T00:00:00"/>
    <m/>
    <x v="2"/>
    <x v="3"/>
    <x v="1"/>
    <s v="Returned"/>
    <n v="975.82"/>
    <x v="2"/>
    <x v="3"/>
    <x v="0"/>
    <n v="4"/>
    <x v="0"/>
    <x v="2"/>
    <s v="Customer_98"/>
    <x v="30"/>
    <s v="B"/>
  </r>
  <r>
    <s v="ORD10203"/>
    <s v="CUST1061"/>
    <s v="PROD138"/>
    <d v="2025-03-22T00:00:00"/>
    <d v="2025-03-24T00:00:00"/>
    <m/>
    <x v="2"/>
    <x v="2"/>
    <x v="1"/>
    <s v="Delivered"/>
    <n v="4513.0600000000004"/>
    <x v="3"/>
    <x v="4"/>
    <x v="0"/>
    <n v="2"/>
    <x v="0"/>
    <x v="0"/>
    <s v="Customer_102"/>
    <x v="21"/>
    <s v="B"/>
  </r>
  <r>
    <s v="ORD10204"/>
    <s v="CUST1050"/>
    <s v="PROD140"/>
    <d v="2025-01-16T00:00:00"/>
    <d v="2025-01-21T00:00:00"/>
    <m/>
    <x v="0"/>
    <x v="2"/>
    <x v="0"/>
    <s v="Returned"/>
    <n v="3110.86"/>
    <x v="2"/>
    <x v="3"/>
    <x v="0"/>
    <n v="5"/>
    <x v="0"/>
    <x v="2"/>
    <s v="Customer_246"/>
    <x v="42"/>
    <s v="D"/>
  </r>
  <r>
    <s v="ORD10205"/>
    <s v="CUST1146"/>
    <s v="PROD138"/>
    <d v="2025-01-10T00:00:00"/>
    <d v="2025-01-13T00:00:00"/>
    <m/>
    <x v="2"/>
    <x v="3"/>
    <x v="3"/>
    <s v="Cancelled"/>
    <n v="244.15"/>
    <x v="2"/>
    <x v="3"/>
    <x v="0"/>
    <n v="3"/>
    <x v="0"/>
    <x v="2"/>
    <s v="Customer_161"/>
    <x v="21"/>
    <s v="B"/>
  </r>
  <r>
    <s v="ORD10206"/>
    <s v="CUST1199"/>
    <s v="PROD143"/>
    <d v="2025-04-14T00:00:00"/>
    <m/>
    <d v="2025-04-15T00:00:00"/>
    <x v="3"/>
    <x v="2"/>
    <x v="1"/>
    <s v="Returned"/>
    <n v="687.06"/>
    <x v="0"/>
    <x v="1"/>
    <x v="1"/>
    <s v="Order Cancelled"/>
    <x v="1"/>
    <x v="1"/>
    <s v="Customer_259"/>
    <x v="22"/>
    <s v="C"/>
  </r>
  <r>
    <s v="ORD10207"/>
    <s v="CUST1269"/>
    <s v="PROD135"/>
    <d v="2025-01-29T00:00:00"/>
    <d v="2025-02-01T00:00:00"/>
    <m/>
    <x v="3"/>
    <x v="0"/>
    <x v="4"/>
    <s v="Cancelled"/>
    <n v="3384.81"/>
    <x v="2"/>
    <x v="2"/>
    <x v="0"/>
    <n v="3"/>
    <x v="0"/>
    <x v="2"/>
    <s v="Customer_138"/>
    <x v="32"/>
    <s v="C"/>
  </r>
  <r>
    <s v="ORD10208"/>
    <s v="CUST1046"/>
    <s v="PROD120"/>
    <d v="2025-02-18T00:00:00"/>
    <d v="2025-02-19T00:00:00"/>
    <m/>
    <x v="1"/>
    <x v="3"/>
    <x v="3"/>
    <s v="Returned"/>
    <n v="224.3"/>
    <x v="1"/>
    <x v="2"/>
    <x v="0"/>
    <n v="1"/>
    <x v="0"/>
    <x v="0"/>
    <s v="Customer_111"/>
    <x v="9"/>
    <s v="A"/>
  </r>
  <r>
    <s v="ORD10209"/>
    <s v="CUST1234"/>
    <s v="PROD135"/>
    <d v="2025-04-28T00:00:00"/>
    <m/>
    <d v="2025-04-29T00:00:00"/>
    <x v="1"/>
    <x v="3"/>
    <x v="0"/>
    <s v="Delivered"/>
    <n v="971.88"/>
    <x v="0"/>
    <x v="1"/>
    <x v="1"/>
    <s v="Order Cancelled"/>
    <x v="1"/>
    <x v="1"/>
    <s v="Customer_141"/>
    <x v="32"/>
    <s v="A"/>
  </r>
  <r>
    <s v="ORD10210"/>
    <s v="CUST1255"/>
    <s v="PROD125"/>
    <d v="2025-03-31T00:00:00"/>
    <d v="2025-04-03T00:00:00"/>
    <m/>
    <x v="3"/>
    <x v="1"/>
    <x v="0"/>
    <s v="Cancelled"/>
    <n v="2833.92"/>
    <x v="3"/>
    <x v="0"/>
    <x v="0"/>
    <n v="3"/>
    <x v="0"/>
    <x v="2"/>
    <s v="Customer_127"/>
    <x v="26"/>
    <s v="C"/>
  </r>
  <r>
    <s v="ORD10211"/>
    <s v="CUST1198"/>
    <s v="PROD150"/>
    <d v="2025-01-04T00:00:00"/>
    <d v="2025-01-09T00:00:00"/>
    <m/>
    <x v="0"/>
    <x v="4"/>
    <x v="1"/>
    <s v="Delivered"/>
    <n v="3521.1"/>
    <x v="2"/>
    <x v="3"/>
    <x v="0"/>
    <n v="5"/>
    <x v="0"/>
    <x v="2"/>
    <s v="Customer_107"/>
    <x v="23"/>
    <s v="D"/>
  </r>
  <r>
    <s v="ORD10212"/>
    <s v="CUST1117"/>
    <s v="PROD111"/>
    <d v="2025-01-01T00:00:00"/>
    <m/>
    <d v="2025-01-02T00:00:00"/>
    <x v="0"/>
    <x v="1"/>
    <x v="0"/>
    <s v="Returned"/>
    <n v="3329.41"/>
    <x v="2"/>
    <x v="1"/>
    <x v="1"/>
    <s v="Order Cancelled"/>
    <x v="1"/>
    <x v="1"/>
    <s v="Customer_110"/>
    <x v="44"/>
    <s v="D"/>
  </r>
  <r>
    <s v="ORD10213"/>
    <s v="CUST1073"/>
    <s v="PROD136"/>
    <d v="2025-04-30T00:00:00"/>
    <m/>
    <d v="2025-05-02T00:00:00"/>
    <x v="3"/>
    <x v="3"/>
    <x v="3"/>
    <s v="Delivered"/>
    <n v="1276.49"/>
    <x v="0"/>
    <x v="1"/>
    <x v="1"/>
    <s v="Order Cancelled"/>
    <x v="1"/>
    <x v="1"/>
    <s v="Customer_186"/>
    <x v="38"/>
    <s v="C"/>
  </r>
  <r>
    <s v="ORD10214"/>
    <s v="CUST1178"/>
    <s v="PROD146"/>
    <d v="2025-03-02T00:00:00"/>
    <d v="2025-03-07T00:00:00"/>
    <m/>
    <x v="2"/>
    <x v="4"/>
    <x v="3"/>
    <s v="Delivered"/>
    <n v="3618.46"/>
    <x v="3"/>
    <x v="4"/>
    <x v="0"/>
    <n v="5"/>
    <x v="0"/>
    <x v="2"/>
    <s v="Customer_134"/>
    <x v="31"/>
    <s v="B"/>
  </r>
  <r>
    <s v="ORD10215"/>
    <s v="CUST1248"/>
    <s v="PROD119"/>
    <d v="2025-02-13T00:00:00"/>
    <d v="2025-02-14T00:00:00"/>
    <m/>
    <x v="0"/>
    <x v="1"/>
    <x v="1"/>
    <s v="Returned"/>
    <n v="1338.8"/>
    <x v="1"/>
    <x v="2"/>
    <x v="0"/>
    <n v="1"/>
    <x v="0"/>
    <x v="0"/>
    <s v="Customer_145"/>
    <x v="45"/>
    <s v="D"/>
  </r>
  <r>
    <s v="ORD10216"/>
    <s v="CUST1185"/>
    <s v="PROD148"/>
    <d v="2025-03-08T00:00:00"/>
    <d v="2025-03-13T00:00:00"/>
    <m/>
    <x v="0"/>
    <x v="1"/>
    <x v="0"/>
    <s v="Delivered"/>
    <n v="1761.92"/>
    <x v="3"/>
    <x v="4"/>
    <x v="0"/>
    <n v="5"/>
    <x v="0"/>
    <x v="2"/>
    <s v="Customer_225"/>
    <x v="47"/>
    <s v="D"/>
  </r>
  <r>
    <s v="ORD10217"/>
    <s v="CUST1266"/>
    <s v="PROD122"/>
    <d v="2025-03-09T00:00:00"/>
    <d v="2025-03-12T00:00:00"/>
    <m/>
    <x v="0"/>
    <x v="3"/>
    <x v="3"/>
    <s v="Cancelled"/>
    <n v="3783.16"/>
    <x v="3"/>
    <x v="4"/>
    <x v="0"/>
    <n v="3"/>
    <x v="0"/>
    <x v="2"/>
    <s v="Customer_171"/>
    <x v="6"/>
    <s v="D"/>
  </r>
  <r>
    <s v="ORD10218"/>
    <s v="CUST1299"/>
    <s v="PROD136"/>
    <d v="2025-02-10T00:00:00"/>
    <d v="2025-02-14T00:00:00"/>
    <m/>
    <x v="2"/>
    <x v="1"/>
    <x v="2"/>
    <s v="Delivered"/>
    <n v="3318.24"/>
    <x v="1"/>
    <x v="2"/>
    <x v="0"/>
    <n v="4"/>
    <x v="0"/>
    <x v="2"/>
    <s v="Customer_123"/>
    <x v="38"/>
    <s v="B"/>
  </r>
  <r>
    <s v="ORD10219"/>
    <s v="CUST1209"/>
    <s v="PROD138"/>
    <d v="2025-02-23T00:00:00"/>
    <d v="2025-02-25T00:00:00"/>
    <m/>
    <x v="2"/>
    <x v="1"/>
    <x v="2"/>
    <s v="Returned"/>
    <n v="4276.2700000000004"/>
    <x v="1"/>
    <x v="2"/>
    <x v="0"/>
    <n v="2"/>
    <x v="0"/>
    <x v="0"/>
    <s v="Customer_240"/>
    <x v="21"/>
    <s v="B"/>
  </r>
  <r>
    <s v="ORD10220"/>
    <s v="CUST1262"/>
    <s v="PROD120"/>
    <d v="2025-03-19T00:00:00"/>
    <d v="2025-03-23T00:00:00"/>
    <m/>
    <x v="0"/>
    <x v="1"/>
    <x v="2"/>
    <s v="Cancelled"/>
    <n v="3356.54"/>
    <x v="3"/>
    <x v="4"/>
    <x v="0"/>
    <n v="4"/>
    <x v="0"/>
    <x v="2"/>
    <s v="Customer_190"/>
    <x v="9"/>
    <s v="D"/>
  </r>
  <r>
    <s v="ORD10221"/>
    <s v="CUST1040"/>
    <s v="PROD122"/>
    <d v="2025-04-26T00:00:00"/>
    <d v="2025-04-30T00:00:00"/>
    <m/>
    <x v="2"/>
    <x v="2"/>
    <x v="3"/>
    <s v="Cancelled"/>
    <n v="2927.88"/>
    <x v="0"/>
    <x v="0"/>
    <x v="0"/>
    <n v="4"/>
    <x v="0"/>
    <x v="2"/>
    <s v="Customer_235"/>
    <x v="6"/>
    <s v="B"/>
  </r>
  <r>
    <s v="ORD10222"/>
    <s v="CUST1181"/>
    <s v="PROD124"/>
    <d v="2025-02-07T00:00:00"/>
    <d v="2025-02-10T00:00:00"/>
    <m/>
    <x v="2"/>
    <x v="3"/>
    <x v="4"/>
    <s v="Cancelled"/>
    <n v="649.64"/>
    <x v="1"/>
    <x v="2"/>
    <x v="0"/>
    <n v="3"/>
    <x v="0"/>
    <x v="2"/>
    <s v="Customer_241"/>
    <x v="0"/>
    <s v="B"/>
  </r>
  <r>
    <s v="ORD10223"/>
    <s v="CUST1263"/>
    <s v="PROD104"/>
    <d v="2025-02-02T00:00:00"/>
    <d v="2025-02-03T00:00:00"/>
    <m/>
    <x v="2"/>
    <x v="4"/>
    <x v="3"/>
    <s v="Delivered"/>
    <n v="1965.04"/>
    <x v="1"/>
    <x v="2"/>
    <x v="0"/>
    <n v="1"/>
    <x v="0"/>
    <x v="0"/>
    <s v="Customer_6"/>
    <x v="24"/>
    <s v="B"/>
  </r>
  <r>
    <s v="ORD10224"/>
    <s v="CUST1064"/>
    <s v="PROD133"/>
    <d v="2025-03-29T00:00:00"/>
    <m/>
    <d v="2025-03-29T00:00:00"/>
    <x v="0"/>
    <x v="3"/>
    <x v="3"/>
    <s v="Returned"/>
    <n v="1472.97"/>
    <x v="3"/>
    <x v="1"/>
    <x v="1"/>
    <s v="Order Cancelled"/>
    <x v="1"/>
    <x v="1"/>
    <s v="Customer_180"/>
    <x v="41"/>
    <s v="D"/>
  </r>
  <r>
    <s v="ORD10225"/>
    <s v="CUST1255"/>
    <s v="PROD110"/>
    <d v="2025-04-30T00:00:00"/>
    <d v="2025-05-04T00:00:00"/>
    <m/>
    <x v="2"/>
    <x v="4"/>
    <x v="0"/>
    <s v="Cancelled"/>
    <n v="1371.15"/>
    <x v="0"/>
    <x v="5"/>
    <x v="0"/>
    <n v="4"/>
    <x v="0"/>
    <x v="2"/>
    <s v="Customer_127"/>
    <x v="11"/>
    <s v="B"/>
  </r>
  <r>
    <s v="ORD10226"/>
    <s v="CUST1135"/>
    <s v="PROD126"/>
    <d v="2025-05-01T00:00:00"/>
    <d v="2025-05-05T00:00:00"/>
    <m/>
    <x v="1"/>
    <x v="4"/>
    <x v="1"/>
    <s v="Cancelled"/>
    <n v="4870.45"/>
    <x v="4"/>
    <x v="5"/>
    <x v="0"/>
    <n v="4"/>
    <x v="0"/>
    <x v="2"/>
    <s v="Customer_126"/>
    <x v="48"/>
    <s v="A"/>
  </r>
  <r>
    <s v="ORD10227"/>
    <s v="CUST1146"/>
    <s v="PROD140"/>
    <d v="2025-04-18T00:00:00"/>
    <d v="2025-04-20T00:00:00"/>
    <m/>
    <x v="0"/>
    <x v="0"/>
    <x v="2"/>
    <s v="Delivered"/>
    <n v="2086.87"/>
    <x v="0"/>
    <x v="0"/>
    <x v="0"/>
    <n v="2"/>
    <x v="0"/>
    <x v="0"/>
    <s v="Customer_161"/>
    <x v="42"/>
    <s v="D"/>
  </r>
  <r>
    <s v="ORD10228"/>
    <s v="CUST1294"/>
    <s v="PROD118"/>
    <d v="2025-01-15T00:00:00"/>
    <d v="2025-01-19T00:00:00"/>
    <m/>
    <x v="3"/>
    <x v="1"/>
    <x v="0"/>
    <s v="Cancelled"/>
    <n v="4481.82"/>
    <x v="2"/>
    <x v="3"/>
    <x v="0"/>
    <n v="4"/>
    <x v="0"/>
    <x v="2"/>
    <s v="Customer_27"/>
    <x v="5"/>
    <s v="C"/>
  </r>
  <r>
    <s v="ORD10229"/>
    <s v="CUST1227"/>
    <s v="PROD139"/>
    <d v="2025-01-22T00:00:00"/>
    <d v="2025-01-24T00:00:00"/>
    <m/>
    <x v="2"/>
    <x v="4"/>
    <x v="0"/>
    <s v="Cancelled"/>
    <n v="3229.47"/>
    <x v="2"/>
    <x v="3"/>
    <x v="0"/>
    <n v="2"/>
    <x v="0"/>
    <x v="0"/>
    <s v="Customer_68"/>
    <x v="10"/>
    <s v="B"/>
  </r>
  <r>
    <s v="ORD10230"/>
    <s v="CUST1222"/>
    <s v="PROD114"/>
    <d v="2025-03-24T00:00:00"/>
    <d v="2025-03-30T00:00:00"/>
    <m/>
    <x v="2"/>
    <x v="2"/>
    <x v="4"/>
    <s v="Returned"/>
    <n v="4015.09"/>
    <x v="3"/>
    <x v="4"/>
    <x v="0"/>
    <n v="6"/>
    <x v="0"/>
    <x v="2"/>
    <s v="Customer_211"/>
    <x v="18"/>
    <s v="B"/>
  </r>
  <r>
    <s v="ORD10231"/>
    <s v="CUST1212"/>
    <s v="PROD117"/>
    <d v="2025-04-07T00:00:00"/>
    <m/>
    <d v="2025-04-08T00:00:00"/>
    <x v="3"/>
    <x v="3"/>
    <x v="3"/>
    <s v="Delivered"/>
    <n v="2612.66"/>
    <x v="0"/>
    <x v="1"/>
    <x v="1"/>
    <s v="Order Cancelled"/>
    <x v="1"/>
    <x v="1"/>
    <s v="Customer_279"/>
    <x v="28"/>
    <s v="C"/>
  </r>
  <r>
    <s v="ORD10232"/>
    <s v="CUST1295"/>
    <s v="PROD103"/>
    <d v="2025-05-01T00:00:00"/>
    <d v="2025-05-05T00:00:00"/>
    <m/>
    <x v="3"/>
    <x v="1"/>
    <x v="3"/>
    <s v="Cancelled"/>
    <n v="2969.14"/>
    <x v="4"/>
    <x v="5"/>
    <x v="0"/>
    <n v="4"/>
    <x v="0"/>
    <x v="2"/>
    <s v="Customer_172"/>
    <x v="19"/>
    <s v="C"/>
  </r>
  <r>
    <s v="ORD10233"/>
    <s v="CUST1160"/>
    <s v="PROD110"/>
    <d v="2025-03-17T00:00:00"/>
    <d v="2025-03-21T00:00:00"/>
    <m/>
    <x v="0"/>
    <x v="0"/>
    <x v="4"/>
    <s v="Returned"/>
    <n v="2564.08"/>
    <x v="3"/>
    <x v="4"/>
    <x v="0"/>
    <n v="4"/>
    <x v="0"/>
    <x v="2"/>
    <s v="Customer_282"/>
    <x v="11"/>
    <s v="D"/>
  </r>
  <r>
    <s v="ORD10234"/>
    <s v="CUST1225"/>
    <s v="PROD130"/>
    <d v="2025-01-26T00:00:00"/>
    <d v="2025-01-31T00:00:00"/>
    <m/>
    <x v="2"/>
    <x v="3"/>
    <x v="3"/>
    <s v="Returned"/>
    <n v="1137.17"/>
    <x v="2"/>
    <x v="3"/>
    <x v="0"/>
    <n v="5"/>
    <x v="0"/>
    <x v="2"/>
    <s v="Customer_152"/>
    <x v="35"/>
    <s v="B"/>
  </r>
  <r>
    <s v="ORD10235"/>
    <s v="CUST1069"/>
    <s v="PROD133"/>
    <d v="2025-04-12T00:00:00"/>
    <m/>
    <d v="2025-04-14T00:00:00"/>
    <x v="0"/>
    <x v="1"/>
    <x v="2"/>
    <s v="Cancelled"/>
    <n v="3667.77"/>
    <x v="0"/>
    <x v="1"/>
    <x v="1"/>
    <s v="Order Cancelled"/>
    <x v="1"/>
    <x v="1"/>
    <s v="Customer_92"/>
    <x v="41"/>
    <s v="D"/>
  </r>
  <r>
    <s v="ORD10236"/>
    <s v="CUST1273"/>
    <s v="PROD131"/>
    <d v="2025-04-26T00:00:00"/>
    <d v="2025-05-01T00:00:00"/>
    <m/>
    <x v="0"/>
    <x v="4"/>
    <x v="2"/>
    <s v="Delivered"/>
    <n v="1547.71"/>
    <x v="0"/>
    <x v="5"/>
    <x v="0"/>
    <n v="5"/>
    <x v="0"/>
    <x v="2"/>
    <s v="Customer_96"/>
    <x v="46"/>
    <s v="D"/>
  </r>
  <r>
    <s v="ORD10237"/>
    <s v="CUST1140"/>
    <s v="PROD115"/>
    <d v="2025-04-08T00:00:00"/>
    <m/>
    <d v="2025-04-09T00:00:00"/>
    <x v="3"/>
    <x v="1"/>
    <x v="2"/>
    <s v="Cancelled"/>
    <n v="316.72000000000003"/>
    <x v="0"/>
    <x v="1"/>
    <x v="1"/>
    <s v="Order Cancelled"/>
    <x v="1"/>
    <x v="1"/>
    <s v="Customer_124"/>
    <x v="12"/>
    <s v="C"/>
  </r>
  <r>
    <s v="ORD10238"/>
    <s v="CUST1181"/>
    <s v="PROD142"/>
    <d v="2025-03-25T00:00:00"/>
    <d v="2025-03-31T00:00:00"/>
    <m/>
    <x v="2"/>
    <x v="3"/>
    <x v="0"/>
    <s v="Delivered"/>
    <n v="3298.27"/>
    <x v="3"/>
    <x v="4"/>
    <x v="0"/>
    <n v="6"/>
    <x v="0"/>
    <x v="2"/>
    <s v="Customer_241"/>
    <x v="25"/>
    <s v="B"/>
  </r>
  <r>
    <s v="ORD10239"/>
    <s v="CUST1071"/>
    <s v="PROD136"/>
    <d v="2025-04-06T00:00:00"/>
    <m/>
    <d v="2025-04-06T00:00:00"/>
    <x v="3"/>
    <x v="3"/>
    <x v="4"/>
    <s v="Delivered"/>
    <n v="1050.1300000000001"/>
    <x v="0"/>
    <x v="1"/>
    <x v="1"/>
    <s v="Order Cancelled"/>
    <x v="1"/>
    <x v="1"/>
    <s v="Customer_132"/>
    <x v="38"/>
    <s v="C"/>
  </r>
  <r>
    <s v="ORD10240"/>
    <s v="CUST1065"/>
    <s v="PROD119"/>
    <d v="2025-04-03T00:00:00"/>
    <m/>
    <d v="2025-04-03T00:00:00"/>
    <x v="1"/>
    <x v="3"/>
    <x v="1"/>
    <s v="Cancelled"/>
    <n v="4714.2"/>
    <x v="0"/>
    <x v="1"/>
    <x v="1"/>
    <s v="Order Cancelled"/>
    <x v="1"/>
    <x v="1"/>
    <s v="Customer_204"/>
    <x v="45"/>
    <s v="A"/>
  </r>
  <r>
    <s v="ORD10241"/>
    <s v="CUST1149"/>
    <s v="PROD122"/>
    <d v="2025-04-22T00:00:00"/>
    <d v="2025-04-27T00:00:00"/>
    <m/>
    <x v="0"/>
    <x v="3"/>
    <x v="4"/>
    <s v="Cancelled"/>
    <n v="4778.8599999999997"/>
    <x v="0"/>
    <x v="0"/>
    <x v="0"/>
    <n v="5"/>
    <x v="0"/>
    <x v="2"/>
    <s v="Customer_12"/>
    <x v="6"/>
    <s v="D"/>
  </r>
  <r>
    <s v="ORD10242"/>
    <s v="CUST1067"/>
    <s v="PROD147"/>
    <d v="2025-03-06T00:00:00"/>
    <d v="2025-03-08T00:00:00"/>
    <m/>
    <x v="1"/>
    <x v="2"/>
    <x v="2"/>
    <s v="Cancelled"/>
    <n v="4591.3500000000004"/>
    <x v="3"/>
    <x v="4"/>
    <x v="0"/>
    <n v="2"/>
    <x v="0"/>
    <x v="0"/>
    <s v="Customer_46"/>
    <x v="1"/>
    <s v="A"/>
  </r>
  <r>
    <s v="ORD10243"/>
    <s v="CUST1077"/>
    <s v="PROD135"/>
    <d v="2025-03-21T00:00:00"/>
    <d v="2025-03-27T00:00:00"/>
    <m/>
    <x v="2"/>
    <x v="2"/>
    <x v="0"/>
    <s v="Delivered"/>
    <n v="1976.76"/>
    <x v="3"/>
    <x v="4"/>
    <x v="0"/>
    <n v="6"/>
    <x v="0"/>
    <x v="2"/>
    <s v="Customer_159"/>
    <x v="32"/>
    <s v="B"/>
  </r>
  <r>
    <s v="ORD10244"/>
    <s v="CUST1284"/>
    <s v="PROD105"/>
    <d v="2025-02-01T00:00:00"/>
    <m/>
    <d v="2025-02-01T00:00:00"/>
    <x v="2"/>
    <x v="2"/>
    <x v="1"/>
    <s v="Delivered"/>
    <n v="274.19"/>
    <x v="1"/>
    <x v="1"/>
    <x v="1"/>
    <s v="Order Cancelled"/>
    <x v="1"/>
    <x v="1"/>
    <s v="Customer_63"/>
    <x v="17"/>
    <s v="B"/>
  </r>
  <r>
    <s v="ORD10245"/>
    <s v="CUST1202"/>
    <s v="PROD109"/>
    <d v="2025-04-06T00:00:00"/>
    <d v="2025-04-10T00:00:00"/>
    <m/>
    <x v="1"/>
    <x v="2"/>
    <x v="1"/>
    <s v="Delivered"/>
    <n v="4655.93"/>
    <x v="0"/>
    <x v="0"/>
    <x v="0"/>
    <n v="4"/>
    <x v="0"/>
    <x v="2"/>
    <s v="Customer_55"/>
    <x v="2"/>
    <s v="A"/>
  </r>
  <r>
    <s v="ORD10246"/>
    <s v="CUST1214"/>
    <s v="PROD107"/>
    <d v="2025-01-28T00:00:00"/>
    <m/>
    <d v="2025-01-30T00:00:00"/>
    <x v="2"/>
    <x v="1"/>
    <x v="0"/>
    <s v="Returned"/>
    <n v="2255.2800000000002"/>
    <x v="2"/>
    <x v="1"/>
    <x v="1"/>
    <s v="Order Cancelled"/>
    <x v="1"/>
    <x v="1"/>
    <s v="Customer_19"/>
    <x v="8"/>
    <s v="B"/>
  </r>
  <r>
    <s v="ORD10247"/>
    <s v="CUST1261"/>
    <s v="PROD123"/>
    <d v="2025-01-10T00:00:00"/>
    <m/>
    <d v="2025-01-12T00:00:00"/>
    <x v="2"/>
    <x v="1"/>
    <x v="0"/>
    <s v="Cancelled"/>
    <n v="4839.9399999999996"/>
    <x v="2"/>
    <x v="1"/>
    <x v="1"/>
    <s v="Order Cancelled"/>
    <x v="1"/>
    <x v="1"/>
    <s v="Customer_25"/>
    <x v="49"/>
    <s v="B"/>
  </r>
  <r>
    <s v="ORD10248"/>
    <s v="CUST1018"/>
    <s v="PROD111"/>
    <d v="2025-02-10T00:00:00"/>
    <m/>
    <d v="2025-02-12T00:00:00"/>
    <x v="1"/>
    <x v="4"/>
    <x v="1"/>
    <s v="Cancelled"/>
    <n v="4825.38"/>
    <x v="1"/>
    <x v="1"/>
    <x v="1"/>
    <s v="Order Cancelled"/>
    <x v="1"/>
    <x v="1"/>
    <s v="Customer_184"/>
    <x v="44"/>
    <s v="A"/>
  </r>
  <r>
    <s v="ORD10249"/>
    <s v="CUST1248"/>
    <s v="PROD107"/>
    <d v="2025-01-11T00:00:00"/>
    <d v="2025-01-13T00:00:00"/>
    <m/>
    <x v="0"/>
    <x v="1"/>
    <x v="1"/>
    <s v="Delivered"/>
    <n v="4294.45"/>
    <x v="2"/>
    <x v="3"/>
    <x v="0"/>
    <n v="2"/>
    <x v="0"/>
    <x v="0"/>
    <s v="Customer_145"/>
    <x v="8"/>
    <s v="D"/>
  </r>
  <r>
    <s v="ORD10250"/>
    <s v="CUST1239"/>
    <s v="PROD108"/>
    <d v="2025-04-05T00:00:00"/>
    <m/>
    <d v="2025-04-05T00:00:00"/>
    <x v="2"/>
    <x v="1"/>
    <x v="0"/>
    <s v="Cancelled"/>
    <n v="1613.35"/>
    <x v="0"/>
    <x v="1"/>
    <x v="1"/>
    <s v="Order Cancelled"/>
    <x v="1"/>
    <x v="1"/>
    <s v="Customer_36"/>
    <x v="14"/>
    <s v="B"/>
  </r>
  <r>
    <s v="ORD10251"/>
    <s v="CUST1088"/>
    <s v="PROD107"/>
    <d v="2025-03-15T00:00:00"/>
    <m/>
    <d v="2025-03-17T00:00:00"/>
    <x v="1"/>
    <x v="2"/>
    <x v="4"/>
    <s v="Cancelled"/>
    <n v="2048.4699999999998"/>
    <x v="3"/>
    <x v="1"/>
    <x v="1"/>
    <s v="Order Cancelled"/>
    <x v="1"/>
    <x v="1"/>
    <s v="Customer_197"/>
    <x v="8"/>
    <s v="A"/>
  </r>
  <r>
    <s v="ORD10252"/>
    <s v="CUST1061"/>
    <s v="PROD118"/>
    <d v="2025-03-28T00:00:00"/>
    <m/>
    <d v="2025-03-29T00:00:00"/>
    <x v="3"/>
    <x v="0"/>
    <x v="0"/>
    <s v="Delivered"/>
    <n v="4285.46"/>
    <x v="3"/>
    <x v="1"/>
    <x v="1"/>
    <s v="Order Cancelled"/>
    <x v="1"/>
    <x v="1"/>
    <s v="Customer_102"/>
    <x v="5"/>
    <s v="C"/>
  </r>
  <r>
    <s v="ORD10253"/>
    <s v="CUST1052"/>
    <s v="PROD141"/>
    <d v="2025-02-27T00:00:00"/>
    <d v="2025-03-04T00:00:00"/>
    <m/>
    <x v="3"/>
    <x v="4"/>
    <x v="0"/>
    <s v="Cancelled"/>
    <n v="1721.23"/>
    <x v="1"/>
    <x v="4"/>
    <x v="0"/>
    <n v="5"/>
    <x v="0"/>
    <x v="2"/>
    <s v="Customer_75"/>
    <x v="13"/>
    <s v="C"/>
  </r>
  <r>
    <s v="ORD10254"/>
    <s v="CUST1030"/>
    <s v="PROD132"/>
    <d v="2025-03-02T00:00:00"/>
    <m/>
    <d v="2025-03-04T00:00:00"/>
    <x v="3"/>
    <x v="3"/>
    <x v="3"/>
    <s v="Cancelled"/>
    <n v="1013.57"/>
    <x v="3"/>
    <x v="1"/>
    <x v="1"/>
    <s v="Order Cancelled"/>
    <x v="1"/>
    <x v="1"/>
    <s v="Customer_136"/>
    <x v="29"/>
    <s v="C"/>
  </r>
  <r>
    <s v="ORD10255"/>
    <s v="CUST1247"/>
    <s v="PROD141"/>
    <d v="2025-04-15T00:00:00"/>
    <d v="2025-04-17T00:00:00"/>
    <m/>
    <x v="0"/>
    <x v="1"/>
    <x v="3"/>
    <s v="Delivered"/>
    <n v="2872.65"/>
    <x v="0"/>
    <x v="0"/>
    <x v="0"/>
    <n v="2"/>
    <x v="0"/>
    <x v="0"/>
    <s v="Customer_20"/>
    <x v="13"/>
    <s v="D"/>
  </r>
  <r>
    <s v="ORD10256"/>
    <s v="CUST1071"/>
    <s v="PROD120"/>
    <d v="2025-04-09T00:00:00"/>
    <m/>
    <d v="2025-04-11T00:00:00"/>
    <x v="0"/>
    <x v="3"/>
    <x v="4"/>
    <s v="Returned"/>
    <n v="4693.54"/>
    <x v="0"/>
    <x v="1"/>
    <x v="1"/>
    <s v="Order Cancelled"/>
    <x v="1"/>
    <x v="1"/>
    <s v="Customer_132"/>
    <x v="9"/>
    <s v="D"/>
  </r>
  <r>
    <s v="ORD10257"/>
    <s v="CUST1132"/>
    <s v="PROD143"/>
    <d v="2025-01-06T00:00:00"/>
    <m/>
    <d v="2025-01-08T00:00:00"/>
    <x v="2"/>
    <x v="1"/>
    <x v="4"/>
    <s v="Cancelled"/>
    <n v="3540.94"/>
    <x v="2"/>
    <x v="1"/>
    <x v="1"/>
    <s v="Order Cancelled"/>
    <x v="1"/>
    <x v="1"/>
    <s v="Customer_44"/>
    <x v="22"/>
    <s v="B"/>
  </r>
  <r>
    <s v="ORD10258"/>
    <s v="CUST1284"/>
    <s v="PROD108"/>
    <d v="2025-02-13T00:00:00"/>
    <d v="2025-02-16T00:00:00"/>
    <m/>
    <x v="2"/>
    <x v="1"/>
    <x v="4"/>
    <s v="Delivered"/>
    <n v="2936.29"/>
    <x v="1"/>
    <x v="2"/>
    <x v="0"/>
    <n v="3"/>
    <x v="0"/>
    <x v="2"/>
    <s v="Customer_63"/>
    <x v="14"/>
    <s v="B"/>
  </r>
  <r>
    <s v="ORD10259"/>
    <s v="CUST1131"/>
    <s v="PROD101"/>
    <d v="2025-02-20T00:00:00"/>
    <m/>
    <d v="2025-02-20T00:00:00"/>
    <x v="1"/>
    <x v="4"/>
    <x v="2"/>
    <s v="Returned"/>
    <n v="666.45"/>
    <x v="1"/>
    <x v="1"/>
    <x v="1"/>
    <s v="Order Cancelled"/>
    <x v="1"/>
    <x v="1"/>
    <s v="Customer_154"/>
    <x v="40"/>
    <s v="A"/>
  </r>
  <r>
    <s v="ORD10260"/>
    <s v="CUST1152"/>
    <s v="PROD133"/>
    <d v="2025-01-28T00:00:00"/>
    <d v="2025-01-30T00:00:00"/>
    <m/>
    <x v="2"/>
    <x v="4"/>
    <x v="1"/>
    <s v="Cancelled"/>
    <n v="3152.03"/>
    <x v="2"/>
    <x v="3"/>
    <x v="0"/>
    <n v="2"/>
    <x v="0"/>
    <x v="0"/>
    <s v="Customer_42"/>
    <x v="41"/>
    <s v="B"/>
  </r>
  <r>
    <s v="ORD10261"/>
    <s v="CUST1148"/>
    <s v="PROD130"/>
    <d v="2025-04-20T00:00:00"/>
    <d v="2025-04-26T00:00:00"/>
    <m/>
    <x v="2"/>
    <x v="4"/>
    <x v="0"/>
    <s v="Cancelled"/>
    <n v="4952.26"/>
    <x v="0"/>
    <x v="0"/>
    <x v="0"/>
    <n v="6"/>
    <x v="0"/>
    <x v="2"/>
    <s v="Customer_99"/>
    <x v="35"/>
    <s v="B"/>
  </r>
  <r>
    <s v="ORD10262"/>
    <s v="CUST1256"/>
    <s v="PROD140"/>
    <d v="2025-03-19T00:00:00"/>
    <d v="2025-03-23T00:00:00"/>
    <m/>
    <x v="0"/>
    <x v="2"/>
    <x v="3"/>
    <s v="Returned"/>
    <n v="872.4"/>
    <x v="3"/>
    <x v="4"/>
    <x v="0"/>
    <n v="4"/>
    <x v="0"/>
    <x v="2"/>
    <s v="Customer_245"/>
    <x v="42"/>
    <s v="D"/>
  </r>
  <r>
    <s v="ORD10263"/>
    <s v="CUST1015"/>
    <s v="PROD123"/>
    <d v="2025-04-13T00:00:00"/>
    <m/>
    <d v="2025-04-13T00:00:00"/>
    <x v="0"/>
    <x v="1"/>
    <x v="2"/>
    <s v="Delivered"/>
    <n v="2687.98"/>
    <x v="0"/>
    <x v="1"/>
    <x v="1"/>
    <s v="Order Cancelled"/>
    <x v="1"/>
    <x v="1"/>
    <s v="Customer_122"/>
    <x v="49"/>
    <s v="D"/>
  </r>
  <r>
    <s v="ORD10264"/>
    <s v="CUST1293"/>
    <s v="PROD142"/>
    <d v="2025-03-23T00:00:00"/>
    <d v="2025-03-27T00:00:00"/>
    <m/>
    <x v="0"/>
    <x v="0"/>
    <x v="4"/>
    <s v="Cancelled"/>
    <n v="4411.3900000000003"/>
    <x v="3"/>
    <x v="4"/>
    <x v="0"/>
    <n v="4"/>
    <x v="0"/>
    <x v="2"/>
    <s v="Customer_60"/>
    <x v="25"/>
    <s v="D"/>
  </r>
  <r>
    <s v="ORD10265"/>
    <s v="CUST1043"/>
    <s v="PROD124"/>
    <d v="2025-01-08T00:00:00"/>
    <d v="2025-01-11T00:00:00"/>
    <m/>
    <x v="0"/>
    <x v="4"/>
    <x v="0"/>
    <s v="Delivered"/>
    <n v="3755.69"/>
    <x v="2"/>
    <x v="3"/>
    <x v="0"/>
    <n v="3"/>
    <x v="0"/>
    <x v="2"/>
    <s v="Customer_234"/>
    <x v="0"/>
    <s v="D"/>
  </r>
  <r>
    <s v="ORD10266"/>
    <s v="CUST1136"/>
    <s v="PROD125"/>
    <d v="2025-01-02T00:00:00"/>
    <d v="2025-01-06T00:00:00"/>
    <m/>
    <x v="1"/>
    <x v="2"/>
    <x v="3"/>
    <s v="Returned"/>
    <n v="3545.68"/>
    <x v="2"/>
    <x v="3"/>
    <x v="0"/>
    <n v="4"/>
    <x v="0"/>
    <x v="2"/>
    <s v="Customer_103"/>
    <x v="26"/>
    <s v="A"/>
  </r>
  <r>
    <s v="ORD10267"/>
    <s v="CUST1119"/>
    <s v="PROD103"/>
    <d v="2025-04-14T00:00:00"/>
    <m/>
    <d v="2025-04-16T00:00:00"/>
    <x v="3"/>
    <x v="2"/>
    <x v="3"/>
    <s v="Returned"/>
    <n v="3571.92"/>
    <x v="0"/>
    <x v="1"/>
    <x v="1"/>
    <s v="Order Cancelled"/>
    <x v="1"/>
    <x v="1"/>
    <s v="Customer_51"/>
    <x v="19"/>
    <s v="C"/>
  </r>
  <r>
    <s v="ORD10268"/>
    <s v="CUST1002"/>
    <s v="PROD123"/>
    <d v="2025-03-04T00:00:00"/>
    <d v="2025-03-10T00:00:00"/>
    <m/>
    <x v="3"/>
    <x v="0"/>
    <x v="2"/>
    <s v="Returned"/>
    <n v="1925.56"/>
    <x v="3"/>
    <x v="4"/>
    <x v="0"/>
    <n v="6"/>
    <x v="0"/>
    <x v="2"/>
    <s v="Customer_209"/>
    <x v="49"/>
    <s v="C"/>
  </r>
  <r>
    <s v="ORD10269"/>
    <s v="CUST1195"/>
    <s v="PROD115"/>
    <d v="2025-03-29T00:00:00"/>
    <d v="2025-03-31T00:00:00"/>
    <m/>
    <x v="2"/>
    <x v="1"/>
    <x v="3"/>
    <s v="Returned"/>
    <n v="1609.24"/>
    <x v="3"/>
    <x v="4"/>
    <x v="0"/>
    <n v="2"/>
    <x v="0"/>
    <x v="0"/>
    <s v="Customer_121"/>
    <x v="12"/>
    <s v="B"/>
  </r>
  <r>
    <s v="ORD10270"/>
    <s v="CUST1198"/>
    <s v="PROD118"/>
    <d v="2025-01-08T00:00:00"/>
    <m/>
    <d v="2025-01-08T00:00:00"/>
    <x v="1"/>
    <x v="3"/>
    <x v="3"/>
    <s v="Cancelled"/>
    <n v="4084.93"/>
    <x v="2"/>
    <x v="1"/>
    <x v="1"/>
    <s v="Order Cancelled"/>
    <x v="1"/>
    <x v="1"/>
    <s v="Customer_107"/>
    <x v="5"/>
    <s v="A"/>
  </r>
  <r>
    <s v="ORD10271"/>
    <s v="CUST1103"/>
    <s v="PROD144"/>
    <d v="2025-01-22T00:00:00"/>
    <m/>
    <d v="2025-01-22T00:00:00"/>
    <x v="1"/>
    <x v="1"/>
    <x v="4"/>
    <s v="Delivered"/>
    <n v="4088.54"/>
    <x v="2"/>
    <x v="1"/>
    <x v="1"/>
    <s v="Order Cancelled"/>
    <x v="1"/>
    <x v="1"/>
    <s v="Customer_253"/>
    <x v="39"/>
    <s v="A"/>
  </r>
  <r>
    <s v="ORD10272"/>
    <s v="CUST1044"/>
    <s v="PROD136"/>
    <d v="2025-01-15T00:00:00"/>
    <d v="2025-01-19T00:00:00"/>
    <m/>
    <x v="1"/>
    <x v="2"/>
    <x v="2"/>
    <s v="Returned"/>
    <n v="4361.95"/>
    <x v="2"/>
    <x v="3"/>
    <x v="0"/>
    <n v="4"/>
    <x v="0"/>
    <x v="2"/>
    <s v="Customer_40"/>
    <x v="38"/>
    <s v="A"/>
  </r>
  <r>
    <s v="ORD10273"/>
    <s v="CUST1159"/>
    <s v="PROD139"/>
    <d v="2025-01-29T00:00:00"/>
    <d v="2025-02-03T00:00:00"/>
    <m/>
    <x v="3"/>
    <x v="3"/>
    <x v="3"/>
    <s v="Cancelled"/>
    <n v="4583.55"/>
    <x v="2"/>
    <x v="2"/>
    <x v="0"/>
    <n v="5"/>
    <x v="0"/>
    <x v="2"/>
    <s v="Customer_26"/>
    <x v="10"/>
    <s v="C"/>
  </r>
  <r>
    <s v="ORD10274"/>
    <s v="CUST1251"/>
    <s v="PROD137"/>
    <d v="2025-03-02T00:00:00"/>
    <d v="2025-03-04T00:00:00"/>
    <m/>
    <x v="2"/>
    <x v="4"/>
    <x v="4"/>
    <s v="Cancelled"/>
    <n v="2654.44"/>
    <x v="3"/>
    <x v="4"/>
    <x v="0"/>
    <n v="2"/>
    <x v="0"/>
    <x v="0"/>
    <s v="Customer_168"/>
    <x v="33"/>
    <s v="B"/>
  </r>
  <r>
    <s v="ORD10275"/>
    <s v="CUST1294"/>
    <s v="PROD109"/>
    <d v="2025-02-04T00:00:00"/>
    <m/>
    <d v="2025-02-05T00:00:00"/>
    <x v="0"/>
    <x v="0"/>
    <x v="2"/>
    <s v="Cancelled"/>
    <n v="2607.2800000000002"/>
    <x v="1"/>
    <x v="1"/>
    <x v="1"/>
    <s v="Order Cancelled"/>
    <x v="1"/>
    <x v="1"/>
    <s v="Customer_27"/>
    <x v="2"/>
    <s v="D"/>
  </r>
  <r>
    <s v="ORD10276"/>
    <s v="CUST1261"/>
    <s v="PROD132"/>
    <d v="2025-03-01T00:00:00"/>
    <m/>
    <d v="2025-03-01T00:00:00"/>
    <x v="2"/>
    <x v="2"/>
    <x v="3"/>
    <s v="Returned"/>
    <n v="4031.82"/>
    <x v="3"/>
    <x v="1"/>
    <x v="1"/>
    <s v="Order Cancelled"/>
    <x v="1"/>
    <x v="1"/>
    <s v="Customer_25"/>
    <x v="29"/>
    <s v="B"/>
  </r>
  <r>
    <s v="ORD10277"/>
    <s v="CUST1002"/>
    <s v="PROD130"/>
    <d v="2025-03-19T00:00:00"/>
    <d v="2025-03-24T00:00:00"/>
    <m/>
    <x v="0"/>
    <x v="2"/>
    <x v="1"/>
    <s v="Delivered"/>
    <n v="3319.83"/>
    <x v="3"/>
    <x v="4"/>
    <x v="0"/>
    <n v="5"/>
    <x v="0"/>
    <x v="2"/>
    <s v="Customer_209"/>
    <x v="35"/>
    <s v="D"/>
  </r>
  <r>
    <s v="ORD10278"/>
    <s v="CUST1126"/>
    <s v="PROD113"/>
    <d v="2025-02-06T00:00:00"/>
    <d v="2025-02-11T00:00:00"/>
    <m/>
    <x v="1"/>
    <x v="2"/>
    <x v="2"/>
    <s v="Cancelled"/>
    <n v="3569.44"/>
    <x v="1"/>
    <x v="2"/>
    <x v="0"/>
    <n v="5"/>
    <x v="0"/>
    <x v="2"/>
    <s v="Customer_215"/>
    <x v="3"/>
    <s v="A"/>
  </r>
  <r>
    <s v="ORD10279"/>
    <s v="CUST1226"/>
    <s v="PROD110"/>
    <d v="2025-05-01T00:00:00"/>
    <d v="2025-05-02T00:00:00"/>
    <m/>
    <x v="3"/>
    <x v="0"/>
    <x v="1"/>
    <s v="Delivered"/>
    <n v="4019.8"/>
    <x v="4"/>
    <x v="5"/>
    <x v="0"/>
    <n v="1"/>
    <x v="0"/>
    <x v="0"/>
    <s v="Customer_219"/>
    <x v="11"/>
    <s v="C"/>
  </r>
  <r>
    <s v="ORD10280"/>
    <s v="CUST1150"/>
    <s v="PROD109"/>
    <d v="2025-02-10T00:00:00"/>
    <d v="2025-02-11T00:00:00"/>
    <m/>
    <x v="1"/>
    <x v="2"/>
    <x v="2"/>
    <s v="Cancelled"/>
    <n v="4472.03"/>
    <x v="1"/>
    <x v="2"/>
    <x v="0"/>
    <n v="1"/>
    <x v="0"/>
    <x v="0"/>
    <s v="Customer_198"/>
    <x v="2"/>
    <s v="A"/>
  </r>
  <r>
    <s v="ORD10281"/>
    <s v="CUST1252"/>
    <s v="PROD118"/>
    <d v="2025-03-21T00:00:00"/>
    <d v="2025-03-25T00:00:00"/>
    <m/>
    <x v="2"/>
    <x v="4"/>
    <x v="0"/>
    <s v="Delivered"/>
    <n v="1822.38"/>
    <x v="3"/>
    <x v="4"/>
    <x v="0"/>
    <n v="4"/>
    <x v="0"/>
    <x v="2"/>
    <s v="Customer_41"/>
    <x v="5"/>
    <s v="B"/>
  </r>
  <r>
    <s v="ORD10282"/>
    <s v="CUST1187"/>
    <s v="PROD141"/>
    <d v="2025-01-23T00:00:00"/>
    <m/>
    <d v="2025-01-24T00:00:00"/>
    <x v="1"/>
    <x v="0"/>
    <x v="0"/>
    <s v="Returned"/>
    <n v="2002.8"/>
    <x v="2"/>
    <x v="1"/>
    <x v="1"/>
    <s v="Order Cancelled"/>
    <x v="1"/>
    <x v="1"/>
    <s v="Customer_84"/>
    <x v="13"/>
    <s v="A"/>
  </r>
  <r>
    <s v="ORD10283"/>
    <s v="CUST1049"/>
    <s v="PROD122"/>
    <d v="2025-03-05T00:00:00"/>
    <m/>
    <d v="2025-03-07T00:00:00"/>
    <x v="1"/>
    <x v="3"/>
    <x v="1"/>
    <s v="Cancelled"/>
    <n v="651.11"/>
    <x v="3"/>
    <x v="1"/>
    <x v="1"/>
    <s v="Order Cancelled"/>
    <x v="1"/>
    <x v="1"/>
    <s v="Customer_244"/>
    <x v="6"/>
    <s v="A"/>
  </r>
  <r>
    <s v="ORD10284"/>
    <s v="CUST1152"/>
    <s v="PROD117"/>
    <d v="2025-01-21T00:00:00"/>
    <m/>
    <d v="2025-01-23T00:00:00"/>
    <x v="2"/>
    <x v="3"/>
    <x v="4"/>
    <s v="Delivered"/>
    <n v="2975.74"/>
    <x v="2"/>
    <x v="1"/>
    <x v="1"/>
    <s v="Order Cancelled"/>
    <x v="1"/>
    <x v="1"/>
    <s v="Customer_42"/>
    <x v="28"/>
    <s v="B"/>
  </r>
  <r>
    <s v="ORD10285"/>
    <s v="CUST1027"/>
    <s v="PROD101"/>
    <d v="2025-02-28T00:00:00"/>
    <m/>
    <d v="2025-03-01T00:00:00"/>
    <x v="2"/>
    <x v="2"/>
    <x v="1"/>
    <s v="Returned"/>
    <n v="372.52"/>
    <x v="1"/>
    <x v="1"/>
    <x v="1"/>
    <s v="Order Cancelled"/>
    <x v="1"/>
    <x v="1"/>
    <s v="Customer_18"/>
    <x v="40"/>
    <s v="B"/>
  </r>
  <r>
    <s v="ORD10286"/>
    <s v="CUST1100"/>
    <s v="PROD126"/>
    <d v="2025-02-15T00:00:00"/>
    <d v="2025-02-20T00:00:00"/>
    <m/>
    <x v="0"/>
    <x v="4"/>
    <x v="0"/>
    <s v="Returned"/>
    <n v="2434.87"/>
    <x v="1"/>
    <x v="2"/>
    <x v="0"/>
    <n v="5"/>
    <x v="0"/>
    <x v="2"/>
    <s v="Customer_269"/>
    <x v="48"/>
    <s v="D"/>
  </r>
  <r>
    <s v="ORD10287"/>
    <s v="CUST1077"/>
    <s v="PROD128"/>
    <d v="2025-03-21T00:00:00"/>
    <d v="2025-03-23T00:00:00"/>
    <m/>
    <x v="1"/>
    <x v="1"/>
    <x v="2"/>
    <s v="Returned"/>
    <n v="2804.69"/>
    <x v="3"/>
    <x v="4"/>
    <x v="0"/>
    <n v="2"/>
    <x v="0"/>
    <x v="0"/>
    <s v="Customer_159"/>
    <x v="15"/>
    <s v="A"/>
  </r>
  <r>
    <s v="ORD10288"/>
    <s v="CUST1100"/>
    <s v="PROD135"/>
    <d v="2025-03-05T00:00:00"/>
    <d v="2025-03-08T00:00:00"/>
    <m/>
    <x v="2"/>
    <x v="1"/>
    <x v="3"/>
    <s v="Cancelled"/>
    <n v="1575.4"/>
    <x v="3"/>
    <x v="4"/>
    <x v="0"/>
    <n v="3"/>
    <x v="0"/>
    <x v="2"/>
    <s v="Customer_269"/>
    <x v="32"/>
    <s v="B"/>
  </r>
  <r>
    <s v="ORD10289"/>
    <s v="CUST1020"/>
    <s v="PROD108"/>
    <d v="2025-04-11T00:00:00"/>
    <m/>
    <d v="2025-04-12T00:00:00"/>
    <x v="3"/>
    <x v="0"/>
    <x v="3"/>
    <s v="Returned"/>
    <n v="3036"/>
    <x v="0"/>
    <x v="1"/>
    <x v="1"/>
    <s v="Order Cancelled"/>
    <x v="1"/>
    <x v="1"/>
    <s v="Customer_182"/>
    <x v="14"/>
    <s v="C"/>
  </r>
  <r>
    <s v="ORD10290"/>
    <s v="CUST1122"/>
    <s v="PROD105"/>
    <d v="2025-03-12T00:00:00"/>
    <d v="2025-03-14T00:00:00"/>
    <m/>
    <x v="3"/>
    <x v="2"/>
    <x v="1"/>
    <s v="Returned"/>
    <n v="346.4"/>
    <x v="3"/>
    <x v="4"/>
    <x v="0"/>
    <n v="2"/>
    <x v="0"/>
    <x v="0"/>
    <s v="Customer_185"/>
    <x v="17"/>
    <s v="C"/>
  </r>
  <r>
    <s v="ORD10291"/>
    <s v="CUST1122"/>
    <s v="PROD148"/>
    <d v="2025-04-28T00:00:00"/>
    <d v="2025-04-30T00:00:00"/>
    <m/>
    <x v="0"/>
    <x v="0"/>
    <x v="2"/>
    <s v="Cancelled"/>
    <n v="379.27"/>
    <x v="0"/>
    <x v="0"/>
    <x v="0"/>
    <n v="2"/>
    <x v="0"/>
    <x v="0"/>
    <s v="Customer_185"/>
    <x v="47"/>
    <s v="D"/>
  </r>
  <r>
    <s v="ORD10292"/>
    <s v="CUST1147"/>
    <s v="PROD131"/>
    <d v="2025-03-24T00:00:00"/>
    <m/>
    <d v="2025-03-25T00:00:00"/>
    <x v="2"/>
    <x v="2"/>
    <x v="4"/>
    <s v="Cancelled"/>
    <n v="4148.4799999999996"/>
    <x v="3"/>
    <x v="1"/>
    <x v="1"/>
    <s v="Order Cancelled"/>
    <x v="1"/>
    <x v="1"/>
    <s v="Customer_8"/>
    <x v="46"/>
    <s v="B"/>
  </r>
  <r>
    <s v="ORD10293"/>
    <s v="CUST1236"/>
    <s v="PROD139"/>
    <d v="2025-02-25T00:00:00"/>
    <d v="2025-02-27T00:00:00"/>
    <m/>
    <x v="2"/>
    <x v="2"/>
    <x v="4"/>
    <s v="Delivered"/>
    <n v="1928.92"/>
    <x v="1"/>
    <x v="2"/>
    <x v="0"/>
    <n v="2"/>
    <x v="0"/>
    <x v="0"/>
    <s v="Customer_90"/>
    <x v="10"/>
    <s v="B"/>
  </r>
  <r>
    <s v="ORD10294"/>
    <s v="CUST1031"/>
    <s v="PROD111"/>
    <d v="2025-01-22T00:00:00"/>
    <d v="2025-01-27T00:00:00"/>
    <m/>
    <x v="0"/>
    <x v="0"/>
    <x v="0"/>
    <s v="Delivered"/>
    <n v="809.89"/>
    <x v="2"/>
    <x v="3"/>
    <x v="0"/>
    <n v="5"/>
    <x v="0"/>
    <x v="2"/>
    <s v="Customer_101"/>
    <x v="44"/>
    <s v="D"/>
  </r>
  <r>
    <s v="ORD10295"/>
    <s v="CUST1041"/>
    <s v="PROD103"/>
    <d v="2025-03-23T00:00:00"/>
    <d v="2025-03-29T00:00:00"/>
    <m/>
    <x v="3"/>
    <x v="2"/>
    <x v="3"/>
    <s v="Cancelled"/>
    <n v="2706.77"/>
    <x v="3"/>
    <x v="4"/>
    <x v="0"/>
    <n v="6"/>
    <x v="0"/>
    <x v="2"/>
    <s v="Customer_249"/>
    <x v="19"/>
    <s v="C"/>
  </r>
  <r>
    <s v="ORD10296"/>
    <s v="CUST1196"/>
    <s v="PROD140"/>
    <d v="2025-04-13T00:00:00"/>
    <d v="2025-04-15T00:00:00"/>
    <m/>
    <x v="1"/>
    <x v="1"/>
    <x v="0"/>
    <s v="Cancelled"/>
    <n v="3895.97"/>
    <x v="0"/>
    <x v="0"/>
    <x v="0"/>
    <n v="2"/>
    <x v="0"/>
    <x v="0"/>
    <s v="Customer_264"/>
    <x v="42"/>
    <s v="A"/>
  </r>
  <r>
    <s v="ORD10297"/>
    <s v="CUST1050"/>
    <s v="PROD103"/>
    <d v="2025-01-30T00:00:00"/>
    <d v="2025-01-31T00:00:00"/>
    <m/>
    <x v="0"/>
    <x v="3"/>
    <x v="3"/>
    <s v="Returned"/>
    <n v="1235.94"/>
    <x v="2"/>
    <x v="3"/>
    <x v="0"/>
    <n v="1"/>
    <x v="0"/>
    <x v="0"/>
    <s v="Customer_246"/>
    <x v="19"/>
    <s v="D"/>
  </r>
  <r>
    <s v="ORD10298"/>
    <s v="CUST1177"/>
    <s v="PROD108"/>
    <d v="2025-03-10T00:00:00"/>
    <m/>
    <d v="2025-03-11T00:00:00"/>
    <x v="1"/>
    <x v="4"/>
    <x v="1"/>
    <s v="Returned"/>
    <n v="3189.87"/>
    <x v="3"/>
    <x v="1"/>
    <x v="1"/>
    <s v="Order Cancelled"/>
    <x v="1"/>
    <x v="1"/>
    <s v="Customer_183"/>
    <x v="14"/>
    <s v="A"/>
  </r>
  <r>
    <s v="ORD10299"/>
    <s v="CUST1253"/>
    <s v="PROD121"/>
    <d v="2025-04-17T00:00:00"/>
    <d v="2025-04-22T00:00:00"/>
    <m/>
    <x v="3"/>
    <x v="1"/>
    <x v="4"/>
    <s v="Cancelled"/>
    <n v="609.66999999999996"/>
    <x v="0"/>
    <x v="0"/>
    <x v="0"/>
    <n v="5"/>
    <x v="0"/>
    <x v="2"/>
    <s v="Customer_193"/>
    <x v="20"/>
    <s v="C"/>
  </r>
  <r>
    <s v="ORD10300"/>
    <s v="CUST1213"/>
    <s v="PROD124"/>
    <d v="2025-02-23T00:00:00"/>
    <d v="2025-02-28T00:00:00"/>
    <m/>
    <x v="2"/>
    <x v="0"/>
    <x v="1"/>
    <s v="Cancelled"/>
    <n v="448.07"/>
    <x v="1"/>
    <x v="2"/>
    <x v="0"/>
    <n v="5"/>
    <x v="0"/>
    <x v="2"/>
    <s v="Customer_33"/>
    <x v="0"/>
    <s v="B"/>
  </r>
  <r>
    <s v="ORD10301"/>
    <s v="CUST1034"/>
    <s v="PROD134"/>
    <d v="2025-02-20T00:00:00"/>
    <d v="2025-02-26T00:00:00"/>
    <m/>
    <x v="3"/>
    <x v="1"/>
    <x v="1"/>
    <s v="Delivered"/>
    <n v="2750.5"/>
    <x v="1"/>
    <x v="2"/>
    <x v="0"/>
    <n v="6"/>
    <x v="0"/>
    <x v="2"/>
    <s v="Customer_22"/>
    <x v="37"/>
    <s v="C"/>
  </r>
  <r>
    <s v="ORD10302"/>
    <s v="CUST1145"/>
    <s v="PROD113"/>
    <d v="2025-02-07T00:00:00"/>
    <m/>
    <d v="2025-02-08T00:00:00"/>
    <x v="1"/>
    <x v="2"/>
    <x v="2"/>
    <s v="Delivered"/>
    <n v="2795.05"/>
    <x v="1"/>
    <x v="1"/>
    <x v="1"/>
    <s v="Order Cancelled"/>
    <x v="1"/>
    <x v="1"/>
    <s v="Customer_233"/>
    <x v="3"/>
    <s v="A"/>
  </r>
  <r>
    <s v="ORD10303"/>
    <s v="CUST1200"/>
    <s v="PROD129"/>
    <d v="2025-03-24T00:00:00"/>
    <m/>
    <d v="2025-03-24T00:00:00"/>
    <x v="0"/>
    <x v="1"/>
    <x v="0"/>
    <s v="Delivered"/>
    <n v="3259.66"/>
    <x v="3"/>
    <x v="1"/>
    <x v="1"/>
    <s v="Order Cancelled"/>
    <x v="1"/>
    <x v="1"/>
    <s v="Customer_142"/>
    <x v="4"/>
    <s v="D"/>
  </r>
  <r>
    <s v="ORD10304"/>
    <s v="CUST1198"/>
    <s v="PROD113"/>
    <d v="2025-03-18T00:00:00"/>
    <d v="2025-03-20T00:00:00"/>
    <m/>
    <x v="2"/>
    <x v="0"/>
    <x v="1"/>
    <s v="Cancelled"/>
    <n v="3685.24"/>
    <x v="3"/>
    <x v="4"/>
    <x v="0"/>
    <n v="2"/>
    <x v="0"/>
    <x v="0"/>
    <s v="Customer_107"/>
    <x v="3"/>
    <s v="B"/>
  </r>
  <r>
    <s v="ORD10305"/>
    <s v="CUST1184"/>
    <s v="PROD140"/>
    <d v="2025-03-12T00:00:00"/>
    <m/>
    <d v="2025-03-13T00:00:00"/>
    <x v="0"/>
    <x v="4"/>
    <x v="3"/>
    <s v="Delivered"/>
    <n v="4884.09"/>
    <x v="3"/>
    <x v="1"/>
    <x v="1"/>
    <s v="Order Cancelled"/>
    <x v="1"/>
    <x v="1"/>
    <s v="Customer_50"/>
    <x v="42"/>
    <s v="D"/>
  </r>
  <r>
    <s v="ORD10306"/>
    <s v="CUST1067"/>
    <s v="PROD123"/>
    <d v="2025-01-16T00:00:00"/>
    <d v="2025-01-19T00:00:00"/>
    <m/>
    <x v="2"/>
    <x v="3"/>
    <x v="2"/>
    <s v="Cancelled"/>
    <n v="2678.24"/>
    <x v="2"/>
    <x v="3"/>
    <x v="0"/>
    <n v="3"/>
    <x v="0"/>
    <x v="2"/>
    <s v="Customer_46"/>
    <x v="49"/>
    <s v="B"/>
  </r>
  <r>
    <s v="ORD10307"/>
    <s v="CUST1221"/>
    <s v="PROD138"/>
    <d v="2025-02-12T00:00:00"/>
    <d v="2025-02-17T00:00:00"/>
    <m/>
    <x v="1"/>
    <x v="3"/>
    <x v="4"/>
    <s v="Cancelled"/>
    <n v="1750.19"/>
    <x v="1"/>
    <x v="2"/>
    <x v="0"/>
    <n v="5"/>
    <x v="0"/>
    <x v="2"/>
    <s v="Customer_270"/>
    <x v="21"/>
    <s v="A"/>
  </r>
  <r>
    <s v="ORD10308"/>
    <s v="CUST1172"/>
    <s v="PROD121"/>
    <d v="2025-02-04T00:00:00"/>
    <d v="2025-02-07T00:00:00"/>
    <m/>
    <x v="2"/>
    <x v="4"/>
    <x v="3"/>
    <s v="Returned"/>
    <n v="4016.89"/>
    <x v="1"/>
    <x v="2"/>
    <x v="0"/>
    <n v="3"/>
    <x v="0"/>
    <x v="2"/>
    <s v="Customer_268"/>
    <x v="20"/>
    <s v="B"/>
  </r>
  <r>
    <s v="ORD10309"/>
    <s v="CUST1049"/>
    <s v="PROD111"/>
    <d v="2025-03-14T00:00:00"/>
    <d v="2025-03-18T00:00:00"/>
    <m/>
    <x v="1"/>
    <x v="0"/>
    <x v="1"/>
    <s v="Returned"/>
    <n v="1499.99"/>
    <x v="3"/>
    <x v="4"/>
    <x v="0"/>
    <n v="4"/>
    <x v="0"/>
    <x v="2"/>
    <s v="Customer_244"/>
    <x v="44"/>
    <s v="A"/>
  </r>
  <r>
    <s v="ORD10310"/>
    <s v="CUST1250"/>
    <s v="PROD139"/>
    <d v="2025-02-22T00:00:00"/>
    <m/>
    <d v="2025-02-22T00:00:00"/>
    <x v="3"/>
    <x v="0"/>
    <x v="2"/>
    <s v="Delivered"/>
    <n v="2307.06"/>
    <x v="1"/>
    <x v="1"/>
    <x v="1"/>
    <s v="Order Cancelled"/>
    <x v="1"/>
    <x v="1"/>
    <s v="Customer_35"/>
    <x v="10"/>
    <s v="C"/>
  </r>
  <r>
    <s v="ORD10311"/>
    <s v="CUST1247"/>
    <s v="PROD109"/>
    <d v="2025-01-10T00:00:00"/>
    <m/>
    <d v="2025-01-12T00:00:00"/>
    <x v="0"/>
    <x v="3"/>
    <x v="4"/>
    <s v="Cancelled"/>
    <n v="576.59"/>
    <x v="2"/>
    <x v="1"/>
    <x v="1"/>
    <s v="Order Cancelled"/>
    <x v="1"/>
    <x v="1"/>
    <s v="Customer_20"/>
    <x v="2"/>
    <s v="D"/>
  </r>
  <r>
    <s v="ORD10312"/>
    <s v="CUST1270"/>
    <s v="PROD106"/>
    <d v="2025-03-10T00:00:00"/>
    <d v="2025-03-15T00:00:00"/>
    <m/>
    <x v="1"/>
    <x v="4"/>
    <x v="4"/>
    <s v="Delivered"/>
    <n v="321.68"/>
    <x v="3"/>
    <x v="4"/>
    <x v="0"/>
    <n v="5"/>
    <x v="0"/>
    <x v="2"/>
    <s v="Customer_274"/>
    <x v="43"/>
    <s v="A"/>
  </r>
  <r>
    <s v="ORD10313"/>
    <s v="CUST1228"/>
    <s v="PROD134"/>
    <d v="2025-04-11T00:00:00"/>
    <d v="2025-04-14T00:00:00"/>
    <m/>
    <x v="0"/>
    <x v="0"/>
    <x v="3"/>
    <s v="Delivered"/>
    <n v="4820.71"/>
    <x v="0"/>
    <x v="0"/>
    <x v="0"/>
    <n v="3"/>
    <x v="0"/>
    <x v="2"/>
    <s v="Customer_91"/>
    <x v="37"/>
    <s v="D"/>
  </r>
  <r>
    <s v="ORD10314"/>
    <s v="CUST1033"/>
    <s v="PROD140"/>
    <d v="2025-01-29T00:00:00"/>
    <d v="2025-02-03T00:00:00"/>
    <m/>
    <x v="1"/>
    <x v="3"/>
    <x v="4"/>
    <s v="Delivered"/>
    <n v="4212.7"/>
    <x v="2"/>
    <x v="2"/>
    <x v="0"/>
    <n v="5"/>
    <x v="0"/>
    <x v="2"/>
    <s v="Customer_250"/>
    <x v="42"/>
    <s v="A"/>
  </r>
  <r>
    <s v="ORD10315"/>
    <s v="CUST1108"/>
    <s v="PROD149"/>
    <d v="2025-01-27T00:00:00"/>
    <d v="2025-01-30T00:00:00"/>
    <m/>
    <x v="3"/>
    <x v="2"/>
    <x v="3"/>
    <s v="Cancelled"/>
    <n v="3540.68"/>
    <x v="2"/>
    <x v="3"/>
    <x v="0"/>
    <n v="3"/>
    <x v="0"/>
    <x v="2"/>
    <s v="Customer_199"/>
    <x v="30"/>
    <s v="C"/>
  </r>
  <r>
    <s v="ORD10316"/>
    <s v="CUST1289"/>
    <s v="PROD133"/>
    <d v="2025-01-13T00:00:00"/>
    <d v="2025-01-17T00:00:00"/>
    <m/>
    <x v="2"/>
    <x v="2"/>
    <x v="3"/>
    <s v="Delivered"/>
    <n v="2162.9699999999998"/>
    <x v="2"/>
    <x v="3"/>
    <x v="0"/>
    <n v="4"/>
    <x v="0"/>
    <x v="2"/>
    <s v="Customer_72"/>
    <x v="41"/>
    <s v="B"/>
  </r>
  <r>
    <s v="ORD10317"/>
    <s v="CUST1190"/>
    <s v="PROD113"/>
    <d v="2025-01-09T00:00:00"/>
    <d v="2025-01-13T00:00:00"/>
    <m/>
    <x v="0"/>
    <x v="2"/>
    <x v="0"/>
    <s v="Cancelled"/>
    <n v="1031.81"/>
    <x v="2"/>
    <x v="3"/>
    <x v="0"/>
    <n v="4"/>
    <x v="0"/>
    <x v="2"/>
    <s v="Customer_238"/>
    <x v="3"/>
    <s v="D"/>
  </r>
  <r>
    <s v="ORD10318"/>
    <s v="CUST1097"/>
    <s v="PROD116"/>
    <d v="2025-02-11T00:00:00"/>
    <m/>
    <d v="2025-02-12T00:00:00"/>
    <x v="1"/>
    <x v="0"/>
    <x v="4"/>
    <s v="Returned"/>
    <n v="950.9"/>
    <x v="1"/>
    <x v="1"/>
    <x v="1"/>
    <s v="Order Cancelled"/>
    <x v="1"/>
    <x v="1"/>
    <s v="Customer_273"/>
    <x v="34"/>
    <s v="A"/>
  </r>
  <r>
    <s v="ORD10319"/>
    <s v="CUST1171"/>
    <s v="PROD116"/>
    <d v="2025-03-07T00:00:00"/>
    <m/>
    <d v="2025-03-08T00:00:00"/>
    <x v="0"/>
    <x v="1"/>
    <x v="2"/>
    <s v="Returned"/>
    <n v="1401.17"/>
    <x v="3"/>
    <x v="1"/>
    <x v="1"/>
    <s v="Order Cancelled"/>
    <x v="1"/>
    <x v="1"/>
    <s v="Customer_130"/>
    <x v="34"/>
    <s v="D"/>
  </r>
  <r>
    <s v="ORD10320"/>
    <s v="CUST1168"/>
    <s v="PROD141"/>
    <d v="2025-02-21T00:00:00"/>
    <d v="2025-02-26T00:00:00"/>
    <m/>
    <x v="3"/>
    <x v="3"/>
    <x v="3"/>
    <s v="Delivered"/>
    <n v="2836.29"/>
    <x v="1"/>
    <x v="2"/>
    <x v="0"/>
    <n v="5"/>
    <x v="0"/>
    <x v="2"/>
    <s v="Customer_220"/>
    <x v="13"/>
    <s v="C"/>
  </r>
  <r>
    <s v="ORD10321"/>
    <s v="CUST1145"/>
    <s v="PROD106"/>
    <d v="2025-04-09T00:00:00"/>
    <d v="2025-04-12T00:00:00"/>
    <m/>
    <x v="2"/>
    <x v="2"/>
    <x v="2"/>
    <s v="Delivered"/>
    <n v="3630.06"/>
    <x v="0"/>
    <x v="0"/>
    <x v="0"/>
    <n v="3"/>
    <x v="0"/>
    <x v="2"/>
    <s v="Customer_233"/>
    <x v="43"/>
    <s v="B"/>
  </r>
  <r>
    <s v="ORD10322"/>
    <s v="CUST1018"/>
    <s v="PROD138"/>
    <d v="2025-03-08T00:00:00"/>
    <d v="2025-03-13T00:00:00"/>
    <m/>
    <x v="3"/>
    <x v="0"/>
    <x v="1"/>
    <s v="Delivered"/>
    <n v="3368.95"/>
    <x v="3"/>
    <x v="4"/>
    <x v="0"/>
    <n v="5"/>
    <x v="0"/>
    <x v="2"/>
    <s v="Customer_184"/>
    <x v="21"/>
    <s v="C"/>
  </r>
  <r>
    <s v="ORD10323"/>
    <s v="CUST1172"/>
    <s v="PROD135"/>
    <d v="2025-01-02T00:00:00"/>
    <d v="2025-01-03T00:00:00"/>
    <m/>
    <x v="0"/>
    <x v="1"/>
    <x v="3"/>
    <s v="Returned"/>
    <n v="1543.68"/>
    <x v="2"/>
    <x v="3"/>
    <x v="0"/>
    <n v="1"/>
    <x v="0"/>
    <x v="0"/>
    <s v="Customer_268"/>
    <x v="32"/>
    <s v="D"/>
  </r>
  <r>
    <s v="ORD10324"/>
    <s v="CUST1101"/>
    <s v="PROD127"/>
    <d v="2025-03-25T00:00:00"/>
    <d v="2025-03-30T00:00:00"/>
    <m/>
    <x v="0"/>
    <x v="0"/>
    <x v="1"/>
    <s v="Delivered"/>
    <n v="4783.3500000000004"/>
    <x v="3"/>
    <x v="4"/>
    <x v="0"/>
    <n v="5"/>
    <x v="0"/>
    <x v="2"/>
    <s v="Customer_108"/>
    <x v="36"/>
    <s v="D"/>
  </r>
  <r>
    <s v="ORD10325"/>
    <s v="CUST1159"/>
    <s v="PROD122"/>
    <d v="2025-04-05T00:00:00"/>
    <m/>
    <d v="2025-04-06T00:00:00"/>
    <x v="0"/>
    <x v="3"/>
    <x v="3"/>
    <s v="Returned"/>
    <n v="3741.91"/>
    <x v="0"/>
    <x v="1"/>
    <x v="1"/>
    <s v="Order Cancelled"/>
    <x v="1"/>
    <x v="1"/>
    <s v="Customer_26"/>
    <x v="6"/>
    <s v="D"/>
  </r>
  <r>
    <s v="ORD10326"/>
    <s v="CUST1296"/>
    <s v="PROD149"/>
    <d v="2025-02-02T00:00:00"/>
    <d v="2025-02-08T00:00:00"/>
    <m/>
    <x v="1"/>
    <x v="3"/>
    <x v="2"/>
    <s v="Cancelled"/>
    <n v="2860.9"/>
    <x v="1"/>
    <x v="2"/>
    <x v="0"/>
    <n v="6"/>
    <x v="0"/>
    <x v="2"/>
    <s v="Customer_109"/>
    <x v="30"/>
    <s v="A"/>
  </r>
  <r>
    <s v="ORD10327"/>
    <s v="CUST1203"/>
    <s v="PROD149"/>
    <d v="2025-04-24T00:00:00"/>
    <m/>
    <d v="2025-04-26T00:00:00"/>
    <x v="1"/>
    <x v="3"/>
    <x v="1"/>
    <s v="Cancelled"/>
    <n v="3136.26"/>
    <x v="0"/>
    <x v="1"/>
    <x v="1"/>
    <s v="Order Cancelled"/>
    <x v="1"/>
    <x v="1"/>
    <s v="Customer_4"/>
    <x v="30"/>
    <s v="A"/>
  </r>
  <r>
    <s v="ORD10328"/>
    <s v="CUST1022"/>
    <s v="PROD120"/>
    <d v="2025-05-01T00:00:00"/>
    <d v="2025-05-05T00:00:00"/>
    <m/>
    <x v="0"/>
    <x v="4"/>
    <x v="0"/>
    <s v="Delivered"/>
    <n v="2214.08"/>
    <x v="4"/>
    <x v="5"/>
    <x v="0"/>
    <n v="4"/>
    <x v="0"/>
    <x v="2"/>
    <s v="Customer_217"/>
    <x v="9"/>
    <s v="D"/>
  </r>
  <r>
    <s v="ORD10329"/>
    <s v="CUST1206"/>
    <s v="PROD108"/>
    <d v="2025-03-23T00:00:00"/>
    <d v="2025-03-26T00:00:00"/>
    <m/>
    <x v="2"/>
    <x v="2"/>
    <x v="4"/>
    <s v="Cancelled"/>
    <n v="1389.11"/>
    <x v="3"/>
    <x v="4"/>
    <x v="0"/>
    <n v="3"/>
    <x v="0"/>
    <x v="2"/>
    <s v="Customer_30"/>
    <x v="14"/>
    <s v="B"/>
  </r>
  <r>
    <s v="ORD10330"/>
    <s v="CUST1255"/>
    <s v="PROD149"/>
    <d v="2025-02-02T00:00:00"/>
    <m/>
    <d v="2025-02-02T00:00:00"/>
    <x v="1"/>
    <x v="4"/>
    <x v="2"/>
    <s v="Cancelled"/>
    <n v="1908.67"/>
    <x v="1"/>
    <x v="1"/>
    <x v="1"/>
    <s v="Order Cancelled"/>
    <x v="1"/>
    <x v="1"/>
    <s v="Customer_127"/>
    <x v="30"/>
    <s v="A"/>
  </r>
  <r>
    <s v="ORD10331"/>
    <s v="CUST1054"/>
    <s v="PROD133"/>
    <d v="2025-03-15T00:00:00"/>
    <d v="2025-03-17T00:00:00"/>
    <m/>
    <x v="3"/>
    <x v="2"/>
    <x v="3"/>
    <s v="Cancelled"/>
    <n v="3837.66"/>
    <x v="3"/>
    <x v="4"/>
    <x v="0"/>
    <n v="2"/>
    <x v="0"/>
    <x v="0"/>
    <s v="Customer_45"/>
    <x v="41"/>
    <s v="C"/>
  </r>
  <r>
    <s v="ORD10332"/>
    <s v="CUST1001"/>
    <s v="PROD139"/>
    <d v="2025-02-22T00:00:00"/>
    <d v="2025-02-26T00:00:00"/>
    <m/>
    <x v="2"/>
    <x v="0"/>
    <x v="1"/>
    <s v="Delivered"/>
    <n v="269.08999999999997"/>
    <x v="1"/>
    <x v="2"/>
    <x v="0"/>
    <n v="4"/>
    <x v="0"/>
    <x v="2"/>
    <s v="Customer_284"/>
    <x v="10"/>
    <s v="B"/>
  </r>
  <r>
    <s v="ORD10333"/>
    <s v="CUST1213"/>
    <s v="PROD142"/>
    <d v="2025-03-04T00:00:00"/>
    <m/>
    <d v="2025-03-04T00:00:00"/>
    <x v="2"/>
    <x v="0"/>
    <x v="0"/>
    <s v="Cancelled"/>
    <n v="757.15"/>
    <x v="3"/>
    <x v="1"/>
    <x v="1"/>
    <s v="Order Cancelled"/>
    <x v="1"/>
    <x v="1"/>
    <s v="Customer_33"/>
    <x v="25"/>
    <s v="B"/>
  </r>
  <r>
    <s v="ORD10334"/>
    <s v="CUST1009"/>
    <s v="PROD137"/>
    <d v="2025-01-03T00:00:00"/>
    <d v="2025-01-06T00:00:00"/>
    <m/>
    <x v="2"/>
    <x v="3"/>
    <x v="0"/>
    <s v="Cancelled"/>
    <n v="420.81"/>
    <x v="2"/>
    <x v="3"/>
    <x v="0"/>
    <n v="3"/>
    <x v="0"/>
    <x v="2"/>
    <s v="Customer_254"/>
    <x v="33"/>
    <s v="B"/>
  </r>
  <r>
    <s v="ORD10335"/>
    <s v="CUST1142"/>
    <s v="PROD117"/>
    <d v="2025-03-06T00:00:00"/>
    <m/>
    <d v="2025-03-08T00:00:00"/>
    <x v="0"/>
    <x v="3"/>
    <x v="3"/>
    <s v="Delivered"/>
    <n v="395.5"/>
    <x v="3"/>
    <x v="1"/>
    <x v="1"/>
    <s v="Order Cancelled"/>
    <x v="1"/>
    <x v="1"/>
    <s v="Customer_23"/>
    <x v="28"/>
    <s v="D"/>
  </r>
  <r>
    <s v="ORD10336"/>
    <s v="CUST1201"/>
    <s v="PROD126"/>
    <d v="2025-01-04T00:00:00"/>
    <d v="2025-01-08T00:00:00"/>
    <m/>
    <x v="3"/>
    <x v="3"/>
    <x v="2"/>
    <s v="Delivered"/>
    <n v="4306.21"/>
    <x v="2"/>
    <x v="3"/>
    <x v="0"/>
    <n v="4"/>
    <x v="0"/>
    <x v="2"/>
    <s v="Customer_24"/>
    <x v="48"/>
    <s v="C"/>
  </r>
  <r>
    <s v="ORD10337"/>
    <s v="CUST1184"/>
    <s v="PROD121"/>
    <d v="2025-04-08T00:00:00"/>
    <m/>
    <d v="2025-04-09T00:00:00"/>
    <x v="1"/>
    <x v="0"/>
    <x v="1"/>
    <s v="Delivered"/>
    <n v="3577.56"/>
    <x v="0"/>
    <x v="1"/>
    <x v="1"/>
    <s v="Order Cancelled"/>
    <x v="1"/>
    <x v="1"/>
    <s v="Customer_50"/>
    <x v="20"/>
    <s v="A"/>
  </r>
  <r>
    <s v="ORD10338"/>
    <s v="CUST1209"/>
    <s v="PROD120"/>
    <d v="2025-03-19T00:00:00"/>
    <m/>
    <d v="2025-03-21T00:00:00"/>
    <x v="0"/>
    <x v="4"/>
    <x v="3"/>
    <s v="Cancelled"/>
    <n v="2476.0300000000002"/>
    <x v="3"/>
    <x v="1"/>
    <x v="1"/>
    <s v="Order Cancelled"/>
    <x v="1"/>
    <x v="1"/>
    <s v="Customer_240"/>
    <x v="9"/>
    <s v="D"/>
  </r>
  <r>
    <s v="ORD10339"/>
    <s v="CUST1042"/>
    <s v="PROD145"/>
    <d v="2025-03-02T00:00:00"/>
    <d v="2025-03-07T00:00:00"/>
    <m/>
    <x v="2"/>
    <x v="1"/>
    <x v="4"/>
    <s v="Returned"/>
    <n v="669.6"/>
    <x v="3"/>
    <x v="4"/>
    <x v="0"/>
    <n v="5"/>
    <x v="0"/>
    <x v="2"/>
    <s v="Customer_135"/>
    <x v="27"/>
    <s v="B"/>
  </r>
  <r>
    <s v="ORD10340"/>
    <s v="CUST1231"/>
    <s v="PROD125"/>
    <d v="2025-02-13T00:00:00"/>
    <d v="2025-02-18T00:00:00"/>
    <m/>
    <x v="1"/>
    <x v="4"/>
    <x v="4"/>
    <s v="Returned"/>
    <n v="2559.7600000000002"/>
    <x v="1"/>
    <x v="2"/>
    <x v="0"/>
    <n v="5"/>
    <x v="0"/>
    <x v="2"/>
    <s v="Customer_118"/>
    <x v="26"/>
    <s v="A"/>
  </r>
  <r>
    <s v="ORD10341"/>
    <s v="CUST1181"/>
    <s v="PROD140"/>
    <d v="2025-02-16T00:00:00"/>
    <m/>
    <d v="2025-02-17T00:00:00"/>
    <x v="1"/>
    <x v="0"/>
    <x v="2"/>
    <s v="Cancelled"/>
    <n v="2472.66"/>
    <x v="1"/>
    <x v="1"/>
    <x v="1"/>
    <s v="Order Cancelled"/>
    <x v="1"/>
    <x v="1"/>
    <s v="Customer_241"/>
    <x v="42"/>
    <s v="A"/>
  </r>
  <r>
    <s v="ORD10342"/>
    <s v="CUST1143"/>
    <s v="PROD107"/>
    <d v="2025-01-10T00:00:00"/>
    <m/>
    <d v="2025-01-11T00:00:00"/>
    <x v="2"/>
    <x v="3"/>
    <x v="3"/>
    <s v="Returned"/>
    <n v="1031.3699999999999"/>
    <x v="2"/>
    <x v="1"/>
    <x v="1"/>
    <s v="Order Cancelled"/>
    <x v="1"/>
    <x v="1"/>
    <s v="Customer_5"/>
    <x v="8"/>
    <s v="B"/>
  </r>
  <r>
    <s v="ORD10343"/>
    <s v="CUST1114"/>
    <s v="PROD118"/>
    <d v="2025-04-11T00:00:00"/>
    <m/>
    <d v="2025-04-12T00:00:00"/>
    <x v="3"/>
    <x v="1"/>
    <x v="4"/>
    <s v="Cancelled"/>
    <n v="2282.4899999999998"/>
    <x v="0"/>
    <x v="1"/>
    <x v="1"/>
    <s v="Order Cancelled"/>
    <x v="1"/>
    <x v="1"/>
    <s v="Customer_21"/>
    <x v="5"/>
    <s v="C"/>
  </r>
  <r>
    <s v="ORD10344"/>
    <s v="CUST1059"/>
    <s v="PROD101"/>
    <d v="2025-04-13T00:00:00"/>
    <m/>
    <d v="2025-04-14T00:00:00"/>
    <x v="0"/>
    <x v="4"/>
    <x v="4"/>
    <s v="Returned"/>
    <n v="2112.8200000000002"/>
    <x v="0"/>
    <x v="1"/>
    <x v="1"/>
    <s v="Order Cancelled"/>
    <x v="1"/>
    <x v="1"/>
    <s v="Customer_114"/>
    <x v="40"/>
    <s v="D"/>
  </r>
  <r>
    <s v="ORD10345"/>
    <s v="CUST1078"/>
    <s v="PROD121"/>
    <d v="2025-01-20T00:00:00"/>
    <d v="2025-01-24T00:00:00"/>
    <m/>
    <x v="2"/>
    <x v="0"/>
    <x v="2"/>
    <s v="Delivered"/>
    <n v="3156.08"/>
    <x v="2"/>
    <x v="3"/>
    <x v="0"/>
    <n v="4"/>
    <x v="0"/>
    <x v="2"/>
    <s v="Customer_283"/>
    <x v="20"/>
    <s v="B"/>
  </r>
  <r>
    <s v="ORD10346"/>
    <s v="CUST1058"/>
    <s v="PROD149"/>
    <d v="2025-03-08T00:00:00"/>
    <m/>
    <d v="2025-03-10T00:00:00"/>
    <x v="0"/>
    <x v="0"/>
    <x v="1"/>
    <s v="Delivered"/>
    <n v="3248.45"/>
    <x v="3"/>
    <x v="1"/>
    <x v="1"/>
    <s v="Order Cancelled"/>
    <x v="1"/>
    <x v="1"/>
    <s v="Customer_97"/>
    <x v="30"/>
    <s v="D"/>
  </r>
  <r>
    <s v="ORD10347"/>
    <s v="CUST1082"/>
    <s v="PROD143"/>
    <d v="2025-02-19T00:00:00"/>
    <d v="2025-02-22T00:00:00"/>
    <m/>
    <x v="2"/>
    <x v="1"/>
    <x v="0"/>
    <s v="Delivered"/>
    <n v="417.46"/>
    <x v="1"/>
    <x v="2"/>
    <x v="0"/>
    <n v="3"/>
    <x v="0"/>
    <x v="2"/>
    <s v="Customer_38"/>
    <x v="22"/>
    <s v="B"/>
  </r>
  <r>
    <s v="ORD10348"/>
    <s v="CUST1064"/>
    <s v="PROD144"/>
    <d v="2025-04-10T00:00:00"/>
    <d v="2025-04-14T00:00:00"/>
    <m/>
    <x v="2"/>
    <x v="1"/>
    <x v="2"/>
    <s v="Returned"/>
    <n v="1998.14"/>
    <x v="0"/>
    <x v="0"/>
    <x v="0"/>
    <n v="4"/>
    <x v="0"/>
    <x v="2"/>
    <s v="Customer_180"/>
    <x v="39"/>
    <s v="B"/>
  </r>
  <r>
    <s v="ORD10349"/>
    <s v="CUST1076"/>
    <s v="PROD133"/>
    <d v="2025-04-02T00:00:00"/>
    <d v="2025-04-08T00:00:00"/>
    <m/>
    <x v="2"/>
    <x v="2"/>
    <x v="2"/>
    <s v="Cancelled"/>
    <n v="3204.13"/>
    <x v="0"/>
    <x v="0"/>
    <x v="0"/>
    <n v="6"/>
    <x v="0"/>
    <x v="2"/>
    <s v="Customer_256"/>
    <x v="41"/>
    <s v="B"/>
  </r>
  <r>
    <s v="ORD10350"/>
    <s v="CUST1023"/>
    <s v="PROD134"/>
    <d v="2025-01-10T00:00:00"/>
    <d v="2025-01-15T00:00:00"/>
    <m/>
    <x v="0"/>
    <x v="4"/>
    <x v="4"/>
    <s v="Returned"/>
    <n v="2615.0500000000002"/>
    <x v="2"/>
    <x v="3"/>
    <x v="0"/>
    <n v="5"/>
    <x v="0"/>
    <x v="2"/>
    <s v="Customer_177"/>
    <x v="37"/>
    <s v="D"/>
  </r>
  <r>
    <s v="ORD10351"/>
    <s v="CUST1201"/>
    <s v="PROD105"/>
    <d v="2025-04-24T00:00:00"/>
    <d v="2025-04-28T00:00:00"/>
    <m/>
    <x v="0"/>
    <x v="4"/>
    <x v="0"/>
    <s v="Delivered"/>
    <n v="4311.1499999999996"/>
    <x v="0"/>
    <x v="0"/>
    <x v="0"/>
    <n v="4"/>
    <x v="0"/>
    <x v="2"/>
    <s v="Customer_24"/>
    <x v="17"/>
    <s v="D"/>
  </r>
  <r>
    <s v="ORD10352"/>
    <s v="CUST1246"/>
    <s v="PROD110"/>
    <d v="2025-03-03T00:00:00"/>
    <d v="2025-03-06T00:00:00"/>
    <m/>
    <x v="1"/>
    <x v="2"/>
    <x v="1"/>
    <s v="Cancelled"/>
    <n v="3361.73"/>
    <x v="3"/>
    <x v="4"/>
    <x v="0"/>
    <n v="3"/>
    <x v="0"/>
    <x v="2"/>
    <s v="Customer_133"/>
    <x v="11"/>
    <s v="A"/>
  </r>
  <r>
    <s v="ORD10353"/>
    <s v="CUST1009"/>
    <s v="PROD127"/>
    <d v="2025-01-06T00:00:00"/>
    <d v="2025-01-11T00:00:00"/>
    <m/>
    <x v="0"/>
    <x v="4"/>
    <x v="0"/>
    <s v="Returned"/>
    <n v="982.09"/>
    <x v="2"/>
    <x v="3"/>
    <x v="0"/>
    <n v="5"/>
    <x v="0"/>
    <x v="2"/>
    <s v="Customer_254"/>
    <x v="36"/>
    <s v="D"/>
  </r>
  <r>
    <s v="ORD10354"/>
    <s v="CUST1097"/>
    <s v="PROD124"/>
    <d v="2025-02-28T00:00:00"/>
    <m/>
    <d v="2025-03-01T00:00:00"/>
    <x v="1"/>
    <x v="0"/>
    <x v="1"/>
    <s v="Returned"/>
    <n v="538.73"/>
    <x v="1"/>
    <x v="1"/>
    <x v="1"/>
    <s v="Order Cancelled"/>
    <x v="1"/>
    <x v="1"/>
    <s v="Customer_273"/>
    <x v="0"/>
    <s v="A"/>
  </r>
  <r>
    <s v="ORD10355"/>
    <s v="CUST1268"/>
    <s v="PROD115"/>
    <d v="2025-01-13T00:00:00"/>
    <m/>
    <d v="2025-01-14T00:00:00"/>
    <x v="2"/>
    <x v="3"/>
    <x v="4"/>
    <s v="Cancelled"/>
    <n v="3283.61"/>
    <x v="2"/>
    <x v="1"/>
    <x v="1"/>
    <s v="Order Cancelled"/>
    <x v="1"/>
    <x v="1"/>
    <s v="Customer_201"/>
    <x v="12"/>
    <s v="B"/>
  </r>
  <r>
    <s v="ORD10356"/>
    <s v="CUST1219"/>
    <s v="PROD103"/>
    <d v="2025-02-15T00:00:00"/>
    <d v="2025-02-20T00:00:00"/>
    <m/>
    <x v="0"/>
    <x v="2"/>
    <x v="4"/>
    <s v="Returned"/>
    <n v="327.25"/>
    <x v="1"/>
    <x v="2"/>
    <x v="0"/>
    <n v="5"/>
    <x v="0"/>
    <x v="2"/>
    <s v="Customer_229"/>
    <x v="19"/>
    <s v="D"/>
  </r>
  <r>
    <s v="ORD10357"/>
    <s v="CUST1047"/>
    <s v="PROD127"/>
    <d v="2025-03-26T00:00:00"/>
    <m/>
    <d v="2025-03-28T00:00:00"/>
    <x v="0"/>
    <x v="3"/>
    <x v="0"/>
    <s v="Returned"/>
    <n v="3011.72"/>
    <x v="3"/>
    <x v="1"/>
    <x v="1"/>
    <s v="Order Cancelled"/>
    <x v="1"/>
    <x v="1"/>
    <s v="Customer_105"/>
    <x v="36"/>
    <s v="D"/>
  </r>
  <r>
    <s v="ORD10358"/>
    <s v="CUST1104"/>
    <s v="PROD124"/>
    <d v="2025-04-28T00:00:00"/>
    <d v="2025-05-03T00:00:00"/>
    <m/>
    <x v="1"/>
    <x v="0"/>
    <x v="3"/>
    <s v="Delivered"/>
    <n v="4713.1099999999997"/>
    <x v="0"/>
    <x v="5"/>
    <x v="0"/>
    <n v="5"/>
    <x v="0"/>
    <x v="2"/>
    <s v="Customer_179"/>
    <x v="0"/>
    <s v="A"/>
  </r>
  <r>
    <s v="ORD10359"/>
    <s v="CUST1169"/>
    <s v="PROD142"/>
    <d v="2025-03-05T00:00:00"/>
    <d v="2025-03-10T00:00:00"/>
    <m/>
    <x v="2"/>
    <x v="0"/>
    <x v="4"/>
    <s v="Returned"/>
    <n v="2962.28"/>
    <x v="3"/>
    <x v="4"/>
    <x v="0"/>
    <n v="5"/>
    <x v="0"/>
    <x v="2"/>
    <s v="Customer_228"/>
    <x v="25"/>
    <s v="B"/>
  </r>
  <r>
    <s v="ORD10360"/>
    <s v="CUST1274"/>
    <s v="PROD106"/>
    <d v="2025-03-18T00:00:00"/>
    <d v="2025-03-24T00:00:00"/>
    <m/>
    <x v="3"/>
    <x v="3"/>
    <x v="1"/>
    <s v="Delivered"/>
    <n v="2063.2199999999998"/>
    <x v="3"/>
    <x v="4"/>
    <x v="0"/>
    <n v="6"/>
    <x v="0"/>
    <x v="2"/>
    <s v="Customer_48"/>
    <x v="43"/>
    <s v="C"/>
  </r>
  <r>
    <s v="ORD10361"/>
    <s v="CUST1130"/>
    <s v="PROD126"/>
    <d v="2025-03-20T00:00:00"/>
    <d v="2025-03-22T00:00:00"/>
    <m/>
    <x v="2"/>
    <x v="4"/>
    <x v="2"/>
    <s v="Delivered"/>
    <n v="3287.78"/>
    <x v="3"/>
    <x v="4"/>
    <x v="0"/>
    <n v="2"/>
    <x v="0"/>
    <x v="0"/>
    <s v="Customer_207"/>
    <x v="48"/>
    <s v="B"/>
  </r>
  <r>
    <s v="ORD10362"/>
    <s v="CUST1278"/>
    <s v="PROD112"/>
    <d v="2025-04-20T00:00:00"/>
    <d v="2025-04-23T00:00:00"/>
    <m/>
    <x v="3"/>
    <x v="1"/>
    <x v="3"/>
    <s v="Cancelled"/>
    <n v="2399.61"/>
    <x v="0"/>
    <x v="0"/>
    <x v="0"/>
    <n v="3"/>
    <x v="0"/>
    <x v="2"/>
    <s v="Customer_196"/>
    <x v="7"/>
    <s v="C"/>
  </r>
  <r>
    <s v="ORD10363"/>
    <s v="CUST1004"/>
    <s v="PROD150"/>
    <d v="2025-01-30T00:00:00"/>
    <d v="2025-02-01T00:00:00"/>
    <m/>
    <x v="2"/>
    <x v="2"/>
    <x v="2"/>
    <s v="Cancelled"/>
    <n v="2818.96"/>
    <x v="2"/>
    <x v="2"/>
    <x v="0"/>
    <n v="2"/>
    <x v="0"/>
    <x v="0"/>
    <s v="Customer_261"/>
    <x v="23"/>
    <s v="B"/>
  </r>
  <r>
    <s v="ORD10364"/>
    <s v="CUST1057"/>
    <s v="PROD143"/>
    <d v="2025-02-20T00:00:00"/>
    <m/>
    <d v="2025-02-22T00:00:00"/>
    <x v="1"/>
    <x v="4"/>
    <x v="0"/>
    <s v="Cancelled"/>
    <n v="4719.03"/>
    <x v="1"/>
    <x v="1"/>
    <x v="1"/>
    <s v="Order Cancelled"/>
    <x v="1"/>
    <x v="1"/>
    <s v="Customer_167"/>
    <x v="22"/>
    <s v="A"/>
  </r>
  <r>
    <s v="ORD10365"/>
    <s v="CUST1255"/>
    <s v="PROD118"/>
    <d v="2025-03-11T00:00:00"/>
    <m/>
    <d v="2025-03-13T00:00:00"/>
    <x v="0"/>
    <x v="1"/>
    <x v="0"/>
    <s v="Returned"/>
    <n v="2053.29"/>
    <x v="3"/>
    <x v="1"/>
    <x v="1"/>
    <s v="Order Cancelled"/>
    <x v="1"/>
    <x v="1"/>
    <s v="Customer_127"/>
    <x v="5"/>
    <s v="D"/>
  </r>
  <r>
    <s v="ORD10366"/>
    <s v="CUST1293"/>
    <s v="PROD123"/>
    <d v="2025-02-27T00:00:00"/>
    <d v="2025-03-04T00:00:00"/>
    <m/>
    <x v="2"/>
    <x v="2"/>
    <x v="2"/>
    <s v="Returned"/>
    <n v="4813.71"/>
    <x v="1"/>
    <x v="4"/>
    <x v="0"/>
    <n v="5"/>
    <x v="0"/>
    <x v="2"/>
    <s v="Customer_60"/>
    <x v="49"/>
    <s v="B"/>
  </r>
  <r>
    <s v="ORD10367"/>
    <s v="CUST1134"/>
    <s v="PROD131"/>
    <d v="2025-03-12T00:00:00"/>
    <d v="2025-03-16T00:00:00"/>
    <m/>
    <x v="3"/>
    <x v="4"/>
    <x v="3"/>
    <s v="Cancelled"/>
    <n v="4545.68"/>
    <x v="3"/>
    <x v="4"/>
    <x v="0"/>
    <n v="4"/>
    <x v="0"/>
    <x v="2"/>
    <s v="Customer_117"/>
    <x v="46"/>
    <s v="C"/>
  </r>
  <r>
    <s v="ORD10368"/>
    <s v="CUST1201"/>
    <s v="PROD104"/>
    <d v="2025-02-04T00:00:00"/>
    <m/>
    <d v="2025-02-06T00:00:00"/>
    <x v="0"/>
    <x v="4"/>
    <x v="2"/>
    <s v="Delivered"/>
    <n v="1139.8"/>
    <x v="1"/>
    <x v="1"/>
    <x v="1"/>
    <s v="Order Cancelled"/>
    <x v="1"/>
    <x v="1"/>
    <s v="Customer_24"/>
    <x v="24"/>
    <s v="D"/>
  </r>
  <r>
    <s v="ORD10369"/>
    <s v="CUST1130"/>
    <s v="PROD143"/>
    <d v="2025-04-18T00:00:00"/>
    <d v="2025-04-20T00:00:00"/>
    <m/>
    <x v="2"/>
    <x v="4"/>
    <x v="1"/>
    <s v="Returned"/>
    <n v="532.92999999999995"/>
    <x v="0"/>
    <x v="0"/>
    <x v="0"/>
    <n v="2"/>
    <x v="0"/>
    <x v="0"/>
    <s v="Customer_207"/>
    <x v="22"/>
    <s v="B"/>
  </r>
  <r>
    <s v="ORD10370"/>
    <s v="CUST1143"/>
    <s v="PROD123"/>
    <d v="2025-02-13T00:00:00"/>
    <m/>
    <d v="2025-02-15T00:00:00"/>
    <x v="1"/>
    <x v="1"/>
    <x v="0"/>
    <s v="Returned"/>
    <n v="683.73"/>
    <x v="1"/>
    <x v="1"/>
    <x v="1"/>
    <s v="Order Cancelled"/>
    <x v="1"/>
    <x v="1"/>
    <s v="Customer_5"/>
    <x v="49"/>
    <s v="A"/>
  </r>
  <r>
    <s v="ORD10371"/>
    <s v="CUST1237"/>
    <s v="PROD119"/>
    <d v="2025-01-04T00:00:00"/>
    <d v="2025-01-06T00:00:00"/>
    <m/>
    <x v="2"/>
    <x v="2"/>
    <x v="2"/>
    <s v="Delivered"/>
    <n v="287.45999999999998"/>
    <x v="2"/>
    <x v="3"/>
    <x v="0"/>
    <n v="2"/>
    <x v="0"/>
    <x v="0"/>
    <s v="Customer_86"/>
    <x v="45"/>
    <s v="B"/>
  </r>
  <r>
    <s v="ORD10372"/>
    <s v="CUST1176"/>
    <s v="PROD123"/>
    <d v="2025-01-27T00:00:00"/>
    <d v="2025-02-02T00:00:00"/>
    <m/>
    <x v="2"/>
    <x v="1"/>
    <x v="4"/>
    <s v="Returned"/>
    <n v="653.33000000000004"/>
    <x v="2"/>
    <x v="2"/>
    <x v="0"/>
    <n v="6"/>
    <x v="0"/>
    <x v="2"/>
    <s v="Customer_143"/>
    <x v="49"/>
    <s v="B"/>
  </r>
  <r>
    <s v="ORD10373"/>
    <s v="CUST1267"/>
    <s v="PROD133"/>
    <d v="2025-04-07T00:00:00"/>
    <d v="2025-04-10T00:00:00"/>
    <m/>
    <x v="0"/>
    <x v="2"/>
    <x v="1"/>
    <s v="Cancelled"/>
    <n v="3478.43"/>
    <x v="0"/>
    <x v="0"/>
    <x v="0"/>
    <n v="3"/>
    <x v="0"/>
    <x v="2"/>
    <s v="Customer_98"/>
    <x v="41"/>
    <s v="D"/>
  </r>
  <r>
    <s v="ORD10374"/>
    <s v="CUST1255"/>
    <s v="PROD120"/>
    <d v="2025-04-17T00:00:00"/>
    <m/>
    <d v="2025-04-18T00:00:00"/>
    <x v="1"/>
    <x v="2"/>
    <x v="3"/>
    <s v="Delivered"/>
    <n v="541.71"/>
    <x v="0"/>
    <x v="1"/>
    <x v="1"/>
    <s v="Order Cancelled"/>
    <x v="1"/>
    <x v="1"/>
    <s v="Customer_127"/>
    <x v="9"/>
    <s v="A"/>
  </r>
  <r>
    <s v="ORD10375"/>
    <s v="CUST1123"/>
    <s v="PROD129"/>
    <d v="2025-03-27T00:00:00"/>
    <d v="2025-03-29T00:00:00"/>
    <m/>
    <x v="2"/>
    <x v="0"/>
    <x v="4"/>
    <s v="Cancelled"/>
    <n v="1731.08"/>
    <x v="3"/>
    <x v="4"/>
    <x v="0"/>
    <n v="2"/>
    <x v="0"/>
    <x v="0"/>
    <s v="Customer_212"/>
    <x v="4"/>
    <s v="B"/>
  </r>
  <r>
    <s v="ORD10376"/>
    <s v="CUST1077"/>
    <s v="PROD137"/>
    <d v="2025-04-30T00:00:00"/>
    <d v="2025-05-01T00:00:00"/>
    <m/>
    <x v="0"/>
    <x v="0"/>
    <x v="3"/>
    <s v="Returned"/>
    <n v="4255.3999999999996"/>
    <x v="0"/>
    <x v="5"/>
    <x v="0"/>
    <n v="1"/>
    <x v="0"/>
    <x v="0"/>
    <s v="Customer_159"/>
    <x v="33"/>
    <s v="D"/>
  </r>
  <r>
    <s v="ORD10377"/>
    <s v="CUST1071"/>
    <s v="PROD132"/>
    <d v="2025-03-23T00:00:00"/>
    <d v="2025-03-28T00:00:00"/>
    <m/>
    <x v="1"/>
    <x v="1"/>
    <x v="4"/>
    <s v="Returned"/>
    <n v="311.70999999999998"/>
    <x v="3"/>
    <x v="4"/>
    <x v="0"/>
    <n v="5"/>
    <x v="0"/>
    <x v="2"/>
    <s v="Customer_132"/>
    <x v="29"/>
    <s v="A"/>
  </r>
  <r>
    <s v="ORD10378"/>
    <s v="CUST1299"/>
    <s v="PROD141"/>
    <d v="2025-01-28T00:00:00"/>
    <m/>
    <d v="2025-01-28T00:00:00"/>
    <x v="1"/>
    <x v="1"/>
    <x v="3"/>
    <s v="Delivered"/>
    <n v="4109.45"/>
    <x v="2"/>
    <x v="1"/>
    <x v="1"/>
    <s v="Order Cancelled"/>
    <x v="1"/>
    <x v="1"/>
    <s v="Customer_123"/>
    <x v="13"/>
    <s v="A"/>
  </r>
  <r>
    <s v="ORD10379"/>
    <s v="CUST1163"/>
    <s v="PROD107"/>
    <d v="2025-04-01T00:00:00"/>
    <d v="2025-04-06T00:00:00"/>
    <m/>
    <x v="3"/>
    <x v="2"/>
    <x v="4"/>
    <s v="Cancelled"/>
    <n v="1552.9"/>
    <x v="0"/>
    <x v="0"/>
    <x v="0"/>
    <n v="5"/>
    <x v="0"/>
    <x v="2"/>
    <s v="Customer_129"/>
    <x v="8"/>
    <s v="C"/>
  </r>
  <r>
    <s v="ORD10380"/>
    <s v="CUST1102"/>
    <s v="PROD136"/>
    <d v="2025-04-02T00:00:00"/>
    <d v="2025-04-05T00:00:00"/>
    <m/>
    <x v="3"/>
    <x v="0"/>
    <x v="4"/>
    <s v="Returned"/>
    <n v="767.19"/>
    <x v="0"/>
    <x v="0"/>
    <x v="0"/>
    <n v="3"/>
    <x v="0"/>
    <x v="2"/>
    <s v="Customer_87"/>
    <x v="38"/>
    <s v="C"/>
  </r>
  <r>
    <s v="ORD10381"/>
    <s v="CUST1074"/>
    <s v="PROD124"/>
    <d v="2025-02-05T00:00:00"/>
    <d v="2025-02-08T00:00:00"/>
    <m/>
    <x v="1"/>
    <x v="3"/>
    <x v="1"/>
    <s v="Returned"/>
    <n v="3544.34"/>
    <x v="1"/>
    <x v="2"/>
    <x v="0"/>
    <n v="3"/>
    <x v="0"/>
    <x v="2"/>
    <s v="Customer_74"/>
    <x v="0"/>
    <s v="A"/>
  </r>
  <r>
    <s v="ORD10382"/>
    <s v="CUST1168"/>
    <s v="PROD145"/>
    <d v="2025-02-02T00:00:00"/>
    <m/>
    <d v="2025-02-03T00:00:00"/>
    <x v="0"/>
    <x v="2"/>
    <x v="3"/>
    <s v="Delivered"/>
    <n v="3218.93"/>
    <x v="1"/>
    <x v="1"/>
    <x v="1"/>
    <s v="Order Cancelled"/>
    <x v="1"/>
    <x v="1"/>
    <s v="Customer_220"/>
    <x v="27"/>
    <s v="D"/>
  </r>
  <r>
    <s v="ORD10383"/>
    <s v="CUST1205"/>
    <s v="PROD104"/>
    <d v="2025-01-13T00:00:00"/>
    <d v="2025-01-17T00:00:00"/>
    <m/>
    <x v="3"/>
    <x v="2"/>
    <x v="2"/>
    <s v="Cancelled"/>
    <n v="4411.87"/>
    <x v="2"/>
    <x v="3"/>
    <x v="0"/>
    <n v="4"/>
    <x v="0"/>
    <x v="2"/>
    <s v="Customer_39"/>
    <x v="24"/>
    <s v="C"/>
  </r>
  <r>
    <s v="ORD10384"/>
    <s v="CUST1233"/>
    <s v="PROD118"/>
    <d v="2025-04-25T00:00:00"/>
    <d v="2025-04-29T00:00:00"/>
    <m/>
    <x v="0"/>
    <x v="4"/>
    <x v="3"/>
    <s v="Cancelled"/>
    <n v="3728.34"/>
    <x v="0"/>
    <x v="0"/>
    <x v="0"/>
    <n v="4"/>
    <x v="0"/>
    <x v="2"/>
    <s v="Customer_148"/>
    <x v="5"/>
    <s v="D"/>
  </r>
  <r>
    <s v="ORD10385"/>
    <s v="CUST1075"/>
    <s v="PROD131"/>
    <d v="2025-04-30T00:00:00"/>
    <d v="2025-05-03T00:00:00"/>
    <m/>
    <x v="0"/>
    <x v="2"/>
    <x v="2"/>
    <s v="Delivered"/>
    <n v="4056.71"/>
    <x v="0"/>
    <x v="5"/>
    <x v="0"/>
    <n v="3"/>
    <x v="0"/>
    <x v="2"/>
    <s v="Customer_227"/>
    <x v="46"/>
    <s v="D"/>
  </r>
  <r>
    <s v="ORD10386"/>
    <s v="CUST1094"/>
    <s v="PROD131"/>
    <d v="2025-01-26T00:00:00"/>
    <d v="2025-02-01T00:00:00"/>
    <m/>
    <x v="2"/>
    <x v="4"/>
    <x v="2"/>
    <s v="Returned"/>
    <n v="1553.77"/>
    <x v="2"/>
    <x v="2"/>
    <x v="0"/>
    <n v="6"/>
    <x v="0"/>
    <x v="2"/>
    <s v="Customer_104"/>
    <x v="46"/>
    <s v="B"/>
  </r>
  <r>
    <s v="ORD10387"/>
    <s v="CUST1211"/>
    <s v="PROD113"/>
    <d v="2025-01-14T00:00:00"/>
    <d v="2025-01-19T00:00:00"/>
    <m/>
    <x v="3"/>
    <x v="1"/>
    <x v="0"/>
    <s v="Delivered"/>
    <n v="1051.71"/>
    <x v="2"/>
    <x v="3"/>
    <x v="0"/>
    <n v="5"/>
    <x v="0"/>
    <x v="2"/>
    <s v="Customer_100"/>
    <x v="3"/>
    <s v="C"/>
  </r>
  <r>
    <s v="ORD10388"/>
    <s v="CUST1093"/>
    <s v="PROD108"/>
    <d v="2025-03-01T00:00:00"/>
    <d v="2025-03-07T00:00:00"/>
    <m/>
    <x v="3"/>
    <x v="4"/>
    <x v="3"/>
    <s v="Returned"/>
    <n v="3802.95"/>
    <x v="3"/>
    <x v="4"/>
    <x v="0"/>
    <n v="6"/>
    <x v="0"/>
    <x v="2"/>
    <s v="Customer_277"/>
    <x v="14"/>
    <s v="C"/>
  </r>
  <r>
    <s v="ORD10389"/>
    <s v="CUST1141"/>
    <s v="PROD128"/>
    <d v="2025-02-03T00:00:00"/>
    <d v="2025-02-07T00:00:00"/>
    <m/>
    <x v="0"/>
    <x v="0"/>
    <x v="0"/>
    <s v="Returned"/>
    <n v="4072.81"/>
    <x v="1"/>
    <x v="2"/>
    <x v="0"/>
    <n v="4"/>
    <x v="0"/>
    <x v="2"/>
    <s v="Customer_157"/>
    <x v="15"/>
    <s v="D"/>
  </r>
  <r>
    <s v="ORD10390"/>
    <s v="CUST1045"/>
    <s v="PROD140"/>
    <d v="2025-03-21T00:00:00"/>
    <m/>
    <d v="2025-03-22T00:00:00"/>
    <x v="2"/>
    <x v="2"/>
    <x v="1"/>
    <s v="Returned"/>
    <n v="4954.42"/>
    <x v="3"/>
    <x v="1"/>
    <x v="1"/>
    <s v="Order Cancelled"/>
    <x v="1"/>
    <x v="1"/>
    <s v="Customer_230"/>
    <x v="42"/>
    <s v="B"/>
  </r>
  <r>
    <s v="ORD10391"/>
    <s v="CUST1267"/>
    <s v="PROD131"/>
    <d v="2025-01-12T00:00:00"/>
    <d v="2025-01-13T00:00:00"/>
    <m/>
    <x v="3"/>
    <x v="1"/>
    <x v="3"/>
    <s v="Cancelled"/>
    <n v="2180.56"/>
    <x v="2"/>
    <x v="3"/>
    <x v="0"/>
    <n v="1"/>
    <x v="0"/>
    <x v="0"/>
    <s v="Customer_98"/>
    <x v="46"/>
    <s v="C"/>
  </r>
  <r>
    <s v="ORD10392"/>
    <s v="CUST1250"/>
    <s v="PROD133"/>
    <d v="2025-02-07T00:00:00"/>
    <d v="2025-02-12T00:00:00"/>
    <m/>
    <x v="2"/>
    <x v="4"/>
    <x v="0"/>
    <s v="Cancelled"/>
    <n v="1985.69"/>
    <x v="1"/>
    <x v="2"/>
    <x v="0"/>
    <n v="5"/>
    <x v="0"/>
    <x v="2"/>
    <s v="Customer_35"/>
    <x v="41"/>
    <s v="B"/>
  </r>
  <r>
    <s v="ORD10393"/>
    <s v="CUST1154"/>
    <s v="PROD102"/>
    <d v="2025-03-28T00:00:00"/>
    <m/>
    <d v="2025-03-29T00:00:00"/>
    <x v="2"/>
    <x v="3"/>
    <x v="4"/>
    <s v="Cancelled"/>
    <n v="3926.78"/>
    <x v="3"/>
    <x v="1"/>
    <x v="1"/>
    <s v="Order Cancelled"/>
    <x v="1"/>
    <x v="1"/>
    <s v="Customer_176"/>
    <x v="16"/>
    <s v="B"/>
  </r>
  <r>
    <s v="ORD10394"/>
    <s v="CUST1226"/>
    <s v="PROD114"/>
    <d v="2025-01-10T00:00:00"/>
    <d v="2025-01-12T00:00:00"/>
    <m/>
    <x v="3"/>
    <x v="4"/>
    <x v="0"/>
    <s v="Returned"/>
    <n v="1835.86"/>
    <x v="2"/>
    <x v="3"/>
    <x v="0"/>
    <n v="2"/>
    <x v="0"/>
    <x v="0"/>
    <s v="Customer_219"/>
    <x v="18"/>
    <s v="C"/>
  </r>
  <r>
    <s v="ORD10395"/>
    <s v="CUST1100"/>
    <s v="PROD143"/>
    <d v="2025-04-10T00:00:00"/>
    <m/>
    <d v="2025-04-12T00:00:00"/>
    <x v="3"/>
    <x v="0"/>
    <x v="4"/>
    <s v="Delivered"/>
    <n v="4667.6400000000003"/>
    <x v="0"/>
    <x v="1"/>
    <x v="1"/>
    <s v="Order Cancelled"/>
    <x v="1"/>
    <x v="1"/>
    <s v="Customer_269"/>
    <x v="22"/>
    <s v="C"/>
  </r>
  <r>
    <s v="ORD10396"/>
    <s v="CUST1258"/>
    <s v="PROD129"/>
    <d v="2025-03-18T00:00:00"/>
    <d v="2025-03-22T00:00:00"/>
    <m/>
    <x v="0"/>
    <x v="3"/>
    <x v="3"/>
    <s v="Returned"/>
    <n v="4320.38"/>
    <x v="3"/>
    <x v="4"/>
    <x v="0"/>
    <n v="4"/>
    <x v="0"/>
    <x v="2"/>
    <s v="Customer_170"/>
    <x v="4"/>
    <s v="D"/>
  </r>
  <r>
    <s v="ORD10397"/>
    <s v="CUST1055"/>
    <s v="PROD105"/>
    <d v="2025-04-18T00:00:00"/>
    <d v="2025-04-23T00:00:00"/>
    <m/>
    <x v="0"/>
    <x v="2"/>
    <x v="2"/>
    <s v="Cancelled"/>
    <n v="2259.17"/>
    <x v="0"/>
    <x v="0"/>
    <x v="0"/>
    <n v="5"/>
    <x v="0"/>
    <x v="2"/>
    <s v="Customer_113"/>
    <x v="17"/>
    <s v="D"/>
  </r>
  <r>
    <s v="ORD10398"/>
    <s v="CUST1029"/>
    <s v="PROD118"/>
    <d v="2025-01-31T00:00:00"/>
    <m/>
    <d v="2025-01-31T00:00:00"/>
    <x v="2"/>
    <x v="4"/>
    <x v="0"/>
    <s v="Cancelled"/>
    <n v="3804.18"/>
    <x v="2"/>
    <x v="1"/>
    <x v="1"/>
    <s v="Order Cancelled"/>
    <x v="1"/>
    <x v="1"/>
    <s v="Customer_202"/>
    <x v="5"/>
    <s v="B"/>
  </r>
  <r>
    <s v="ORD10399"/>
    <s v="CUST1211"/>
    <s v="PROD141"/>
    <d v="2025-02-06T00:00:00"/>
    <d v="2025-02-09T00:00:00"/>
    <m/>
    <x v="2"/>
    <x v="3"/>
    <x v="4"/>
    <s v="Delivered"/>
    <n v="3821.81"/>
    <x v="1"/>
    <x v="2"/>
    <x v="0"/>
    <n v="3"/>
    <x v="0"/>
    <x v="2"/>
    <s v="Customer_100"/>
    <x v="13"/>
    <s v="B"/>
  </r>
  <r>
    <s v="ORD10400"/>
    <s v="CUST1021"/>
    <s v="PROD145"/>
    <d v="2025-03-18T00:00:00"/>
    <m/>
    <d v="2025-03-19T00:00:00"/>
    <x v="2"/>
    <x v="0"/>
    <x v="3"/>
    <s v="Delivered"/>
    <n v="694.99"/>
    <x v="3"/>
    <x v="1"/>
    <x v="1"/>
    <s v="Order Cancelled"/>
    <x v="1"/>
    <x v="1"/>
    <s v="Customer_64"/>
    <x v="27"/>
    <s v="B"/>
  </r>
  <r>
    <s v="ORD10401"/>
    <s v="CUST1235"/>
    <s v="PROD110"/>
    <d v="2025-03-26T00:00:00"/>
    <d v="2025-03-30T00:00:00"/>
    <m/>
    <x v="1"/>
    <x v="4"/>
    <x v="1"/>
    <s v="Delivered"/>
    <n v="4532.25"/>
    <x v="3"/>
    <x v="4"/>
    <x v="0"/>
    <n v="4"/>
    <x v="0"/>
    <x v="2"/>
    <s v="Customer_267"/>
    <x v="11"/>
    <s v="A"/>
  </r>
  <r>
    <s v="ORD10402"/>
    <s v="CUST1189"/>
    <s v="PROD109"/>
    <d v="2025-04-26T00:00:00"/>
    <d v="2025-04-29T00:00:00"/>
    <m/>
    <x v="0"/>
    <x v="0"/>
    <x v="2"/>
    <s v="Delivered"/>
    <n v="2625.21"/>
    <x v="0"/>
    <x v="0"/>
    <x v="0"/>
    <n v="3"/>
    <x v="0"/>
    <x v="2"/>
    <s v="Customer_32"/>
    <x v="2"/>
    <s v="D"/>
  </r>
  <r>
    <s v="ORD10403"/>
    <s v="CUST1106"/>
    <s v="PROD103"/>
    <d v="2025-03-17T00:00:00"/>
    <d v="2025-03-22T00:00:00"/>
    <m/>
    <x v="3"/>
    <x v="3"/>
    <x v="1"/>
    <s v="Delivered"/>
    <n v="4167"/>
    <x v="3"/>
    <x v="4"/>
    <x v="0"/>
    <n v="5"/>
    <x v="0"/>
    <x v="2"/>
    <s v="Customer_58"/>
    <x v="19"/>
    <s v="C"/>
  </r>
  <r>
    <s v="ORD10404"/>
    <s v="CUST1106"/>
    <s v="PROD104"/>
    <d v="2025-03-13T00:00:00"/>
    <m/>
    <d v="2025-03-14T00:00:00"/>
    <x v="3"/>
    <x v="2"/>
    <x v="1"/>
    <s v="Returned"/>
    <n v="1736.24"/>
    <x v="3"/>
    <x v="1"/>
    <x v="1"/>
    <s v="Order Cancelled"/>
    <x v="1"/>
    <x v="1"/>
    <s v="Customer_58"/>
    <x v="24"/>
    <s v="C"/>
  </r>
  <r>
    <s v="ORD10405"/>
    <s v="CUST1230"/>
    <s v="PROD108"/>
    <d v="2025-03-29T00:00:00"/>
    <m/>
    <d v="2025-03-30T00:00:00"/>
    <x v="1"/>
    <x v="2"/>
    <x v="4"/>
    <s v="Returned"/>
    <n v="4498.51"/>
    <x v="3"/>
    <x v="1"/>
    <x v="1"/>
    <s v="Order Cancelled"/>
    <x v="1"/>
    <x v="1"/>
    <s v="Customer_62"/>
    <x v="14"/>
    <s v="A"/>
  </r>
  <r>
    <s v="ORD10406"/>
    <s v="CUST1258"/>
    <s v="PROD139"/>
    <d v="2025-03-30T00:00:00"/>
    <m/>
    <d v="2025-03-30T00:00:00"/>
    <x v="3"/>
    <x v="4"/>
    <x v="0"/>
    <s v="Delivered"/>
    <n v="2068.17"/>
    <x v="3"/>
    <x v="1"/>
    <x v="1"/>
    <s v="Order Cancelled"/>
    <x v="1"/>
    <x v="1"/>
    <s v="Customer_170"/>
    <x v="10"/>
    <s v="C"/>
  </r>
  <r>
    <s v="ORD10407"/>
    <s v="CUST1020"/>
    <s v="PROD116"/>
    <d v="2025-02-26T00:00:00"/>
    <d v="2025-03-01T00:00:00"/>
    <m/>
    <x v="3"/>
    <x v="2"/>
    <x v="0"/>
    <s v="Cancelled"/>
    <n v="252.02"/>
    <x v="1"/>
    <x v="4"/>
    <x v="0"/>
    <n v="3"/>
    <x v="0"/>
    <x v="2"/>
    <s v="Customer_182"/>
    <x v="34"/>
    <s v="C"/>
  </r>
  <r>
    <s v="ORD10408"/>
    <s v="CUST1061"/>
    <s v="PROD114"/>
    <d v="2025-03-30T00:00:00"/>
    <m/>
    <d v="2025-03-31T00:00:00"/>
    <x v="3"/>
    <x v="2"/>
    <x v="2"/>
    <s v="Returned"/>
    <n v="4545.83"/>
    <x v="3"/>
    <x v="1"/>
    <x v="1"/>
    <s v="Order Cancelled"/>
    <x v="1"/>
    <x v="1"/>
    <s v="Customer_102"/>
    <x v="18"/>
    <s v="C"/>
  </r>
  <r>
    <s v="ORD10409"/>
    <s v="CUST1275"/>
    <s v="PROD126"/>
    <d v="2025-04-03T00:00:00"/>
    <d v="2025-04-08T00:00:00"/>
    <m/>
    <x v="3"/>
    <x v="4"/>
    <x v="4"/>
    <s v="Delivered"/>
    <n v="638.17999999999995"/>
    <x v="0"/>
    <x v="0"/>
    <x v="0"/>
    <n v="5"/>
    <x v="0"/>
    <x v="2"/>
    <s v="Customer_194"/>
    <x v="48"/>
    <s v="C"/>
  </r>
  <r>
    <s v="ORD10410"/>
    <s v="CUST1283"/>
    <s v="PROD150"/>
    <d v="2025-03-10T00:00:00"/>
    <d v="2025-03-13T00:00:00"/>
    <m/>
    <x v="2"/>
    <x v="1"/>
    <x v="4"/>
    <s v="Returned"/>
    <n v="1732.71"/>
    <x v="3"/>
    <x v="4"/>
    <x v="0"/>
    <n v="3"/>
    <x v="0"/>
    <x v="2"/>
    <s v="Customer_28"/>
    <x v="23"/>
    <s v="B"/>
  </r>
  <r>
    <s v="ORD10411"/>
    <s v="CUST1232"/>
    <s v="PROD119"/>
    <d v="2025-02-06T00:00:00"/>
    <d v="2025-02-10T00:00:00"/>
    <m/>
    <x v="3"/>
    <x v="1"/>
    <x v="4"/>
    <s v="Cancelled"/>
    <n v="4760.3"/>
    <x v="1"/>
    <x v="2"/>
    <x v="0"/>
    <n v="4"/>
    <x v="0"/>
    <x v="2"/>
    <s v="Customer_262"/>
    <x v="45"/>
    <s v="C"/>
  </r>
  <r>
    <s v="ORD10412"/>
    <s v="CUST1135"/>
    <s v="PROD144"/>
    <d v="2025-03-29T00:00:00"/>
    <d v="2025-04-01T00:00:00"/>
    <m/>
    <x v="3"/>
    <x v="2"/>
    <x v="3"/>
    <s v="Cancelled"/>
    <n v="4762.91"/>
    <x v="3"/>
    <x v="0"/>
    <x v="0"/>
    <n v="3"/>
    <x v="0"/>
    <x v="2"/>
    <s v="Customer_126"/>
    <x v="39"/>
    <s v="C"/>
  </r>
  <r>
    <s v="ORD10413"/>
    <s v="CUST1124"/>
    <s v="PROD140"/>
    <d v="2025-02-12T00:00:00"/>
    <m/>
    <d v="2025-02-12T00:00:00"/>
    <x v="0"/>
    <x v="0"/>
    <x v="2"/>
    <s v="Delivered"/>
    <n v="2952.5"/>
    <x v="1"/>
    <x v="1"/>
    <x v="1"/>
    <s v="Order Cancelled"/>
    <x v="1"/>
    <x v="1"/>
    <s v="Customer_49"/>
    <x v="42"/>
    <s v="D"/>
  </r>
  <r>
    <s v="ORD10414"/>
    <s v="CUST1216"/>
    <s v="PROD120"/>
    <d v="2025-03-01T00:00:00"/>
    <d v="2025-03-06T00:00:00"/>
    <m/>
    <x v="0"/>
    <x v="1"/>
    <x v="0"/>
    <s v="Cancelled"/>
    <n v="3232.82"/>
    <x v="3"/>
    <x v="4"/>
    <x v="0"/>
    <n v="5"/>
    <x v="0"/>
    <x v="2"/>
    <s v="Customer_15"/>
    <x v="9"/>
    <s v="D"/>
  </r>
  <r>
    <s v="ORD10415"/>
    <s v="CUST1080"/>
    <s v="PROD106"/>
    <d v="2025-01-23T00:00:00"/>
    <d v="2025-01-25T00:00:00"/>
    <m/>
    <x v="2"/>
    <x v="3"/>
    <x v="1"/>
    <s v="Cancelled"/>
    <n v="2352.54"/>
    <x v="2"/>
    <x v="3"/>
    <x v="0"/>
    <n v="2"/>
    <x v="0"/>
    <x v="0"/>
    <s v="Customer_272"/>
    <x v="43"/>
    <s v="B"/>
  </r>
  <r>
    <s v="ORD10416"/>
    <s v="CUST1156"/>
    <s v="PROD149"/>
    <d v="2025-04-07T00:00:00"/>
    <d v="2025-04-08T00:00:00"/>
    <m/>
    <x v="2"/>
    <x v="0"/>
    <x v="4"/>
    <s v="Cancelled"/>
    <n v="1607.41"/>
    <x v="0"/>
    <x v="0"/>
    <x v="0"/>
    <n v="1"/>
    <x v="0"/>
    <x v="0"/>
    <s v="Customer_95"/>
    <x v="30"/>
    <s v="B"/>
  </r>
  <r>
    <s v="ORD10417"/>
    <s v="CUST1063"/>
    <s v="PROD127"/>
    <d v="2025-04-12T00:00:00"/>
    <d v="2025-04-17T00:00:00"/>
    <m/>
    <x v="0"/>
    <x v="0"/>
    <x v="0"/>
    <s v="Returned"/>
    <n v="1777.59"/>
    <x v="0"/>
    <x v="0"/>
    <x v="0"/>
    <n v="5"/>
    <x v="0"/>
    <x v="2"/>
    <s v="Customer_81"/>
    <x v="36"/>
    <s v="D"/>
  </r>
  <r>
    <s v="ORD10418"/>
    <s v="CUST1118"/>
    <s v="PROD124"/>
    <d v="2025-02-18T00:00:00"/>
    <m/>
    <d v="2025-02-18T00:00:00"/>
    <x v="1"/>
    <x v="4"/>
    <x v="1"/>
    <s v="Returned"/>
    <n v="3428.09"/>
    <x v="1"/>
    <x v="1"/>
    <x v="1"/>
    <s v="Order Cancelled"/>
    <x v="1"/>
    <x v="1"/>
    <s v="Customer_214"/>
    <x v="0"/>
    <s v="A"/>
  </r>
  <r>
    <s v="ORD10419"/>
    <s v="CUST1184"/>
    <s v="PROD143"/>
    <d v="2025-02-26T00:00:00"/>
    <d v="2025-03-01T00:00:00"/>
    <m/>
    <x v="2"/>
    <x v="3"/>
    <x v="1"/>
    <s v="Cancelled"/>
    <n v="3811.4"/>
    <x v="1"/>
    <x v="4"/>
    <x v="0"/>
    <n v="3"/>
    <x v="0"/>
    <x v="2"/>
    <s v="Customer_50"/>
    <x v="22"/>
    <s v="B"/>
  </r>
  <r>
    <s v="ORD10420"/>
    <s v="CUST1045"/>
    <s v="PROD146"/>
    <d v="2025-01-04T00:00:00"/>
    <m/>
    <d v="2025-01-05T00:00:00"/>
    <x v="2"/>
    <x v="3"/>
    <x v="4"/>
    <s v="Returned"/>
    <n v="3999.58"/>
    <x v="2"/>
    <x v="1"/>
    <x v="1"/>
    <s v="Order Cancelled"/>
    <x v="1"/>
    <x v="1"/>
    <s v="Customer_230"/>
    <x v="31"/>
    <s v="B"/>
  </r>
  <r>
    <s v="ORD10421"/>
    <s v="CUST1170"/>
    <s v="PROD103"/>
    <d v="2025-04-30T00:00:00"/>
    <d v="2025-05-04T00:00:00"/>
    <m/>
    <x v="3"/>
    <x v="1"/>
    <x v="1"/>
    <s v="Delivered"/>
    <n v="3990.17"/>
    <x v="0"/>
    <x v="5"/>
    <x v="0"/>
    <n v="4"/>
    <x v="0"/>
    <x v="2"/>
    <s v="Customer_3"/>
    <x v="19"/>
    <s v="C"/>
  </r>
  <r>
    <s v="ORD10422"/>
    <s v="CUST1127"/>
    <s v="PROD107"/>
    <d v="2025-02-14T00:00:00"/>
    <d v="2025-02-18T00:00:00"/>
    <m/>
    <x v="1"/>
    <x v="4"/>
    <x v="0"/>
    <s v="Cancelled"/>
    <n v="637.79"/>
    <x v="1"/>
    <x v="2"/>
    <x v="0"/>
    <n v="4"/>
    <x v="0"/>
    <x v="2"/>
    <s v="Customer_237"/>
    <x v="8"/>
    <s v="A"/>
  </r>
  <r>
    <s v="ORD10423"/>
    <s v="CUST1014"/>
    <s v="PROD113"/>
    <d v="2025-04-10T00:00:00"/>
    <d v="2025-04-12T00:00:00"/>
    <m/>
    <x v="0"/>
    <x v="3"/>
    <x v="1"/>
    <s v="Returned"/>
    <n v="2573.2199999999998"/>
    <x v="0"/>
    <x v="0"/>
    <x v="0"/>
    <n v="2"/>
    <x v="0"/>
    <x v="0"/>
    <s v="Customer_188"/>
    <x v="3"/>
    <s v="D"/>
  </r>
  <r>
    <s v="ORD10424"/>
    <s v="CUST1044"/>
    <s v="PROD127"/>
    <d v="2025-03-16T00:00:00"/>
    <d v="2025-03-22T00:00:00"/>
    <m/>
    <x v="1"/>
    <x v="4"/>
    <x v="2"/>
    <s v="Cancelled"/>
    <n v="476.28"/>
    <x v="3"/>
    <x v="4"/>
    <x v="0"/>
    <n v="6"/>
    <x v="0"/>
    <x v="2"/>
    <s v="Customer_40"/>
    <x v="36"/>
    <s v="A"/>
  </r>
  <r>
    <s v="ORD10425"/>
    <s v="CUST1189"/>
    <s v="PROD125"/>
    <d v="2025-03-25T00:00:00"/>
    <d v="2025-03-29T00:00:00"/>
    <m/>
    <x v="3"/>
    <x v="4"/>
    <x v="3"/>
    <s v="Delivered"/>
    <n v="2837.74"/>
    <x v="3"/>
    <x v="4"/>
    <x v="0"/>
    <n v="4"/>
    <x v="0"/>
    <x v="2"/>
    <s v="Customer_32"/>
    <x v="26"/>
    <s v="C"/>
  </r>
  <r>
    <s v="ORD10426"/>
    <s v="CUST1004"/>
    <s v="PROD128"/>
    <d v="2025-02-08T00:00:00"/>
    <d v="2025-02-14T00:00:00"/>
    <m/>
    <x v="0"/>
    <x v="1"/>
    <x v="3"/>
    <s v="Delivered"/>
    <n v="2319.35"/>
    <x v="1"/>
    <x v="2"/>
    <x v="0"/>
    <n v="6"/>
    <x v="0"/>
    <x v="2"/>
    <s v="Customer_261"/>
    <x v="15"/>
    <s v="D"/>
  </r>
  <r>
    <s v="ORD10427"/>
    <s v="CUST1231"/>
    <s v="PROD140"/>
    <d v="2025-01-28T00:00:00"/>
    <d v="2025-01-30T00:00:00"/>
    <m/>
    <x v="2"/>
    <x v="4"/>
    <x v="1"/>
    <s v="Delivered"/>
    <n v="4460.9799999999996"/>
    <x v="2"/>
    <x v="3"/>
    <x v="0"/>
    <n v="2"/>
    <x v="0"/>
    <x v="0"/>
    <s v="Customer_118"/>
    <x v="42"/>
    <s v="B"/>
  </r>
  <r>
    <s v="ORD10428"/>
    <s v="CUST1074"/>
    <s v="PROD143"/>
    <d v="2025-03-19T00:00:00"/>
    <d v="2025-03-24T00:00:00"/>
    <m/>
    <x v="1"/>
    <x v="1"/>
    <x v="2"/>
    <s v="Cancelled"/>
    <n v="1884.39"/>
    <x v="3"/>
    <x v="4"/>
    <x v="0"/>
    <n v="5"/>
    <x v="0"/>
    <x v="2"/>
    <s v="Customer_74"/>
    <x v="22"/>
    <s v="A"/>
  </r>
  <r>
    <s v="ORD10429"/>
    <s v="CUST1107"/>
    <s v="PROD143"/>
    <d v="2025-01-27T00:00:00"/>
    <m/>
    <d v="2025-01-27T00:00:00"/>
    <x v="1"/>
    <x v="0"/>
    <x v="3"/>
    <s v="Returned"/>
    <n v="761.92"/>
    <x v="2"/>
    <x v="1"/>
    <x v="1"/>
    <s v="Order Cancelled"/>
    <x v="1"/>
    <x v="1"/>
    <s v="Customer_248"/>
    <x v="22"/>
    <s v="A"/>
  </r>
  <r>
    <s v="ORD10430"/>
    <s v="CUST1131"/>
    <s v="PROD133"/>
    <d v="2025-02-03T00:00:00"/>
    <m/>
    <d v="2025-02-03T00:00:00"/>
    <x v="1"/>
    <x v="2"/>
    <x v="1"/>
    <s v="Returned"/>
    <n v="886.36"/>
    <x v="1"/>
    <x v="1"/>
    <x v="1"/>
    <s v="Order Cancelled"/>
    <x v="1"/>
    <x v="1"/>
    <s v="Customer_154"/>
    <x v="41"/>
    <s v="A"/>
  </r>
  <r>
    <s v="ORD10431"/>
    <s v="CUST1042"/>
    <s v="PROD133"/>
    <d v="2025-03-24T00:00:00"/>
    <d v="2025-03-26T00:00:00"/>
    <m/>
    <x v="0"/>
    <x v="2"/>
    <x v="3"/>
    <s v="Delivered"/>
    <n v="3855.25"/>
    <x v="3"/>
    <x v="4"/>
    <x v="0"/>
    <n v="2"/>
    <x v="0"/>
    <x v="0"/>
    <s v="Customer_135"/>
    <x v="41"/>
    <s v="D"/>
  </r>
  <r>
    <s v="ORD10432"/>
    <s v="CUST1276"/>
    <s v="PROD108"/>
    <d v="2025-04-14T00:00:00"/>
    <d v="2025-04-17T00:00:00"/>
    <m/>
    <x v="2"/>
    <x v="3"/>
    <x v="0"/>
    <s v="Cancelled"/>
    <n v="3167.45"/>
    <x v="0"/>
    <x v="0"/>
    <x v="0"/>
    <n v="3"/>
    <x v="0"/>
    <x v="2"/>
    <s v="Customer_10"/>
    <x v="14"/>
    <s v="B"/>
  </r>
  <r>
    <s v="ORD10433"/>
    <s v="CUST1140"/>
    <s v="PROD113"/>
    <d v="2025-04-21T00:00:00"/>
    <d v="2025-04-24T00:00:00"/>
    <m/>
    <x v="3"/>
    <x v="1"/>
    <x v="4"/>
    <s v="Cancelled"/>
    <n v="685.39"/>
    <x v="0"/>
    <x v="0"/>
    <x v="0"/>
    <n v="3"/>
    <x v="0"/>
    <x v="2"/>
    <s v="Customer_124"/>
    <x v="3"/>
    <s v="C"/>
  </r>
  <r>
    <s v="ORD10434"/>
    <s v="CUST1074"/>
    <s v="PROD146"/>
    <d v="2025-04-24T00:00:00"/>
    <d v="2025-04-26T00:00:00"/>
    <m/>
    <x v="3"/>
    <x v="0"/>
    <x v="4"/>
    <s v="Returned"/>
    <n v="603.71"/>
    <x v="0"/>
    <x v="0"/>
    <x v="0"/>
    <n v="2"/>
    <x v="0"/>
    <x v="0"/>
    <s v="Customer_74"/>
    <x v="31"/>
    <s v="C"/>
  </r>
  <r>
    <s v="ORD10435"/>
    <s v="CUST1091"/>
    <s v="PROD136"/>
    <d v="2025-02-09T00:00:00"/>
    <d v="2025-02-11T00:00:00"/>
    <m/>
    <x v="0"/>
    <x v="0"/>
    <x v="4"/>
    <s v="Returned"/>
    <n v="3564.65"/>
    <x v="1"/>
    <x v="2"/>
    <x v="0"/>
    <n v="2"/>
    <x v="0"/>
    <x v="0"/>
    <s v="Customer_73"/>
    <x v="38"/>
    <s v="D"/>
  </r>
  <r>
    <s v="ORD10436"/>
    <s v="CUST1226"/>
    <s v="PROD132"/>
    <d v="2025-04-14T00:00:00"/>
    <d v="2025-04-19T00:00:00"/>
    <m/>
    <x v="1"/>
    <x v="3"/>
    <x v="3"/>
    <s v="Returned"/>
    <n v="549.26"/>
    <x v="0"/>
    <x v="0"/>
    <x v="0"/>
    <n v="5"/>
    <x v="0"/>
    <x v="2"/>
    <s v="Customer_219"/>
    <x v="29"/>
    <s v="A"/>
  </r>
  <r>
    <s v="ORD10437"/>
    <s v="CUST1081"/>
    <s v="PROD128"/>
    <d v="2025-03-08T00:00:00"/>
    <d v="2025-03-13T00:00:00"/>
    <m/>
    <x v="2"/>
    <x v="3"/>
    <x v="1"/>
    <s v="Cancelled"/>
    <n v="4144.93"/>
    <x v="3"/>
    <x v="4"/>
    <x v="0"/>
    <n v="5"/>
    <x v="0"/>
    <x v="2"/>
    <s v="Customer_47"/>
    <x v="15"/>
    <s v="B"/>
  </r>
  <r>
    <s v="ORD10438"/>
    <s v="CUST1061"/>
    <s v="PROD142"/>
    <d v="2025-02-07T00:00:00"/>
    <d v="2025-02-11T00:00:00"/>
    <m/>
    <x v="1"/>
    <x v="0"/>
    <x v="3"/>
    <s v="Returned"/>
    <n v="3589.96"/>
    <x v="1"/>
    <x v="2"/>
    <x v="0"/>
    <n v="4"/>
    <x v="0"/>
    <x v="2"/>
    <s v="Customer_102"/>
    <x v="25"/>
    <s v="A"/>
  </r>
  <r>
    <s v="ORD10439"/>
    <s v="CUST1020"/>
    <s v="PROD128"/>
    <d v="2025-04-18T00:00:00"/>
    <d v="2025-04-20T00:00:00"/>
    <m/>
    <x v="2"/>
    <x v="1"/>
    <x v="3"/>
    <s v="Delivered"/>
    <n v="590.47"/>
    <x v="0"/>
    <x v="0"/>
    <x v="0"/>
    <n v="2"/>
    <x v="0"/>
    <x v="0"/>
    <s v="Customer_182"/>
    <x v="15"/>
    <s v="B"/>
  </r>
  <r>
    <s v="ORD10440"/>
    <s v="CUST1205"/>
    <s v="PROD144"/>
    <d v="2025-01-31T00:00:00"/>
    <d v="2025-02-02T00:00:00"/>
    <m/>
    <x v="0"/>
    <x v="2"/>
    <x v="3"/>
    <s v="Cancelled"/>
    <n v="607.22"/>
    <x v="2"/>
    <x v="2"/>
    <x v="0"/>
    <n v="2"/>
    <x v="0"/>
    <x v="0"/>
    <s v="Customer_39"/>
    <x v="39"/>
    <s v="D"/>
  </r>
  <r>
    <s v="ORD10441"/>
    <s v="CUST1005"/>
    <s v="PROD132"/>
    <d v="2025-01-19T00:00:00"/>
    <d v="2025-01-23T00:00:00"/>
    <m/>
    <x v="3"/>
    <x v="4"/>
    <x v="3"/>
    <s v="Returned"/>
    <n v="4935.87"/>
    <x v="2"/>
    <x v="3"/>
    <x v="0"/>
    <n v="4"/>
    <x v="0"/>
    <x v="2"/>
    <s v="Customer_166"/>
    <x v="29"/>
    <s v="C"/>
  </r>
  <r>
    <s v="ORD10442"/>
    <s v="CUST1004"/>
    <s v="PROD146"/>
    <d v="2025-04-23T00:00:00"/>
    <m/>
    <d v="2025-04-23T00:00:00"/>
    <x v="2"/>
    <x v="3"/>
    <x v="2"/>
    <s v="Delivered"/>
    <n v="1996.5"/>
    <x v="0"/>
    <x v="1"/>
    <x v="1"/>
    <s v="Order Cancelled"/>
    <x v="1"/>
    <x v="1"/>
    <s v="Customer_261"/>
    <x v="31"/>
    <s v="B"/>
  </r>
  <r>
    <s v="ORD10443"/>
    <s v="CUST1193"/>
    <s v="PROD132"/>
    <d v="2025-03-11T00:00:00"/>
    <d v="2025-03-14T00:00:00"/>
    <m/>
    <x v="3"/>
    <x v="2"/>
    <x v="0"/>
    <s v="Delivered"/>
    <n v="1979.08"/>
    <x v="3"/>
    <x v="4"/>
    <x v="0"/>
    <n v="3"/>
    <x v="0"/>
    <x v="2"/>
    <s v="Customer_265"/>
    <x v="29"/>
    <s v="C"/>
  </r>
  <r>
    <s v="ORD10444"/>
    <s v="CUST1241"/>
    <s v="PROD145"/>
    <d v="2025-03-02T00:00:00"/>
    <d v="2025-03-07T00:00:00"/>
    <m/>
    <x v="1"/>
    <x v="4"/>
    <x v="2"/>
    <s v="Delivered"/>
    <n v="4101.4399999999996"/>
    <x v="3"/>
    <x v="4"/>
    <x v="0"/>
    <n v="5"/>
    <x v="0"/>
    <x v="2"/>
    <s v="Customer_205"/>
    <x v="27"/>
    <s v="A"/>
  </r>
  <r>
    <s v="ORD10445"/>
    <s v="CUST1130"/>
    <s v="PROD112"/>
    <d v="2025-04-09T00:00:00"/>
    <m/>
    <d v="2025-04-10T00:00:00"/>
    <x v="1"/>
    <x v="0"/>
    <x v="0"/>
    <s v="Delivered"/>
    <n v="4746.79"/>
    <x v="0"/>
    <x v="1"/>
    <x v="1"/>
    <s v="Order Cancelled"/>
    <x v="1"/>
    <x v="1"/>
    <s v="Customer_207"/>
    <x v="7"/>
    <s v="A"/>
  </r>
  <r>
    <s v="ORD10446"/>
    <s v="CUST1095"/>
    <s v="PROD117"/>
    <d v="2025-01-15T00:00:00"/>
    <d v="2025-01-21T00:00:00"/>
    <m/>
    <x v="0"/>
    <x v="2"/>
    <x v="4"/>
    <s v="Cancelled"/>
    <n v="4932.8100000000004"/>
    <x v="2"/>
    <x v="3"/>
    <x v="0"/>
    <n v="6"/>
    <x v="0"/>
    <x v="2"/>
    <s v="Customer_162"/>
    <x v="28"/>
    <s v="D"/>
  </r>
  <r>
    <s v="ORD10447"/>
    <s v="CUST1042"/>
    <s v="PROD129"/>
    <d v="2025-02-20T00:00:00"/>
    <d v="2025-02-25T00:00:00"/>
    <m/>
    <x v="2"/>
    <x v="2"/>
    <x v="2"/>
    <s v="Cancelled"/>
    <n v="3816.22"/>
    <x v="1"/>
    <x v="2"/>
    <x v="0"/>
    <n v="5"/>
    <x v="0"/>
    <x v="2"/>
    <s v="Customer_135"/>
    <x v="4"/>
    <s v="B"/>
  </r>
  <r>
    <s v="ORD10448"/>
    <s v="CUST1260"/>
    <s v="PROD132"/>
    <d v="2025-01-18T00:00:00"/>
    <d v="2025-01-23T00:00:00"/>
    <m/>
    <x v="3"/>
    <x v="2"/>
    <x v="4"/>
    <s v="Cancelled"/>
    <n v="2006.05"/>
    <x v="2"/>
    <x v="3"/>
    <x v="0"/>
    <n v="5"/>
    <x v="0"/>
    <x v="2"/>
    <s v="Customer_88"/>
    <x v="29"/>
    <s v="C"/>
  </r>
  <r>
    <s v="ORD10449"/>
    <s v="CUST1179"/>
    <s v="PROD135"/>
    <d v="2025-02-23T00:00:00"/>
    <d v="2025-02-28T00:00:00"/>
    <m/>
    <x v="2"/>
    <x v="3"/>
    <x v="2"/>
    <s v="Cancelled"/>
    <n v="600.79999999999995"/>
    <x v="1"/>
    <x v="2"/>
    <x v="0"/>
    <n v="5"/>
    <x v="0"/>
    <x v="2"/>
    <s v="Customer_57"/>
    <x v="32"/>
    <s v="B"/>
  </r>
  <r>
    <s v="ORD10450"/>
    <s v="CUST1046"/>
    <s v="PROD112"/>
    <d v="2025-01-26T00:00:00"/>
    <m/>
    <d v="2025-01-26T00:00:00"/>
    <x v="0"/>
    <x v="0"/>
    <x v="1"/>
    <s v="Returned"/>
    <n v="3930.31"/>
    <x v="2"/>
    <x v="1"/>
    <x v="1"/>
    <s v="Order Cancelled"/>
    <x v="1"/>
    <x v="1"/>
    <s v="Customer_111"/>
    <x v="7"/>
    <s v="D"/>
  </r>
  <r>
    <s v="ORD10451"/>
    <s v="CUST1105"/>
    <s v="PROD128"/>
    <d v="2025-02-10T00:00:00"/>
    <d v="2025-02-14T00:00:00"/>
    <m/>
    <x v="1"/>
    <x v="1"/>
    <x v="1"/>
    <s v="Cancelled"/>
    <n v="2880.34"/>
    <x v="1"/>
    <x v="2"/>
    <x v="0"/>
    <n v="4"/>
    <x v="0"/>
    <x v="2"/>
    <s v="Customer_11"/>
    <x v="15"/>
    <s v="A"/>
  </r>
  <r>
    <s v="ORD10452"/>
    <s v="CUST1179"/>
    <s v="PROD140"/>
    <d v="2025-02-28T00:00:00"/>
    <d v="2025-03-05T00:00:00"/>
    <m/>
    <x v="3"/>
    <x v="4"/>
    <x v="4"/>
    <s v="Delivered"/>
    <n v="2236.27"/>
    <x v="1"/>
    <x v="4"/>
    <x v="0"/>
    <n v="5"/>
    <x v="0"/>
    <x v="2"/>
    <s v="Customer_57"/>
    <x v="42"/>
    <s v="C"/>
  </r>
  <r>
    <s v="ORD10453"/>
    <s v="CUST1132"/>
    <s v="PROD115"/>
    <d v="2025-04-27T00:00:00"/>
    <d v="2025-04-29T00:00:00"/>
    <m/>
    <x v="0"/>
    <x v="3"/>
    <x v="1"/>
    <s v="Delivered"/>
    <n v="4550.5"/>
    <x v="0"/>
    <x v="0"/>
    <x v="0"/>
    <n v="2"/>
    <x v="0"/>
    <x v="0"/>
    <s v="Customer_44"/>
    <x v="12"/>
    <s v="D"/>
  </r>
  <r>
    <s v="ORD10454"/>
    <s v="CUST1064"/>
    <s v="PROD115"/>
    <d v="2025-04-26T00:00:00"/>
    <d v="2025-04-29T00:00:00"/>
    <m/>
    <x v="2"/>
    <x v="0"/>
    <x v="1"/>
    <s v="Returned"/>
    <n v="733.75"/>
    <x v="0"/>
    <x v="0"/>
    <x v="0"/>
    <n v="3"/>
    <x v="0"/>
    <x v="2"/>
    <s v="Customer_180"/>
    <x v="12"/>
    <s v="B"/>
  </r>
  <r>
    <s v="ORD10455"/>
    <s v="CUST1058"/>
    <s v="PROD139"/>
    <d v="2025-03-18T00:00:00"/>
    <m/>
    <d v="2025-03-20T00:00:00"/>
    <x v="2"/>
    <x v="1"/>
    <x v="3"/>
    <s v="Delivered"/>
    <n v="2564.6"/>
    <x v="3"/>
    <x v="1"/>
    <x v="1"/>
    <s v="Order Cancelled"/>
    <x v="1"/>
    <x v="1"/>
    <s v="Customer_97"/>
    <x v="10"/>
    <s v="B"/>
  </r>
  <r>
    <s v="ORD10456"/>
    <s v="CUST1290"/>
    <s v="PROD129"/>
    <d v="2025-03-18T00:00:00"/>
    <d v="2025-03-20T00:00:00"/>
    <m/>
    <x v="2"/>
    <x v="1"/>
    <x v="4"/>
    <s v="Returned"/>
    <n v="254.5"/>
    <x v="3"/>
    <x v="4"/>
    <x v="0"/>
    <n v="2"/>
    <x v="0"/>
    <x v="0"/>
    <s v="Customer_56"/>
    <x v="4"/>
    <s v="B"/>
  </r>
  <r>
    <s v="ORD10457"/>
    <s v="CUST1210"/>
    <s v="PROD112"/>
    <d v="2025-01-03T00:00:00"/>
    <d v="2025-01-05T00:00:00"/>
    <m/>
    <x v="3"/>
    <x v="4"/>
    <x v="0"/>
    <s v="Returned"/>
    <n v="2449.5700000000002"/>
    <x v="2"/>
    <x v="3"/>
    <x v="0"/>
    <n v="2"/>
    <x v="0"/>
    <x v="0"/>
    <s v="Customer_252"/>
    <x v="7"/>
    <s v="C"/>
  </r>
  <r>
    <s v="ORD10458"/>
    <s v="CUST1063"/>
    <s v="PROD138"/>
    <d v="2025-03-05T00:00:00"/>
    <m/>
    <d v="2025-03-06T00:00:00"/>
    <x v="1"/>
    <x v="4"/>
    <x v="3"/>
    <s v="Delivered"/>
    <n v="470.26"/>
    <x v="3"/>
    <x v="1"/>
    <x v="1"/>
    <s v="Order Cancelled"/>
    <x v="1"/>
    <x v="1"/>
    <s v="Customer_81"/>
    <x v="21"/>
    <s v="A"/>
  </r>
  <r>
    <s v="ORD10459"/>
    <s v="CUST1050"/>
    <s v="PROD113"/>
    <d v="2025-03-08T00:00:00"/>
    <d v="2025-03-14T00:00:00"/>
    <m/>
    <x v="3"/>
    <x v="4"/>
    <x v="3"/>
    <s v="Delivered"/>
    <n v="770.33"/>
    <x v="3"/>
    <x v="4"/>
    <x v="0"/>
    <n v="6"/>
    <x v="0"/>
    <x v="2"/>
    <s v="Customer_246"/>
    <x v="3"/>
    <s v="C"/>
  </r>
  <r>
    <s v="ORD10460"/>
    <s v="CUST1068"/>
    <s v="PROD147"/>
    <d v="2025-03-05T00:00:00"/>
    <d v="2025-03-07T00:00:00"/>
    <m/>
    <x v="1"/>
    <x v="2"/>
    <x v="3"/>
    <s v="Delivered"/>
    <n v="764.13"/>
    <x v="3"/>
    <x v="4"/>
    <x v="0"/>
    <n v="2"/>
    <x v="0"/>
    <x v="0"/>
    <s v="Customer_213"/>
    <x v="1"/>
    <s v="A"/>
  </r>
  <r>
    <s v="ORD10461"/>
    <s v="CUST1269"/>
    <s v="PROD117"/>
    <d v="2025-02-27T00:00:00"/>
    <d v="2025-03-02T00:00:00"/>
    <m/>
    <x v="1"/>
    <x v="4"/>
    <x v="1"/>
    <s v="Delivered"/>
    <n v="3316.21"/>
    <x v="1"/>
    <x v="4"/>
    <x v="0"/>
    <n v="3"/>
    <x v="0"/>
    <x v="2"/>
    <s v="Customer_138"/>
    <x v="28"/>
    <s v="A"/>
  </r>
  <r>
    <s v="ORD10462"/>
    <s v="CUST1022"/>
    <s v="PROD137"/>
    <d v="2025-01-15T00:00:00"/>
    <d v="2025-01-20T00:00:00"/>
    <m/>
    <x v="3"/>
    <x v="1"/>
    <x v="4"/>
    <s v="Returned"/>
    <n v="3781.02"/>
    <x v="2"/>
    <x v="3"/>
    <x v="0"/>
    <n v="5"/>
    <x v="0"/>
    <x v="2"/>
    <s v="Customer_217"/>
    <x v="33"/>
    <s v="C"/>
  </r>
  <r>
    <s v="ORD10463"/>
    <s v="CUST1269"/>
    <s v="PROD122"/>
    <d v="2025-03-05T00:00:00"/>
    <d v="2025-03-09T00:00:00"/>
    <m/>
    <x v="2"/>
    <x v="2"/>
    <x v="0"/>
    <s v="Returned"/>
    <n v="3000.17"/>
    <x v="3"/>
    <x v="4"/>
    <x v="0"/>
    <n v="4"/>
    <x v="0"/>
    <x v="2"/>
    <s v="Customer_138"/>
    <x v="6"/>
    <s v="B"/>
  </r>
  <r>
    <s v="ORD10464"/>
    <s v="CUST1179"/>
    <s v="PROD148"/>
    <d v="2025-01-01T00:00:00"/>
    <m/>
    <d v="2025-01-03T00:00:00"/>
    <x v="3"/>
    <x v="4"/>
    <x v="1"/>
    <s v="Delivered"/>
    <n v="4818.43"/>
    <x v="2"/>
    <x v="1"/>
    <x v="1"/>
    <s v="Order Cancelled"/>
    <x v="1"/>
    <x v="1"/>
    <s v="Customer_57"/>
    <x v="47"/>
    <s v="C"/>
  </r>
  <r>
    <s v="ORD10465"/>
    <s v="CUST1163"/>
    <s v="PROD104"/>
    <d v="2025-02-19T00:00:00"/>
    <m/>
    <d v="2025-02-19T00:00:00"/>
    <x v="0"/>
    <x v="1"/>
    <x v="3"/>
    <s v="Cancelled"/>
    <n v="1999.38"/>
    <x v="1"/>
    <x v="1"/>
    <x v="1"/>
    <s v="Order Cancelled"/>
    <x v="1"/>
    <x v="1"/>
    <s v="Customer_129"/>
    <x v="24"/>
    <s v="D"/>
  </r>
  <r>
    <s v="ORD10466"/>
    <s v="CUST1065"/>
    <s v="PROD126"/>
    <d v="2025-02-18T00:00:00"/>
    <m/>
    <d v="2025-02-20T00:00:00"/>
    <x v="0"/>
    <x v="2"/>
    <x v="1"/>
    <s v="Cancelled"/>
    <n v="1571.42"/>
    <x v="1"/>
    <x v="1"/>
    <x v="1"/>
    <s v="Order Cancelled"/>
    <x v="1"/>
    <x v="1"/>
    <s v="Customer_204"/>
    <x v="48"/>
    <s v="D"/>
  </r>
  <r>
    <s v="ORD10467"/>
    <s v="CUST1006"/>
    <s v="PROD146"/>
    <d v="2025-01-26T00:00:00"/>
    <d v="2025-02-01T00:00:00"/>
    <m/>
    <x v="2"/>
    <x v="3"/>
    <x v="2"/>
    <s v="Delivered"/>
    <n v="4369.28"/>
    <x v="2"/>
    <x v="2"/>
    <x v="0"/>
    <n v="6"/>
    <x v="0"/>
    <x v="2"/>
    <s v="Customer_218"/>
    <x v="31"/>
    <s v="B"/>
  </r>
  <r>
    <s v="ORD10468"/>
    <s v="CUST1214"/>
    <s v="PROD118"/>
    <d v="2025-02-01T00:00:00"/>
    <d v="2025-02-03T00:00:00"/>
    <m/>
    <x v="3"/>
    <x v="3"/>
    <x v="0"/>
    <s v="Delivered"/>
    <n v="1273.26"/>
    <x v="1"/>
    <x v="2"/>
    <x v="0"/>
    <n v="2"/>
    <x v="0"/>
    <x v="0"/>
    <s v="Customer_19"/>
    <x v="5"/>
    <s v="C"/>
  </r>
  <r>
    <s v="ORD10469"/>
    <s v="CUST1257"/>
    <s v="PROD108"/>
    <d v="2025-03-04T00:00:00"/>
    <d v="2025-03-09T00:00:00"/>
    <m/>
    <x v="3"/>
    <x v="3"/>
    <x v="3"/>
    <s v="Delivered"/>
    <n v="4823.47"/>
    <x v="3"/>
    <x v="4"/>
    <x v="0"/>
    <n v="5"/>
    <x v="0"/>
    <x v="2"/>
    <s v="Customer_29"/>
    <x v="14"/>
    <s v="C"/>
  </r>
  <r>
    <s v="ORD10470"/>
    <s v="CUST1126"/>
    <s v="PROD143"/>
    <d v="2025-01-08T00:00:00"/>
    <d v="2025-01-12T00:00:00"/>
    <m/>
    <x v="2"/>
    <x v="3"/>
    <x v="0"/>
    <s v="Delivered"/>
    <n v="258.33999999999997"/>
    <x v="2"/>
    <x v="3"/>
    <x v="0"/>
    <n v="4"/>
    <x v="0"/>
    <x v="2"/>
    <s v="Customer_215"/>
    <x v="22"/>
    <s v="B"/>
  </r>
  <r>
    <s v="ORD10471"/>
    <s v="CUST1262"/>
    <s v="PROD149"/>
    <d v="2025-01-29T00:00:00"/>
    <d v="2025-02-04T00:00:00"/>
    <m/>
    <x v="0"/>
    <x v="0"/>
    <x v="4"/>
    <s v="Delivered"/>
    <n v="4855.42"/>
    <x v="2"/>
    <x v="2"/>
    <x v="0"/>
    <n v="6"/>
    <x v="0"/>
    <x v="2"/>
    <s v="Customer_190"/>
    <x v="30"/>
    <s v="D"/>
  </r>
  <r>
    <s v="ORD10472"/>
    <s v="CUST1073"/>
    <s v="PROD118"/>
    <d v="2025-02-14T00:00:00"/>
    <m/>
    <d v="2025-02-15T00:00:00"/>
    <x v="3"/>
    <x v="0"/>
    <x v="1"/>
    <s v="Returned"/>
    <n v="407.17"/>
    <x v="1"/>
    <x v="1"/>
    <x v="1"/>
    <s v="Order Cancelled"/>
    <x v="1"/>
    <x v="1"/>
    <s v="Customer_186"/>
    <x v="5"/>
    <s v="C"/>
  </r>
  <r>
    <s v="ORD10473"/>
    <s v="CUST1029"/>
    <s v="PROD107"/>
    <d v="2025-04-18T00:00:00"/>
    <d v="2025-04-21T00:00:00"/>
    <m/>
    <x v="1"/>
    <x v="0"/>
    <x v="0"/>
    <s v="Cancelled"/>
    <n v="4477.49"/>
    <x v="0"/>
    <x v="0"/>
    <x v="0"/>
    <n v="3"/>
    <x v="0"/>
    <x v="2"/>
    <s v="Customer_202"/>
    <x v="8"/>
    <s v="A"/>
  </r>
  <r>
    <s v="ORD10474"/>
    <s v="CUST1055"/>
    <s v="PROD120"/>
    <d v="2025-02-12T00:00:00"/>
    <d v="2025-02-13T00:00:00"/>
    <m/>
    <x v="2"/>
    <x v="1"/>
    <x v="4"/>
    <s v="Cancelled"/>
    <n v="2732.97"/>
    <x v="1"/>
    <x v="2"/>
    <x v="0"/>
    <n v="1"/>
    <x v="0"/>
    <x v="0"/>
    <s v="Customer_113"/>
    <x v="9"/>
    <s v="B"/>
  </r>
  <r>
    <s v="ORD10475"/>
    <s v="CUST1145"/>
    <s v="PROD106"/>
    <d v="2025-01-15T00:00:00"/>
    <d v="2025-01-16T00:00:00"/>
    <m/>
    <x v="2"/>
    <x v="4"/>
    <x v="1"/>
    <s v="Cancelled"/>
    <n v="4966.2299999999996"/>
    <x v="2"/>
    <x v="3"/>
    <x v="0"/>
    <n v="1"/>
    <x v="0"/>
    <x v="0"/>
    <s v="Customer_233"/>
    <x v="43"/>
    <s v="B"/>
  </r>
  <r>
    <s v="ORD10476"/>
    <s v="CUST1003"/>
    <s v="PROD142"/>
    <d v="2025-01-22T00:00:00"/>
    <d v="2025-01-27T00:00:00"/>
    <m/>
    <x v="3"/>
    <x v="0"/>
    <x v="0"/>
    <s v="Cancelled"/>
    <n v="554.22"/>
    <x v="2"/>
    <x v="3"/>
    <x v="0"/>
    <n v="5"/>
    <x v="0"/>
    <x v="2"/>
    <s v="Customer_232"/>
    <x v="25"/>
    <s v="C"/>
  </r>
  <r>
    <s v="ORD10477"/>
    <s v="CUST1160"/>
    <s v="PROD148"/>
    <d v="2025-01-17T00:00:00"/>
    <d v="2025-01-21T00:00:00"/>
    <m/>
    <x v="2"/>
    <x v="2"/>
    <x v="4"/>
    <s v="Returned"/>
    <n v="2858.5"/>
    <x v="2"/>
    <x v="3"/>
    <x v="0"/>
    <n v="4"/>
    <x v="0"/>
    <x v="2"/>
    <s v="Customer_282"/>
    <x v="47"/>
    <s v="B"/>
  </r>
  <r>
    <s v="ORD10478"/>
    <s v="CUST1031"/>
    <s v="PROD131"/>
    <d v="2025-01-13T00:00:00"/>
    <m/>
    <d v="2025-01-15T00:00:00"/>
    <x v="0"/>
    <x v="3"/>
    <x v="0"/>
    <s v="Cancelled"/>
    <n v="4852.6499999999996"/>
    <x v="2"/>
    <x v="1"/>
    <x v="1"/>
    <s v="Order Cancelled"/>
    <x v="1"/>
    <x v="1"/>
    <s v="Customer_101"/>
    <x v="46"/>
    <s v="D"/>
  </r>
  <r>
    <s v="ORD10479"/>
    <s v="CUST1094"/>
    <s v="PROD119"/>
    <d v="2025-04-01T00:00:00"/>
    <d v="2025-04-06T00:00:00"/>
    <m/>
    <x v="0"/>
    <x v="4"/>
    <x v="0"/>
    <s v="Delivered"/>
    <n v="2710.87"/>
    <x v="0"/>
    <x v="0"/>
    <x v="0"/>
    <n v="5"/>
    <x v="0"/>
    <x v="2"/>
    <s v="Customer_104"/>
    <x v="45"/>
    <s v="D"/>
  </r>
  <r>
    <s v="ORD10480"/>
    <s v="CUST1136"/>
    <s v="PROD111"/>
    <d v="2025-01-21T00:00:00"/>
    <m/>
    <d v="2025-01-23T00:00:00"/>
    <x v="0"/>
    <x v="4"/>
    <x v="1"/>
    <s v="Returned"/>
    <n v="3221.11"/>
    <x v="2"/>
    <x v="1"/>
    <x v="1"/>
    <s v="Order Cancelled"/>
    <x v="1"/>
    <x v="1"/>
    <s v="Customer_103"/>
    <x v="44"/>
    <s v="D"/>
  </r>
  <r>
    <s v="ORD10481"/>
    <s v="CUST1268"/>
    <s v="PROD126"/>
    <d v="2025-04-09T00:00:00"/>
    <d v="2025-04-12T00:00:00"/>
    <m/>
    <x v="2"/>
    <x v="4"/>
    <x v="4"/>
    <s v="Cancelled"/>
    <n v="3539.59"/>
    <x v="0"/>
    <x v="0"/>
    <x v="0"/>
    <n v="3"/>
    <x v="0"/>
    <x v="2"/>
    <s v="Customer_201"/>
    <x v="48"/>
    <s v="B"/>
  </r>
  <r>
    <s v="ORD10482"/>
    <s v="CUST1078"/>
    <s v="PROD135"/>
    <d v="2025-01-04T00:00:00"/>
    <d v="2025-01-07T00:00:00"/>
    <m/>
    <x v="1"/>
    <x v="1"/>
    <x v="2"/>
    <s v="Returned"/>
    <n v="2381.8000000000002"/>
    <x v="2"/>
    <x v="3"/>
    <x v="0"/>
    <n v="3"/>
    <x v="0"/>
    <x v="2"/>
    <s v="Customer_283"/>
    <x v="32"/>
    <s v="A"/>
  </r>
  <r>
    <s v="ORD10483"/>
    <s v="CUST1094"/>
    <s v="PROD149"/>
    <d v="2025-04-21T00:00:00"/>
    <m/>
    <d v="2025-04-22T00:00:00"/>
    <x v="3"/>
    <x v="2"/>
    <x v="2"/>
    <s v="Returned"/>
    <n v="3212.28"/>
    <x v="0"/>
    <x v="1"/>
    <x v="1"/>
    <s v="Order Cancelled"/>
    <x v="1"/>
    <x v="1"/>
    <s v="Customer_104"/>
    <x v="30"/>
    <s v="C"/>
  </r>
  <r>
    <s v="ORD10484"/>
    <s v="CUST1160"/>
    <s v="PROD124"/>
    <d v="2025-04-11T00:00:00"/>
    <d v="2025-04-16T00:00:00"/>
    <m/>
    <x v="1"/>
    <x v="0"/>
    <x v="0"/>
    <s v="Returned"/>
    <n v="3004.71"/>
    <x v="0"/>
    <x v="0"/>
    <x v="0"/>
    <n v="5"/>
    <x v="0"/>
    <x v="2"/>
    <s v="Customer_282"/>
    <x v="0"/>
    <s v="A"/>
  </r>
  <r>
    <s v="ORD10485"/>
    <s v="CUST1113"/>
    <s v="PROD102"/>
    <d v="2025-01-31T00:00:00"/>
    <d v="2025-02-01T00:00:00"/>
    <m/>
    <x v="0"/>
    <x v="4"/>
    <x v="1"/>
    <s v="Delivered"/>
    <n v="4525.5600000000004"/>
    <x v="2"/>
    <x v="2"/>
    <x v="0"/>
    <n v="1"/>
    <x v="0"/>
    <x v="0"/>
    <s v="Customer_80"/>
    <x v="16"/>
    <s v="D"/>
  </r>
  <r>
    <s v="ORD10486"/>
    <s v="CUST1222"/>
    <s v="PROD117"/>
    <d v="2025-02-15T00:00:00"/>
    <m/>
    <d v="2025-02-16T00:00:00"/>
    <x v="1"/>
    <x v="1"/>
    <x v="4"/>
    <s v="Delivered"/>
    <n v="418.14"/>
    <x v="1"/>
    <x v="1"/>
    <x v="1"/>
    <s v="Order Cancelled"/>
    <x v="1"/>
    <x v="1"/>
    <s v="Customer_211"/>
    <x v="28"/>
    <s v="A"/>
  </r>
  <r>
    <s v="ORD10487"/>
    <s v="CUST1272"/>
    <s v="PROD120"/>
    <d v="2025-02-28T00:00:00"/>
    <m/>
    <d v="2025-03-01T00:00:00"/>
    <x v="3"/>
    <x v="1"/>
    <x v="4"/>
    <s v="Delivered"/>
    <n v="1548.62"/>
    <x v="1"/>
    <x v="1"/>
    <x v="1"/>
    <s v="Order Cancelled"/>
    <x v="1"/>
    <x v="1"/>
    <s v="Customer_146"/>
    <x v="9"/>
    <s v="C"/>
  </r>
  <r>
    <s v="ORD10488"/>
    <s v="CUST1265"/>
    <s v="PROD122"/>
    <d v="2025-01-25T00:00:00"/>
    <d v="2025-01-28T00:00:00"/>
    <m/>
    <x v="2"/>
    <x v="4"/>
    <x v="4"/>
    <s v="Cancelled"/>
    <n v="4761.9799999999996"/>
    <x v="2"/>
    <x v="3"/>
    <x v="0"/>
    <n v="3"/>
    <x v="0"/>
    <x v="2"/>
    <s v="Customer_54"/>
    <x v="6"/>
    <s v="B"/>
  </r>
  <r>
    <s v="ORD10489"/>
    <s v="CUST1062"/>
    <s v="PROD135"/>
    <d v="2025-03-19T00:00:00"/>
    <d v="2025-03-24T00:00:00"/>
    <m/>
    <x v="2"/>
    <x v="4"/>
    <x v="1"/>
    <s v="Cancelled"/>
    <n v="4473.2700000000004"/>
    <x v="3"/>
    <x v="4"/>
    <x v="0"/>
    <n v="5"/>
    <x v="0"/>
    <x v="2"/>
    <s v="Customer_260"/>
    <x v="32"/>
    <s v="B"/>
  </r>
  <r>
    <s v="ORD10490"/>
    <s v="CUST1257"/>
    <s v="PROD112"/>
    <d v="2025-02-09T00:00:00"/>
    <m/>
    <d v="2025-02-09T00:00:00"/>
    <x v="1"/>
    <x v="2"/>
    <x v="2"/>
    <s v="Delivered"/>
    <n v="2387.15"/>
    <x v="1"/>
    <x v="1"/>
    <x v="1"/>
    <s v="Order Cancelled"/>
    <x v="1"/>
    <x v="1"/>
    <s v="Customer_29"/>
    <x v="7"/>
    <s v="A"/>
  </r>
  <r>
    <s v="ORD10491"/>
    <s v="CUST1272"/>
    <s v="PROD115"/>
    <d v="2025-03-26T00:00:00"/>
    <m/>
    <d v="2025-03-26T00:00:00"/>
    <x v="2"/>
    <x v="4"/>
    <x v="2"/>
    <s v="Delivered"/>
    <n v="3176.64"/>
    <x v="3"/>
    <x v="1"/>
    <x v="1"/>
    <s v="Order Cancelled"/>
    <x v="1"/>
    <x v="1"/>
    <s v="Customer_146"/>
    <x v="12"/>
    <s v="B"/>
  </r>
  <r>
    <s v="ORD10492"/>
    <s v="CUST1178"/>
    <s v="PROD112"/>
    <d v="2025-01-16T00:00:00"/>
    <m/>
    <d v="2025-01-18T00:00:00"/>
    <x v="0"/>
    <x v="3"/>
    <x v="3"/>
    <s v="Delivered"/>
    <n v="1531.43"/>
    <x v="2"/>
    <x v="1"/>
    <x v="1"/>
    <s v="Order Cancelled"/>
    <x v="1"/>
    <x v="1"/>
    <s v="Customer_134"/>
    <x v="7"/>
    <s v="D"/>
  </r>
  <r>
    <s v="ORD10493"/>
    <s v="CUST1122"/>
    <s v="PROD104"/>
    <d v="2025-04-01T00:00:00"/>
    <d v="2025-04-02T00:00:00"/>
    <m/>
    <x v="1"/>
    <x v="3"/>
    <x v="2"/>
    <s v="Cancelled"/>
    <n v="1102.98"/>
    <x v="0"/>
    <x v="0"/>
    <x v="0"/>
    <n v="1"/>
    <x v="0"/>
    <x v="0"/>
    <s v="Customer_185"/>
    <x v="24"/>
    <s v="A"/>
  </r>
  <r>
    <s v="ORD10494"/>
    <s v="CUST1081"/>
    <s v="PROD114"/>
    <d v="2025-02-19T00:00:00"/>
    <d v="2025-02-24T00:00:00"/>
    <m/>
    <x v="3"/>
    <x v="4"/>
    <x v="0"/>
    <s v="Delivered"/>
    <n v="2425.75"/>
    <x v="1"/>
    <x v="2"/>
    <x v="0"/>
    <n v="5"/>
    <x v="0"/>
    <x v="2"/>
    <s v="Customer_47"/>
    <x v="18"/>
    <s v="C"/>
  </r>
  <r>
    <s v="ORD10495"/>
    <s v="CUST1155"/>
    <s v="PROD110"/>
    <d v="2025-01-15T00:00:00"/>
    <m/>
    <d v="2025-01-16T00:00:00"/>
    <x v="0"/>
    <x v="0"/>
    <x v="2"/>
    <s v="Cancelled"/>
    <n v="1896.09"/>
    <x v="2"/>
    <x v="1"/>
    <x v="1"/>
    <s v="Order Cancelled"/>
    <x v="1"/>
    <x v="1"/>
    <s v="Customer_69"/>
    <x v="11"/>
    <s v="D"/>
  </r>
  <r>
    <s v="ORD10496"/>
    <s v="CUST1022"/>
    <s v="PROD129"/>
    <d v="2025-01-02T00:00:00"/>
    <d v="2025-01-05T00:00:00"/>
    <m/>
    <x v="3"/>
    <x v="4"/>
    <x v="2"/>
    <s v="Cancelled"/>
    <n v="3001.55"/>
    <x v="2"/>
    <x v="3"/>
    <x v="0"/>
    <n v="3"/>
    <x v="0"/>
    <x v="2"/>
    <s v="Customer_217"/>
    <x v="4"/>
    <s v="C"/>
  </r>
  <r>
    <s v="ORD10497"/>
    <s v="CUST1119"/>
    <s v="PROD113"/>
    <d v="2025-01-14T00:00:00"/>
    <d v="2025-01-20T00:00:00"/>
    <m/>
    <x v="2"/>
    <x v="0"/>
    <x v="0"/>
    <s v="Returned"/>
    <n v="573.13"/>
    <x v="2"/>
    <x v="3"/>
    <x v="0"/>
    <n v="6"/>
    <x v="0"/>
    <x v="2"/>
    <s v="Customer_51"/>
    <x v="3"/>
    <s v="B"/>
  </r>
  <r>
    <s v="ORD10498"/>
    <s v="CUST1148"/>
    <s v="PROD101"/>
    <d v="2025-01-25T00:00:00"/>
    <m/>
    <d v="2025-01-26T00:00:00"/>
    <x v="3"/>
    <x v="4"/>
    <x v="1"/>
    <s v="Returned"/>
    <n v="4877.1000000000004"/>
    <x v="2"/>
    <x v="1"/>
    <x v="1"/>
    <s v="Order Cancelled"/>
    <x v="1"/>
    <x v="1"/>
    <s v="Customer_99"/>
    <x v="40"/>
    <s v="C"/>
  </r>
  <r>
    <s v="ORD10499"/>
    <s v="CUST1071"/>
    <s v="PROD103"/>
    <d v="2025-04-30T00:00:00"/>
    <d v="2025-05-03T00:00:00"/>
    <m/>
    <x v="2"/>
    <x v="2"/>
    <x v="3"/>
    <s v="Delivered"/>
    <n v="4933.8100000000004"/>
    <x v="0"/>
    <x v="5"/>
    <x v="0"/>
    <n v="3"/>
    <x v="0"/>
    <x v="2"/>
    <s v="Customer_132"/>
    <x v="19"/>
    <s v="B"/>
  </r>
  <r>
    <s v="ORD10500"/>
    <s v="CUST1099"/>
    <s v="PROD102"/>
    <d v="2025-03-12T00:00:00"/>
    <d v="2025-03-15T00:00:00"/>
    <m/>
    <x v="3"/>
    <x v="3"/>
    <x v="2"/>
    <s v="Returned"/>
    <n v="3551.18"/>
    <x v="3"/>
    <x v="4"/>
    <x v="0"/>
    <n v="3"/>
    <x v="0"/>
    <x v="2"/>
    <s v="Customer_280"/>
    <x v="16"/>
    <s v="C"/>
  </r>
  <r>
    <s v="ORD10501"/>
    <s v="CUST1132"/>
    <s v="PROD108"/>
    <d v="2025-04-02T00:00:00"/>
    <m/>
    <d v="2025-04-04T00:00:00"/>
    <x v="0"/>
    <x v="3"/>
    <x v="0"/>
    <s v="Returned"/>
    <n v="2773.26"/>
    <x v="0"/>
    <x v="1"/>
    <x v="1"/>
    <s v="Order Cancelled"/>
    <x v="1"/>
    <x v="1"/>
    <s v="Customer_44"/>
    <x v="14"/>
    <s v="D"/>
  </r>
  <r>
    <s v="ORD10502"/>
    <s v="CUST1274"/>
    <s v="PROD134"/>
    <d v="2025-01-24T00:00:00"/>
    <d v="2025-01-29T00:00:00"/>
    <m/>
    <x v="2"/>
    <x v="3"/>
    <x v="4"/>
    <s v="Returned"/>
    <n v="1685.73"/>
    <x v="2"/>
    <x v="3"/>
    <x v="0"/>
    <n v="5"/>
    <x v="0"/>
    <x v="2"/>
    <s v="Customer_48"/>
    <x v="37"/>
    <s v="B"/>
  </r>
  <r>
    <s v="ORD10503"/>
    <s v="CUST1263"/>
    <s v="PROD146"/>
    <d v="2025-04-26T00:00:00"/>
    <d v="2025-04-30T00:00:00"/>
    <m/>
    <x v="0"/>
    <x v="0"/>
    <x v="0"/>
    <s v="Returned"/>
    <n v="4106.22"/>
    <x v="0"/>
    <x v="0"/>
    <x v="0"/>
    <n v="4"/>
    <x v="0"/>
    <x v="2"/>
    <s v="Customer_6"/>
    <x v="31"/>
    <s v="D"/>
  </r>
  <r>
    <s v="ORD10504"/>
    <s v="CUST1226"/>
    <s v="PROD148"/>
    <d v="2025-04-08T00:00:00"/>
    <d v="2025-04-13T00:00:00"/>
    <m/>
    <x v="1"/>
    <x v="2"/>
    <x v="3"/>
    <s v="Cancelled"/>
    <n v="3486.71"/>
    <x v="0"/>
    <x v="0"/>
    <x v="0"/>
    <n v="5"/>
    <x v="0"/>
    <x v="2"/>
    <s v="Customer_219"/>
    <x v="47"/>
    <s v="A"/>
  </r>
  <r>
    <s v="ORD10505"/>
    <s v="CUST1031"/>
    <s v="PROD113"/>
    <d v="2025-02-21T00:00:00"/>
    <m/>
    <d v="2025-02-23T00:00:00"/>
    <x v="2"/>
    <x v="3"/>
    <x v="2"/>
    <s v="Returned"/>
    <n v="980.56"/>
    <x v="1"/>
    <x v="1"/>
    <x v="1"/>
    <s v="Order Cancelled"/>
    <x v="1"/>
    <x v="1"/>
    <s v="Customer_101"/>
    <x v="3"/>
    <s v="B"/>
  </r>
  <r>
    <s v="ORD10506"/>
    <s v="CUST1093"/>
    <s v="PROD136"/>
    <d v="2025-02-05T00:00:00"/>
    <d v="2025-02-06T00:00:00"/>
    <m/>
    <x v="2"/>
    <x v="1"/>
    <x v="2"/>
    <s v="Returned"/>
    <n v="4572.45"/>
    <x v="1"/>
    <x v="2"/>
    <x v="0"/>
    <n v="1"/>
    <x v="0"/>
    <x v="0"/>
    <s v="Customer_277"/>
    <x v="38"/>
    <s v="B"/>
  </r>
  <r>
    <s v="ORD10507"/>
    <s v="CUST1298"/>
    <s v="PROD129"/>
    <d v="2025-04-01T00:00:00"/>
    <d v="2025-04-06T00:00:00"/>
    <m/>
    <x v="0"/>
    <x v="2"/>
    <x v="2"/>
    <s v="Returned"/>
    <n v="4148.18"/>
    <x v="0"/>
    <x v="0"/>
    <x v="0"/>
    <n v="5"/>
    <x v="0"/>
    <x v="2"/>
    <s v="Customer_178"/>
    <x v="4"/>
    <s v="D"/>
  </r>
  <r>
    <s v="ORD10508"/>
    <s v="CUST1275"/>
    <s v="PROD140"/>
    <d v="2025-01-25T00:00:00"/>
    <d v="2025-01-26T00:00:00"/>
    <m/>
    <x v="1"/>
    <x v="0"/>
    <x v="1"/>
    <s v="Cancelled"/>
    <n v="4759.04"/>
    <x v="2"/>
    <x v="3"/>
    <x v="0"/>
    <n v="1"/>
    <x v="0"/>
    <x v="0"/>
    <s v="Customer_194"/>
    <x v="42"/>
    <s v="A"/>
  </r>
  <r>
    <s v="ORD10509"/>
    <s v="CUST1226"/>
    <s v="PROD121"/>
    <d v="2025-02-21T00:00:00"/>
    <m/>
    <d v="2025-02-23T00:00:00"/>
    <x v="1"/>
    <x v="1"/>
    <x v="4"/>
    <s v="Delivered"/>
    <n v="3683.45"/>
    <x v="1"/>
    <x v="1"/>
    <x v="1"/>
    <s v="Order Cancelled"/>
    <x v="1"/>
    <x v="1"/>
    <s v="Customer_219"/>
    <x v="20"/>
    <s v="A"/>
  </r>
  <r>
    <s v="ORD10510"/>
    <s v="CUST1108"/>
    <s v="PROD117"/>
    <d v="2025-01-12T00:00:00"/>
    <m/>
    <d v="2025-01-13T00:00:00"/>
    <x v="1"/>
    <x v="1"/>
    <x v="4"/>
    <s v="Returned"/>
    <n v="3144.39"/>
    <x v="2"/>
    <x v="1"/>
    <x v="1"/>
    <s v="Order Cancelled"/>
    <x v="1"/>
    <x v="1"/>
    <s v="Customer_199"/>
    <x v="28"/>
    <s v="A"/>
  </r>
  <r>
    <s v="ORD10511"/>
    <s v="CUST1047"/>
    <s v="PROD101"/>
    <d v="2025-03-31T00:00:00"/>
    <d v="2025-04-03T00:00:00"/>
    <m/>
    <x v="3"/>
    <x v="1"/>
    <x v="2"/>
    <s v="Returned"/>
    <n v="2207.5700000000002"/>
    <x v="3"/>
    <x v="0"/>
    <x v="0"/>
    <n v="3"/>
    <x v="0"/>
    <x v="2"/>
    <s v="Customer_105"/>
    <x v="40"/>
    <s v="C"/>
  </r>
  <r>
    <s v="ORD10512"/>
    <s v="CUST1019"/>
    <s v="PROD131"/>
    <d v="2025-03-12T00:00:00"/>
    <m/>
    <d v="2025-03-13T00:00:00"/>
    <x v="2"/>
    <x v="3"/>
    <x v="3"/>
    <s v="Cancelled"/>
    <n v="4677.1000000000004"/>
    <x v="3"/>
    <x v="1"/>
    <x v="1"/>
    <s v="Order Cancelled"/>
    <x v="1"/>
    <x v="1"/>
    <s v="Customer_65"/>
    <x v="46"/>
    <s v="B"/>
  </r>
  <r>
    <s v="ORD10513"/>
    <s v="CUST1009"/>
    <s v="PROD102"/>
    <d v="2025-01-17T00:00:00"/>
    <d v="2025-01-21T00:00:00"/>
    <m/>
    <x v="2"/>
    <x v="2"/>
    <x v="2"/>
    <s v="Cancelled"/>
    <n v="4357.1099999999997"/>
    <x v="2"/>
    <x v="3"/>
    <x v="0"/>
    <n v="4"/>
    <x v="0"/>
    <x v="2"/>
    <s v="Customer_254"/>
    <x v="16"/>
    <s v="B"/>
  </r>
  <r>
    <s v="ORD10514"/>
    <s v="CUST1126"/>
    <s v="PROD132"/>
    <d v="2025-01-16T00:00:00"/>
    <m/>
    <d v="2025-01-18T00:00:00"/>
    <x v="3"/>
    <x v="2"/>
    <x v="4"/>
    <s v="Returned"/>
    <n v="417.05"/>
    <x v="2"/>
    <x v="1"/>
    <x v="1"/>
    <s v="Order Cancelled"/>
    <x v="1"/>
    <x v="1"/>
    <s v="Customer_215"/>
    <x v="29"/>
    <s v="C"/>
  </r>
  <r>
    <s v="ORD10515"/>
    <s v="CUST1138"/>
    <s v="PROD125"/>
    <d v="2025-04-27T00:00:00"/>
    <d v="2025-04-29T00:00:00"/>
    <m/>
    <x v="1"/>
    <x v="1"/>
    <x v="2"/>
    <s v="Cancelled"/>
    <n v="326.56"/>
    <x v="0"/>
    <x v="0"/>
    <x v="0"/>
    <n v="2"/>
    <x v="0"/>
    <x v="0"/>
    <s v="Customer_93"/>
    <x v="26"/>
    <s v="A"/>
  </r>
  <r>
    <s v="ORD10516"/>
    <s v="CUST1002"/>
    <s v="PROD129"/>
    <d v="2025-03-26T00:00:00"/>
    <d v="2025-03-30T00:00:00"/>
    <m/>
    <x v="0"/>
    <x v="1"/>
    <x v="1"/>
    <s v="Cancelled"/>
    <n v="2007.02"/>
    <x v="3"/>
    <x v="4"/>
    <x v="0"/>
    <n v="4"/>
    <x v="0"/>
    <x v="2"/>
    <s v="Customer_209"/>
    <x v="4"/>
    <s v="D"/>
  </r>
  <r>
    <s v="ORD10517"/>
    <s v="CUST1178"/>
    <s v="PROD113"/>
    <d v="2025-03-24T00:00:00"/>
    <m/>
    <d v="2025-03-26T00:00:00"/>
    <x v="1"/>
    <x v="3"/>
    <x v="0"/>
    <s v="Cancelled"/>
    <n v="4090.66"/>
    <x v="3"/>
    <x v="1"/>
    <x v="1"/>
    <s v="Order Cancelled"/>
    <x v="1"/>
    <x v="1"/>
    <s v="Customer_134"/>
    <x v="3"/>
    <s v="A"/>
  </r>
  <r>
    <s v="ORD10518"/>
    <s v="CUST1033"/>
    <s v="PROD137"/>
    <d v="2025-04-29T00:00:00"/>
    <d v="2025-04-30T00:00:00"/>
    <m/>
    <x v="1"/>
    <x v="3"/>
    <x v="0"/>
    <s v="Returned"/>
    <n v="4938.93"/>
    <x v="0"/>
    <x v="0"/>
    <x v="0"/>
    <n v="1"/>
    <x v="0"/>
    <x v="0"/>
    <s v="Customer_250"/>
    <x v="33"/>
    <s v="A"/>
  </r>
  <r>
    <s v="ORD10519"/>
    <s v="CUST1227"/>
    <s v="PROD147"/>
    <d v="2025-01-18T00:00:00"/>
    <d v="2025-01-23T00:00:00"/>
    <m/>
    <x v="0"/>
    <x v="3"/>
    <x v="3"/>
    <s v="Delivered"/>
    <n v="922"/>
    <x v="2"/>
    <x v="3"/>
    <x v="0"/>
    <n v="5"/>
    <x v="0"/>
    <x v="2"/>
    <s v="Customer_68"/>
    <x v="1"/>
    <s v="D"/>
  </r>
  <r>
    <s v="ORD10520"/>
    <s v="CUST1138"/>
    <s v="PROD113"/>
    <d v="2025-04-03T00:00:00"/>
    <m/>
    <d v="2025-04-03T00:00:00"/>
    <x v="0"/>
    <x v="0"/>
    <x v="4"/>
    <s v="Returned"/>
    <n v="3051.83"/>
    <x v="0"/>
    <x v="1"/>
    <x v="1"/>
    <s v="Order Cancelled"/>
    <x v="1"/>
    <x v="1"/>
    <s v="Customer_93"/>
    <x v="3"/>
    <s v="D"/>
  </r>
  <r>
    <s v="ORD10521"/>
    <s v="CUST1146"/>
    <s v="PROD135"/>
    <d v="2025-03-20T00:00:00"/>
    <d v="2025-03-24T00:00:00"/>
    <m/>
    <x v="3"/>
    <x v="2"/>
    <x v="0"/>
    <s v="Returned"/>
    <n v="2028.28"/>
    <x v="3"/>
    <x v="4"/>
    <x v="0"/>
    <n v="4"/>
    <x v="0"/>
    <x v="2"/>
    <s v="Customer_161"/>
    <x v="32"/>
    <s v="C"/>
  </r>
  <r>
    <s v="ORD10522"/>
    <s v="CUST1102"/>
    <s v="PROD120"/>
    <d v="2025-02-07T00:00:00"/>
    <d v="2025-02-09T00:00:00"/>
    <m/>
    <x v="2"/>
    <x v="1"/>
    <x v="4"/>
    <s v="Delivered"/>
    <n v="4855.59"/>
    <x v="1"/>
    <x v="2"/>
    <x v="0"/>
    <n v="2"/>
    <x v="0"/>
    <x v="0"/>
    <s v="Customer_87"/>
    <x v="9"/>
    <s v="B"/>
  </r>
  <r>
    <s v="ORD10523"/>
    <s v="CUST1203"/>
    <s v="PROD117"/>
    <d v="2025-04-06T00:00:00"/>
    <m/>
    <d v="2025-04-08T00:00:00"/>
    <x v="2"/>
    <x v="4"/>
    <x v="4"/>
    <s v="Delivered"/>
    <n v="4242.17"/>
    <x v="0"/>
    <x v="1"/>
    <x v="1"/>
    <s v="Order Cancelled"/>
    <x v="1"/>
    <x v="1"/>
    <s v="Customer_4"/>
    <x v="28"/>
    <s v="B"/>
  </r>
  <r>
    <s v="ORD10524"/>
    <s v="CUST1145"/>
    <s v="PROD144"/>
    <d v="2025-04-13T00:00:00"/>
    <d v="2025-04-17T00:00:00"/>
    <m/>
    <x v="3"/>
    <x v="1"/>
    <x v="0"/>
    <s v="Returned"/>
    <n v="4223.9799999999996"/>
    <x v="0"/>
    <x v="0"/>
    <x v="0"/>
    <n v="4"/>
    <x v="0"/>
    <x v="2"/>
    <s v="Customer_233"/>
    <x v="39"/>
    <s v="C"/>
  </r>
  <r>
    <s v="ORD10525"/>
    <s v="CUST1145"/>
    <s v="PROD112"/>
    <d v="2025-04-07T00:00:00"/>
    <d v="2025-04-09T00:00:00"/>
    <m/>
    <x v="3"/>
    <x v="3"/>
    <x v="2"/>
    <s v="Cancelled"/>
    <n v="2449.73"/>
    <x v="0"/>
    <x v="0"/>
    <x v="0"/>
    <n v="2"/>
    <x v="0"/>
    <x v="0"/>
    <s v="Customer_233"/>
    <x v="7"/>
    <s v="C"/>
  </r>
  <r>
    <s v="ORD10526"/>
    <s v="CUST1042"/>
    <s v="PROD112"/>
    <d v="2025-03-27T00:00:00"/>
    <d v="2025-04-02T00:00:00"/>
    <m/>
    <x v="1"/>
    <x v="0"/>
    <x v="4"/>
    <s v="Delivered"/>
    <n v="2191.13"/>
    <x v="3"/>
    <x v="0"/>
    <x v="0"/>
    <n v="6"/>
    <x v="0"/>
    <x v="2"/>
    <s v="Customer_135"/>
    <x v="7"/>
    <s v="A"/>
  </r>
  <r>
    <s v="ORD10527"/>
    <s v="CUST1068"/>
    <s v="PROD119"/>
    <d v="2025-03-19T00:00:00"/>
    <m/>
    <d v="2025-03-21T00:00:00"/>
    <x v="2"/>
    <x v="1"/>
    <x v="0"/>
    <s v="Returned"/>
    <n v="1512.35"/>
    <x v="3"/>
    <x v="1"/>
    <x v="1"/>
    <s v="Order Cancelled"/>
    <x v="1"/>
    <x v="1"/>
    <s v="Customer_213"/>
    <x v="45"/>
    <s v="B"/>
  </r>
  <r>
    <s v="ORD10528"/>
    <s v="CUST1114"/>
    <s v="PROD115"/>
    <d v="2025-01-26T00:00:00"/>
    <d v="2025-01-29T00:00:00"/>
    <m/>
    <x v="1"/>
    <x v="4"/>
    <x v="0"/>
    <s v="Returned"/>
    <n v="470.6"/>
    <x v="2"/>
    <x v="3"/>
    <x v="0"/>
    <n v="3"/>
    <x v="0"/>
    <x v="2"/>
    <s v="Customer_21"/>
    <x v="12"/>
    <s v="A"/>
  </r>
  <r>
    <s v="ORD10529"/>
    <s v="CUST1287"/>
    <s v="PROD124"/>
    <d v="2025-04-05T00:00:00"/>
    <d v="2025-04-08T00:00:00"/>
    <m/>
    <x v="0"/>
    <x v="2"/>
    <x v="3"/>
    <s v="Delivered"/>
    <n v="4350.67"/>
    <x v="0"/>
    <x v="0"/>
    <x v="0"/>
    <n v="3"/>
    <x v="0"/>
    <x v="2"/>
    <s v="Customer_53"/>
    <x v="0"/>
    <s v="D"/>
  </r>
  <r>
    <s v="ORD10530"/>
    <s v="CUST1007"/>
    <s v="PROD139"/>
    <d v="2025-03-27T00:00:00"/>
    <d v="2025-03-30T00:00:00"/>
    <m/>
    <x v="0"/>
    <x v="3"/>
    <x v="1"/>
    <s v="Delivered"/>
    <n v="4101.92"/>
    <x v="3"/>
    <x v="4"/>
    <x v="0"/>
    <n v="3"/>
    <x v="0"/>
    <x v="2"/>
    <s v="Customer_16"/>
    <x v="10"/>
    <s v="D"/>
  </r>
  <r>
    <s v="ORD10531"/>
    <s v="CUST1024"/>
    <s v="PROD127"/>
    <d v="2025-03-24T00:00:00"/>
    <d v="2025-03-27T00:00:00"/>
    <m/>
    <x v="0"/>
    <x v="3"/>
    <x v="1"/>
    <s v="Cancelled"/>
    <n v="4998.6400000000003"/>
    <x v="3"/>
    <x v="4"/>
    <x v="0"/>
    <n v="3"/>
    <x v="0"/>
    <x v="2"/>
    <s v="Customer_266"/>
    <x v="36"/>
    <s v="D"/>
  </r>
  <r>
    <s v="ORD10532"/>
    <s v="CUST1017"/>
    <s v="PROD144"/>
    <d v="2025-02-23T00:00:00"/>
    <m/>
    <d v="2025-02-25T00:00:00"/>
    <x v="2"/>
    <x v="2"/>
    <x v="0"/>
    <s v="Delivered"/>
    <n v="4983.8599999999997"/>
    <x v="1"/>
    <x v="1"/>
    <x v="1"/>
    <s v="Order Cancelled"/>
    <x v="1"/>
    <x v="1"/>
    <s v="Customer_61"/>
    <x v="39"/>
    <s v="B"/>
  </r>
  <r>
    <s v="ORD10533"/>
    <s v="CUST1082"/>
    <s v="PROD120"/>
    <d v="2025-04-15T00:00:00"/>
    <d v="2025-04-17T00:00:00"/>
    <m/>
    <x v="3"/>
    <x v="2"/>
    <x v="3"/>
    <s v="Cancelled"/>
    <n v="2866.07"/>
    <x v="0"/>
    <x v="0"/>
    <x v="0"/>
    <n v="2"/>
    <x v="0"/>
    <x v="0"/>
    <s v="Customer_38"/>
    <x v="9"/>
    <s v="C"/>
  </r>
  <r>
    <s v="ORD10534"/>
    <s v="CUST1028"/>
    <s v="PROD146"/>
    <d v="2025-02-09T00:00:00"/>
    <d v="2025-02-14T00:00:00"/>
    <m/>
    <x v="1"/>
    <x v="0"/>
    <x v="3"/>
    <s v="Returned"/>
    <n v="3891.14"/>
    <x v="1"/>
    <x v="2"/>
    <x v="0"/>
    <n v="5"/>
    <x v="0"/>
    <x v="2"/>
    <s v="Customer_150"/>
    <x v="31"/>
    <s v="A"/>
  </r>
  <r>
    <s v="ORD10535"/>
    <s v="CUST1020"/>
    <s v="PROD129"/>
    <d v="2025-03-01T00:00:00"/>
    <d v="2025-03-02T00:00:00"/>
    <m/>
    <x v="1"/>
    <x v="2"/>
    <x v="0"/>
    <s v="Cancelled"/>
    <n v="4734.88"/>
    <x v="3"/>
    <x v="4"/>
    <x v="0"/>
    <n v="1"/>
    <x v="0"/>
    <x v="0"/>
    <s v="Customer_182"/>
    <x v="4"/>
    <s v="A"/>
  </r>
  <r>
    <s v="ORD10536"/>
    <s v="CUST1031"/>
    <s v="PROD147"/>
    <d v="2025-02-03T00:00:00"/>
    <m/>
    <d v="2025-02-05T00:00:00"/>
    <x v="2"/>
    <x v="2"/>
    <x v="2"/>
    <s v="Returned"/>
    <n v="4278.3100000000004"/>
    <x v="1"/>
    <x v="1"/>
    <x v="1"/>
    <s v="Order Cancelled"/>
    <x v="1"/>
    <x v="1"/>
    <s v="Customer_101"/>
    <x v="1"/>
    <s v="B"/>
  </r>
  <r>
    <s v="ORD10537"/>
    <s v="CUST1256"/>
    <s v="PROD119"/>
    <d v="2025-02-05T00:00:00"/>
    <m/>
    <d v="2025-02-05T00:00:00"/>
    <x v="3"/>
    <x v="3"/>
    <x v="4"/>
    <s v="Delivered"/>
    <n v="1387.27"/>
    <x v="1"/>
    <x v="1"/>
    <x v="1"/>
    <s v="Order Cancelled"/>
    <x v="1"/>
    <x v="1"/>
    <s v="Customer_245"/>
    <x v="45"/>
    <s v="C"/>
  </r>
  <r>
    <s v="ORD10538"/>
    <s v="CUST1209"/>
    <s v="PROD113"/>
    <d v="2025-03-17T00:00:00"/>
    <d v="2025-03-21T00:00:00"/>
    <m/>
    <x v="0"/>
    <x v="1"/>
    <x v="1"/>
    <s v="Cancelled"/>
    <n v="2362.61"/>
    <x v="3"/>
    <x v="4"/>
    <x v="0"/>
    <n v="4"/>
    <x v="0"/>
    <x v="2"/>
    <s v="Customer_240"/>
    <x v="3"/>
    <s v="D"/>
  </r>
  <r>
    <s v="ORD10539"/>
    <s v="CUST1147"/>
    <s v="PROD101"/>
    <d v="2025-02-11T00:00:00"/>
    <d v="2025-02-13T00:00:00"/>
    <m/>
    <x v="2"/>
    <x v="3"/>
    <x v="3"/>
    <s v="Returned"/>
    <n v="819.97"/>
    <x v="1"/>
    <x v="2"/>
    <x v="0"/>
    <n v="2"/>
    <x v="0"/>
    <x v="0"/>
    <s v="Customer_8"/>
    <x v="40"/>
    <s v="B"/>
  </r>
  <r>
    <s v="ORD10540"/>
    <s v="CUST1267"/>
    <s v="PROD109"/>
    <d v="2025-01-12T00:00:00"/>
    <d v="2025-01-14T00:00:00"/>
    <m/>
    <x v="3"/>
    <x v="0"/>
    <x v="2"/>
    <s v="Cancelled"/>
    <n v="4779.4399999999996"/>
    <x v="2"/>
    <x v="3"/>
    <x v="0"/>
    <n v="2"/>
    <x v="0"/>
    <x v="0"/>
    <s v="Customer_98"/>
    <x v="2"/>
    <s v="C"/>
  </r>
  <r>
    <s v="ORD10541"/>
    <s v="CUST1196"/>
    <s v="PROD121"/>
    <d v="2025-02-27T00:00:00"/>
    <m/>
    <d v="2025-03-01T00:00:00"/>
    <x v="2"/>
    <x v="0"/>
    <x v="1"/>
    <s v="Delivered"/>
    <n v="3109.64"/>
    <x v="1"/>
    <x v="1"/>
    <x v="1"/>
    <s v="Order Cancelled"/>
    <x v="1"/>
    <x v="1"/>
    <s v="Customer_264"/>
    <x v="20"/>
    <s v="B"/>
  </r>
  <r>
    <s v="ORD10542"/>
    <s v="CUST1116"/>
    <s v="PROD147"/>
    <d v="2025-04-14T00:00:00"/>
    <d v="2025-04-19T00:00:00"/>
    <m/>
    <x v="3"/>
    <x v="3"/>
    <x v="1"/>
    <s v="Returned"/>
    <n v="1297.49"/>
    <x v="0"/>
    <x v="0"/>
    <x v="0"/>
    <n v="5"/>
    <x v="0"/>
    <x v="2"/>
    <s v="Customer_223"/>
    <x v="1"/>
    <s v="C"/>
  </r>
  <r>
    <s v="ORD10543"/>
    <s v="CUST1254"/>
    <s v="PROD117"/>
    <d v="2025-05-01T00:00:00"/>
    <m/>
    <d v="2025-05-03T00:00:00"/>
    <x v="3"/>
    <x v="0"/>
    <x v="4"/>
    <s v="Returned"/>
    <n v="3424.16"/>
    <x v="4"/>
    <x v="1"/>
    <x v="1"/>
    <s v="Order Cancelled"/>
    <x v="1"/>
    <x v="1"/>
    <s v="Customer_85"/>
    <x v="28"/>
    <s v="C"/>
  </r>
  <r>
    <s v="ORD10544"/>
    <s v="CUST1149"/>
    <s v="PROD102"/>
    <d v="2025-03-06T00:00:00"/>
    <m/>
    <d v="2025-03-07T00:00:00"/>
    <x v="0"/>
    <x v="1"/>
    <x v="3"/>
    <s v="Returned"/>
    <n v="3167.02"/>
    <x v="3"/>
    <x v="1"/>
    <x v="1"/>
    <s v="Order Cancelled"/>
    <x v="1"/>
    <x v="1"/>
    <s v="Customer_12"/>
    <x v="16"/>
    <s v="D"/>
  </r>
  <r>
    <s v="ORD10545"/>
    <s v="CUST1185"/>
    <s v="PROD150"/>
    <d v="2025-01-17T00:00:00"/>
    <d v="2025-01-22T00:00:00"/>
    <m/>
    <x v="1"/>
    <x v="1"/>
    <x v="2"/>
    <s v="Cancelled"/>
    <n v="1919.18"/>
    <x v="2"/>
    <x v="3"/>
    <x v="0"/>
    <n v="5"/>
    <x v="0"/>
    <x v="2"/>
    <s v="Customer_225"/>
    <x v="23"/>
    <s v="A"/>
  </r>
  <r>
    <s v="ORD10546"/>
    <s v="CUST1062"/>
    <s v="PROD129"/>
    <d v="2025-03-28T00:00:00"/>
    <m/>
    <d v="2025-03-29T00:00:00"/>
    <x v="3"/>
    <x v="3"/>
    <x v="4"/>
    <s v="Returned"/>
    <n v="745.08"/>
    <x v="3"/>
    <x v="1"/>
    <x v="1"/>
    <s v="Order Cancelled"/>
    <x v="1"/>
    <x v="1"/>
    <s v="Customer_260"/>
    <x v="4"/>
    <s v="C"/>
  </r>
  <r>
    <s v="ORD10547"/>
    <s v="CUST1275"/>
    <s v="PROD136"/>
    <d v="2025-04-24T00:00:00"/>
    <d v="2025-04-26T00:00:00"/>
    <m/>
    <x v="0"/>
    <x v="2"/>
    <x v="0"/>
    <s v="Cancelled"/>
    <n v="3423.55"/>
    <x v="0"/>
    <x v="0"/>
    <x v="0"/>
    <n v="2"/>
    <x v="0"/>
    <x v="0"/>
    <s v="Customer_194"/>
    <x v="38"/>
    <s v="D"/>
  </r>
  <r>
    <s v="ORD10548"/>
    <s v="CUST1072"/>
    <s v="PROD117"/>
    <d v="2025-03-14T00:00:00"/>
    <d v="2025-03-15T00:00:00"/>
    <m/>
    <x v="3"/>
    <x v="1"/>
    <x v="3"/>
    <s v="Delivered"/>
    <n v="2697.48"/>
    <x v="3"/>
    <x v="4"/>
    <x v="0"/>
    <n v="1"/>
    <x v="0"/>
    <x v="0"/>
    <s v="Customer_192"/>
    <x v="28"/>
    <s v="C"/>
  </r>
  <r>
    <s v="ORD10549"/>
    <s v="CUST1260"/>
    <s v="PROD125"/>
    <d v="2025-03-15T00:00:00"/>
    <d v="2025-03-18T00:00:00"/>
    <m/>
    <x v="2"/>
    <x v="2"/>
    <x v="1"/>
    <s v="Delivered"/>
    <n v="3907.13"/>
    <x v="3"/>
    <x v="4"/>
    <x v="0"/>
    <n v="3"/>
    <x v="0"/>
    <x v="2"/>
    <s v="Customer_88"/>
    <x v="26"/>
    <s v="B"/>
  </r>
  <r>
    <s v="ORD10550"/>
    <s v="CUST1280"/>
    <s v="PROD135"/>
    <d v="2025-02-01T00:00:00"/>
    <d v="2025-02-05T00:00:00"/>
    <m/>
    <x v="2"/>
    <x v="4"/>
    <x v="0"/>
    <s v="Returned"/>
    <n v="2696.78"/>
    <x v="1"/>
    <x v="2"/>
    <x v="0"/>
    <n v="4"/>
    <x v="0"/>
    <x v="2"/>
    <s v="Customer_82"/>
    <x v="32"/>
    <s v="B"/>
  </r>
  <r>
    <s v="ORD10551"/>
    <s v="CUST1116"/>
    <s v="PROD124"/>
    <d v="2025-01-07T00:00:00"/>
    <d v="2025-01-11T00:00:00"/>
    <m/>
    <x v="1"/>
    <x v="1"/>
    <x v="0"/>
    <s v="Returned"/>
    <n v="4290.47"/>
    <x v="2"/>
    <x v="3"/>
    <x v="0"/>
    <n v="4"/>
    <x v="0"/>
    <x v="2"/>
    <s v="Customer_223"/>
    <x v="0"/>
    <s v="A"/>
  </r>
  <r>
    <s v="ORD10552"/>
    <s v="CUST1201"/>
    <s v="PROD150"/>
    <d v="2025-03-06T00:00:00"/>
    <d v="2025-03-10T00:00:00"/>
    <m/>
    <x v="0"/>
    <x v="2"/>
    <x v="1"/>
    <s v="Delivered"/>
    <n v="2849.15"/>
    <x v="3"/>
    <x v="4"/>
    <x v="0"/>
    <n v="4"/>
    <x v="0"/>
    <x v="2"/>
    <s v="Customer_24"/>
    <x v="23"/>
    <s v="D"/>
  </r>
  <r>
    <s v="ORD10553"/>
    <s v="CUST1264"/>
    <s v="PROD145"/>
    <d v="2025-04-04T00:00:00"/>
    <d v="2025-04-10T00:00:00"/>
    <m/>
    <x v="0"/>
    <x v="2"/>
    <x v="0"/>
    <s v="Returned"/>
    <n v="2892.5"/>
    <x v="0"/>
    <x v="0"/>
    <x v="0"/>
    <n v="6"/>
    <x v="0"/>
    <x v="2"/>
    <s v="Customer_173"/>
    <x v="27"/>
    <s v="D"/>
  </r>
  <r>
    <s v="ORD10554"/>
    <s v="CUST1048"/>
    <s v="PROD134"/>
    <d v="2025-03-31T00:00:00"/>
    <d v="2025-04-06T00:00:00"/>
    <m/>
    <x v="2"/>
    <x v="3"/>
    <x v="1"/>
    <s v="Delivered"/>
    <n v="4407.9399999999996"/>
    <x v="3"/>
    <x v="0"/>
    <x v="0"/>
    <n v="6"/>
    <x v="0"/>
    <x v="2"/>
    <s v="Customer_257"/>
    <x v="37"/>
    <s v="B"/>
  </r>
  <r>
    <s v="ORD10555"/>
    <s v="CUST1191"/>
    <s v="PROD134"/>
    <d v="2025-02-13T00:00:00"/>
    <d v="2025-02-17T00:00:00"/>
    <m/>
    <x v="1"/>
    <x v="1"/>
    <x v="1"/>
    <s v="Cancelled"/>
    <n v="2136.7199999999998"/>
    <x v="1"/>
    <x v="2"/>
    <x v="0"/>
    <n v="4"/>
    <x v="0"/>
    <x v="2"/>
    <s v="Customer_187"/>
    <x v="37"/>
    <s v="A"/>
  </r>
  <r>
    <s v="ORD10556"/>
    <s v="CUST1097"/>
    <s v="PROD145"/>
    <d v="2025-02-18T00:00:00"/>
    <d v="2025-02-20T00:00:00"/>
    <m/>
    <x v="1"/>
    <x v="4"/>
    <x v="4"/>
    <s v="Cancelled"/>
    <n v="843.27"/>
    <x v="1"/>
    <x v="2"/>
    <x v="0"/>
    <n v="2"/>
    <x v="0"/>
    <x v="0"/>
    <s v="Customer_273"/>
    <x v="27"/>
    <s v="A"/>
  </r>
  <r>
    <s v="ORD10557"/>
    <s v="CUST1132"/>
    <s v="PROD124"/>
    <d v="2025-04-07T00:00:00"/>
    <d v="2025-04-12T00:00:00"/>
    <m/>
    <x v="1"/>
    <x v="0"/>
    <x v="4"/>
    <s v="Cancelled"/>
    <n v="338.16"/>
    <x v="0"/>
    <x v="0"/>
    <x v="0"/>
    <n v="5"/>
    <x v="0"/>
    <x v="2"/>
    <s v="Customer_44"/>
    <x v="0"/>
    <s v="A"/>
  </r>
  <r>
    <s v="ORD10558"/>
    <s v="CUST1063"/>
    <s v="PROD136"/>
    <d v="2025-02-26T00:00:00"/>
    <d v="2025-03-02T00:00:00"/>
    <m/>
    <x v="1"/>
    <x v="0"/>
    <x v="4"/>
    <s v="Delivered"/>
    <n v="3824.66"/>
    <x v="1"/>
    <x v="4"/>
    <x v="0"/>
    <n v="4"/>
    <x v="0"/>
    <x v="2"/>
    <s v="Customer_81"/>
    <x v="38"/>
    <s v="A"/>
  </r>
  <r>
    <s v="ORD10559"/>
    <s v="CUST1191"/>
    <s v="PROD142"/>
    <d v="2025-01-05T00:00:00"/>
    <d v="2025-01-07T00:00:00"/>
    <m/>
    <x v="0"/>
    <x v="2"/>
    <x v="4"/>
    <s v="Cancelled"/>
    <n v="3177.49"/>
    <x v="2"/>
    <x v="3"/>
    <x v="0"/>
    <n v="2"/>
    <x v="0"/>
    <x v="0"/>
    <s v="Customer_187"/>
    <x v="25"/>
    <s v="D"/>
  </r>
  <r>
    <s v="ORD10560"/>
    <s v="CUST1195"/>
    <s v="PROD122"/>
    <d v="2025-03-06T00:00:00"/>
    <m/>
    <d v="2025-03-08T00:00:00"/>
    <x v="3"/>
    <x v="1"/>
    <x v="2"/>
    <s v="Returned"/>
    <n v="3579.58"/>
    <x v="3"/>
    <x v="1"/>
    <x v="1"/>
    <s v="Order Cancelled"/>
    <x v="1"/>
    <x v="1"/>
    <s v="Customer_121"/>
    <x v="6"/>
    <s v="C"/>
  </r>
  <r>
    <s v="ORD10561"/>
    <s v="CUST1064"/>
    <s v="PROD138"/>
    <d v="2025-01-16T00:00:00"/>
    <d v="2025-01-18T00:00:00"/>
    <m/>
    <x v="1"/>
    <x v="3"/>
    <x v="2"/>
    <s v="Delivered"/>
    <n v="1222.23"/>
    <x v="2"/>
    <x v="3"/>
    <x v="0"/>
    <n v="2"/>
    <x v="0"/>
    <x v="0"/>
    <s v="Customer_180"/>
    <x v="21"/>
    <s v="A"/>
  </r>
  <r>
    <s v="ORD10562"/>
    <s v="CUST1032"/>
    <s v="PROD135"/>
    <d v="2025-03-22T00:00:00"/>
    <d v="2025-03-26T00:00:00"/>
    <m/>
    <x v="1"/>
    <x v="3"/>
    <x v="0"/>
    <s v="Delivered"/>
    <n v="854.58"/>
    <x v="3"/>
    <x v="4"/>
    <x v="0"/>
    <n v="4"/>
    <x v="0"/>
    <x v="2"/>
    <s v="Customer_31"/>
    <x v="32"/>
    <s v="A"/>
  </r>
  <r>
    <s v="ORD10563"/>
    <s v="CUST1218"/>
    <s v="PROD108"/>
    <d v="2025-01-09T00:00:00"/>
    <d v="2025-01-14T00:00:00"/>
    <m/>
    <x v="0"/>
    <x v="0"/>
    <x v="1"/>
    <s v="Delivered"/>
    <n v="269.81"/>
    <x v="2"/>
    <x v="3"/>
    <x v="0"/>
    <n v="5"/>
    <x v="0"/>
    <x v="2"/>
    <s v="Customer_43"/>
    <x v="14"/>
    <s v="D"/>
  </r>
  <r>
    <s v="ORD10564"/>
    <s v="CUST1244"/>
    <s v="PROD114"/>
    <d v="2025-02-16T00:00:00"/>
    <d v="2025-02-19T00:00:00"/>
    <m/>
    <x v="0"/>
    <x v="3"/>
    <x v="3"/>
    <s v="Returned"/>
    <n v="1882.82"/>
    <x v="1"/>
    <x v="2"/>
    <x v="0"/>
    <n v="3"/>
    <x v="0"/>
    <x v="2"/>
    <s v="Customer_247"/>
    <x v="18"/>
    <s v="D"/>
  </r>
  <r>
    <s v="ORD10565"/>
    <s v="CUST1218"/>
    <s v="PROD114"/>
    <d v="2025-01-23T00:00:00"/>
    <m/>
    <d v="2025-01-23T00:00:00"/>
    <x v="2"/>
    <x v="0"/>
    <x v="4"/>
    <s v="Returned"/>
    <n v="3031.6"/>
    <x v="2"/>
    <x v="1"/>
    <x v="1"/>
    <s v="Order Cancelled"/>
    <x v="1"/>
    <x v="1"/>
    <s v="Customer_43"/>
    <x v="18"/>
    <s v="B"/>
  </r>
  <r>
    <s v="ORD10566"/>
    <s v="CUST1225"/>
    <s v="PROD118"/>
    <d v="2025-04-21T00:00:00"/>
    <m/>
    <d v="2025-04-21T00:00:00"/>
    <x v="3"/>
    <x v="3"/>
    <x v="4"/>
    <s v="Delivered"/>
    <n v="2082.77"/>
    <x v="0"/>
    <x v="1"/>
    <x v="1"/>
    <s v="Order Cancelled"/>
    <x v="1"/>
    <x v="1"/>
    <s v="Customer_152"/>
    <x v="5"/>
    <s v="C"/>
  </r>
  <r>
    <s v="ORD10567"/>
    <s v="CUST1058"/>
    <s v="PROD127"/>
    <d v="2025-03-30T00:00:00"/>
    <d v="2025-04-01T00:00:00"/>
    <m/>
    <x v="0"/>
    <x v="3"/>
    <x v="2"/>
    <s v="Cancelled"/>
    <n v="2299.88"/>
    <x v="3"/>
    <x v="0"/>
    <x v="0"/>
    <n v="2"/>
    <x v="0"/>
    <x v="0"/>
    <s v="Customer_97"/>
    <x v="36"/>
    <s v="D"/>
  </r>
  <r>
    <s v="ORD10568"/>
    <s v="CUST1051"/>
    <s v="PROD146"/>
    <d v="2025-01-26T00:00:00"/>
    <d v="2025-01-29T00:00:00"/>
    <m/>
    <x v="0"/>
    <x v="3"/>
    <x v="3"/>
    <s v="Delivered"/>
    <n v="4539.96"/>
    <x v="2"/>
    <x v="3"/>
    <x v="0"/>
    <n v="3"/>
    <x v="0"/>
    <x v="2"/>
    <s v="Customer_52"/>
    <x v="31"/>
    <s v="D"/>
  </r>
  <r>
    <s v="ORD10569"/>
    <s v="CUST1232"/>
    <s v="PROD126"/>
    <d v="2025-02-25T00:00:00"/>
    <d v="2025-02-28T00:00:00"/>
    <m/>
    <x v="1"/>
    <x v="0"/>
    <x v="1"/>
    <s v="Returned"/>
    <n v="1871.63"/>
    <x v="1"/>
    <x v="2"/>
    <x v="0"/>
    <n v="3"/>
    <x v="0"/>
    <x v="2"/>
    <s v="Customer_262"/>
    <x v="48"/>
    <s v="A"/>
  </r>
  <r>
    <s v="ORD10570"/>
    <s v="CUST1043"/>
    <s v="PROD110"/>
    <d v="2025-01-27T00:00:00"/>
    <d v="2025-01-30T00:00:00"/>
    <m/>
    <x v="0"/>
    <x v="2"/>
    <x v="4"/>
    <s v="Returned"/>
    <n v="2667.15"/>
    <x v="2"/>
    <x v="3"/>
    <x v="0"/>
    <n v="3"/>
    <x v="0"/>
    <x v="2"/>
    <s v="Customer_234"/>
    <x v="11"/>
    <s v="D"/>
  </r>
  <r>
    <s v="ORD10571"/>
    <s v="CUST1071"/>
    <s v="PROD110"/>
    <d v="2025-03-15T00:00:00"/>
    <m/>
    <d v="2025-03-16T00:00:00"/>
    <x v="2"/>
    <x v="4"/>
    <x v="4"/>
    <s v="Returned"/>
    <n v="3961.53"/>
    <x v="3"/>
    <x v="1"/>
    <x v="1"/>
    <s v="Order Cancelled"/>
    <x v="1"/>
    <x v="1"/>
    <s v="Customer_132"/>
    <x v="11"/>
    <s v="B"/>
  </r>
  <r>
    <s v="ORD10572"/>
    <s v="CUST1015"/>
    <s v="PROD148"/>
    <d v="2025-04-16T00:00:00"/>
    <d v="2025-04-17T00:00:00"/>
    <m/>
    <x v="3"/>
    <x v="2"/>
    <x v="2"/>
    <s v="Cancelled"/>
    <n v="2103.41"/>
    <x v="0"/>
    <x v="0"/>
    <x v="0"/>
    <n v="1"/>
    <x v="0"/>
    <x v="0"/>
    <s v="Customer_122"/>
    <x v="47"/>
    <s v="C"/>
  </r>
  <r>
    <s v="ORD10573"/>
    <s v="CUST1130"/>
    <s v="PROD102"/>
    <d v="2025-04-12T00:00:00"/>
    <d v="2025-04-17T00:00:00"/>
    <m/>
    <x v="1"/>
    <x v="1"/>
    <x v="1"/>
    <s v="Delivered"/>
    <n v="3186.02"/>
    <x v="0"/>
    <x v="0"/>
    <x v="0"/>
    <n v="5"/>
    <x v="0"/>
    <x v="2"/>
    <s v="Customer_207"/>
    <x v="16"/>
    <s v="A"/>
  </r>
  <r>
    <s v="ORD10574"/>
    <s v="CUST1186"/>
    <s v="PROD130"/>
    <d v="2025-01-25T00:00:00"/>
    <m/>
    <d v="2025-01-27T00:00:00"/>
    <x v="0"/>
    <x v="1"/>
    <x v="0"/>
    <s v="Returned"/>
    <n v="4339.3500000000004"/>
    <x v="2"/>
    <x v="1"/>
    <x v="1"/>
    <s v="Order Cancelled"/>
    <x v="1"/>
    <x v="1"/>
    <s v="Customer_59"/>
    <x v="35"/>
    <s v="D"/>
  </r>
  <r>
    <s v="ORD10575"/>
    <s v="CUST1100"/>
    <s v="PROD124"/>
    <d v="2025-02-08T00:00:00"/>
    <m/>
    <d v="2025-02-09T00:00:00"/>
    <x v="3"/>
    <x v="2"/>
    <x v="2"/>
    <s v="Returned"/>
    <n v="4757.7"/>
    <x v="1"/>
    <x v="1"/>
    <x v="1"/>
    <s v="Order Cancelled"/>
    <x v="1"/>
    <x v="1"/>
    <s v="Customer_269"/>
    <x v="0"/>
    <s v="C"/>
  </r>
  <r>
    <s v="ORD10576"/>
    <s v="CUST1291"/>
    <s v="PROD120"/>
    <d v="2025-03-27T00:00:00"/>
    <m/>
    <d v="2025-03-27T00:00:00"/>
    <x v="2"/>
    <x v="2"/>
    <x v="4"/>
    <s v="Returned"/>
    <n v="905.95"/>
    <x v="3"/>
    <x v="1"/>
    <x v="1"/>
    <s v="Order Cancelled"/>
    <x v="1"/>
    <x v="1"/>
    <s v="Customer_224"/>
    <x v="9"/>
    <s v="B"/>
  </r>
  <r>
    <s v="ORD10577"/>
    <s v="CUST1068"/>
    <s v="PROD125"/>
    <d v="2025-03-20T00:00:00"/>
    <d v="2025-03-25T00:00:00"/>
    <m/>
    <x v="2"/>
    <x v="1"/>
    <x v="2"/>
    <s v="Delivered"/>
    <n v="4647.62"/>
    <x v="3"/>
    <x v="4"/>
    <x v="0"/>
    <n v="5"/>
    <x v="0"/>
    <x v="2"/>
    <s v="Customer_213"/>
    <x v="26"/>
    <s v="B"/>
  </r>
  <r>
    <s v="ORD10578"/>
    <s v="CUST1277"/>
    <s v="PROD120"/>
    <d v="2025-03-06T00:00:00"/>
    <m/>
    <d v="2025-03-06T00:00:00"/>
    <x v="1"/>
    <x v="3"/>
    <x v="0"/>
    <s v="Returned"/>
    <n v="2562.16"/>
    <x v="3"/>
    <x v="1"/>
    <x v="1"/>
    <s v="Order Cancelled"/>
    <x v="1"/>
    <x v="1"/>
    <s v="Customer_147"/>
    <x v="9"/>
    <s v="A"/>
  </r>
  <r>
    <s v="ORD10579"/>
    <s v="CUST1271"/>
    <s v="PROD112"/>
    <d v="2025-01-13T00:00:00"/>
    <d v="2025-01-18T00:00:00"/>
    <m/>
    <x v="3"/>
    <x v="1"/>
    <x v="0"/>
    <s v="Delivered"/>
    <n v="1439.57"/>
    <x v="2"/>
    <x v="3"/>
    <x v="0"/>
    <n v="5"/>
    <x v="0"/>
    <x v="2"/>
    <s v="Customer_13"/>
    <x v="7"/>
    <s v="C"/>
  </r>
  <r>
    <s v="ORD10580"/>
    <s v="CUST1073"/>
    <s v="PROD110"/>
    <d v="2025-04-14T00:00:00"/>
    <m/>
    <d v="2025-04-16T00:00:00"/>
    <x v="0"/>
    <x v="3"/>
    <x v="3"/>
    <s v="Returned"/>
    <n v="2403.85"/>
    <x v="0"/>
    <x v="1"/>
    <x v="1"/>
    <s v="Order Cancelled"/>
    <x v="1"/>
    <x v="1"/>
    <s v="Customer_186"/>
    <x v="11"/>
    <s v="D"/>
  </r>
  <r>
    <s v="ORD10581"/>
    <s v="CUST1148"/>
    <s v="PROD139"/>
    <d v="2025-02-08T00:00:00"/>
    <m/>
    <d v="2025-02-10T00:00:00"/>
    <x v="3"/>
    <x v="0"/>
    <x v="0"/>
    <s v="Returned"/>
    <n v="4904.16"/>
    <x v="1"/>
    <x v="1"/>
    <x v="1"/>
    <s v="Order Cancelled"/>
    <x v="1"/>
    <x v="1"/>
    <s v="Customer_99"/>
    <x v="10"/>
    <s v="C"/>
  </r>
  <r>
    <s v="ORD10582"/>
    <s v="CUST1250"/>
    <s v="PROD104"/>
    <d v="2025-02-20T00:00:00"/>
    <d v="2025-02-26T00:00:00"/>
    <m/>
    <x v="2"/>
    <x v="3"/>
    <x v="1"/>
    <s v="Returned"/>
    <n v="2564.5700000000002"/>
    <x v="1"/>
    <x v="2"/>
    <x v="0"/>
    <n v="6"/>
    <x v="0"/>
    <x v="2"/>
    <s v="Customer_35"/>
    <x v="24"/>
    <s v="B"/>
  </r>
  <r>
    <s v="ORD10583"/>
    <s v="CUST1196"/>
    <s v="PROD118"/>
    <d v="2025-03-21T00:00:00"/>
    <m/>
    <d v="2025-03-22T00:00:00"/>
    <x v="3"/>
    <x v="3"/>
    <x v="3"/>
    <s v="Returned"/>
    <n v="1778.01"/>
    <x v="3"/>
    <x v="1"/>
    <x v="1"/>
    <s v="Order Cancelled"/>
    <x v="1"/>
    <x v="1"/>
    <s v="Customer_264"/>
    <x v="5"/>
    <s v="C"/>
  </r>
  <r>
    <s v="ORD10584"/>
    <s v="CUST1088"/>
    <s v="PROD107"/>
    <d v="2025-03-30T00:00:00"/>
    <d v="2025-04-04T00:00:00"/>
    <m/>
    <x v="1"/>
    <x v="2"/>
    <x v="1"/>
    <s v="Delivered"/>
    <n v="3240.32"/>
    <x v="3"/>
    <x v="0"/>
    <x v="0"/>
    <n v="5"/>
    <x v="0"/>
    <x v="2"/>
    <s v="Customer_197"/>
    <x v="8"/>
    <s v="A"/>
  </r>
  <r>
    <s v="ORD10585"/>
    <s v="CUST1299"/>
    <s v="PROD106"/>
    <d v="2025-03-23T00:00:00"/>
    <d v="2025-03-28T00:00:00"/>
    <m/>
    <x v="2"/>
    <x v="0"/>
    <x v="0"/>
    <s v="Delivered"/>
    <n v="1352.7"/>
    <x v="3"/>
    <x v="4"/>
    <x v="0"/>
    <n v="5"/>
    <x v="0"/>
    <x v="2"/>
    <s v="Customer_123"/>
    <x v="43"/>
    <s v="B"/>
  </r>
  <r>
    <s v="ORD10586"/>
    <s v="CUST1071"/>
    <s v="PROD127"/>
    <d v="2025-04-27T00:00:00"/>
    <d v="2025-05-02T00:00:00"/>
    <m/>
    <x v="1"/>
    <x v="3"/>
    <x v="3"/>
    <s v="Returned"/>
    <n v="564.14"/>
    <x v="0"/>
    <x v="5"/>
    <x v="0"/>
    <n v="5"/>
    <x v="0"/>
    <x v="2"/>
    <s v="Customer_132"/>
    <x v="36"/>
    <s v="A"/>
  </r>
  <r>
    <s v="ORD10587"/>
    <s v="CUST1104"/>
    <s v="PROD129"/>
    <d v="2025-02-18T00:00:00"/>
    <m/>
    <d v="2025-02-20T00:00:00"/>
    <x v="0"/>
    <x v="0"/>
    <x v="0"/>
    <s v="Returned"/>
    <n v="818.62"/>
    <x v="1"/>
    <x v="1"/>
    <x v="1"/>
    <s v="Order Cancelled"/>
    <x v="1"/>
    <x v="1"/>
    <s v="Customer_179"/>
    <x v="4"/>
    <s v="D"/>
  </r>
  <r>
    <s v="ORD10588"/>
    <s v="CUST1024"/>
    <s v="PROD134"/>
    <d v="2025-01-23T00:00:00"/>
    <d v="2025-01-29T00:00:00"/>
    <m/>
    <x v="0"/>
    <x v="3"/>
    <x v="4"/>
    <s v="Delivered"/>
    <n v="814.62"/>
    <x v="2"/>
    <x v="3"/>
    <x v="0"/>
    <n v="6"/>
    <x v="0"/>
    <x v="2"/>
    <s v="Customer_266"/>
    <x v="37"/>
    <s v="D"/>
  </r>
  <r>
    <s v="ORD10589"/>
    <s v="CUST1105"/>
    <s v="PROD114"/>
    <d v="2025-01-11T00:00:00"/>
    <m/>
    <d v="2025-01-11T00:00:00"/>
    <x v="1"/>
    <x v="4"/>
    <x v="4"/>
    <s v="Cancelled"/>
    <n v="929.13"/>
    <x v="2"/>
    <x v="1"/>
    <x v="1"/>
    <s v="Order Cancelled"/>
    <x v="1"/>
    <x v="1"/>
    <s v="Customer_11"/>
    <x v="18"/>
    <s v="A"/>
  </r>
  <r>
    <s v="ORD10590"/>
    <s v="CUST1115"/>
    <s v="PROD122"/>
    <d v="2025-04-27T00:00:00"/>
    <d v="2025-05-02T00:00:00"/>
    <m/>
    <x v="0"/>
    <x v="4"/>
    <x v="0"/>
    <s v="Delivered"/>
    <n v="866.37"/>
    <x v="0"/>
    <x v="5"/>
    <x v="0"/>
    <n v="5"/>
    <x v="0"/>
    <x v="2"/>
    <s v="Customer_76"/>
    <x v="6"/>
    <s v="D"/>
  </r>
  <r>
    <s v="ORD10591"/>
    <s v="CUST1286"/>
    <s v="PROD137"/>
    <d v="2025-01-23T00:00:00"/>
    <m/>
    <d v="2025-01-24T00:00:00"/>
    <x v="1"/>
    <x v="1"/>
    <x v="4"/>
    <s v="Cancelled"/>
    <n v="3276.2"/>
    <x v="2"/>
    <x v="1"/>
    <x v="1"/>
    <s v="Order Cancelled"/>
    <x v="1"/>
    <x v="1"/>
    <s v="Customer_77"/>
    <x v="33"/>
    <s v="A"/>
  </r>
  <r>
    <s v="ORD10592"/>
    <s v="CUST1166"/>
    <s v="PROD145"/>
    <d v="2025-01-27T00:00:00"/>
    <m/>
    <d v="2025-01-29T00:00:00"/>
    <x v="3"/>
    <x v="3"/>
    <x v="1"/>
    <s v="Delivered"/>
    <n v="1073.02"/>
    <x v="2"/>
    <x v="1"/>
    <x v="1"/>
    <s v="Order Cancelled"/>
    <x v="1"/>
    <x v="1"/>
    <s v="Customer_119"/>
    <x v="27"/>
    <s v="C"/>
  </r>
  <r>
    <s v="ORD10593"/>
    <s v="CUST1289"/>
    <s v="PROD140"/>
    <d v="2025-04-19T00:00:00"/>
    <m/>
    <d v="2025-04-20T00:00:00"/>
    <x v="1"/>
    <x v="4"/>
    <x v="3"/>
    <s v="Cancelled"/>
    <n v="1859.2"/>
    <x v="0"/>
    <x v="1"/>
    <x v="1"/>
    <s v="Order Cancelled"/>
    <x v="1"/>
    <x v="1"/>
    <s v="Customer_72"/>
    <x v="42"/>
    <s v="A"/>
  </r>
  <r>
    <s v="ORD10594"/>
    <s v="CUST1273"/>
    <s v="PROD149"/>
    <d v="2025-01-14T00:00:00"/>
    <d v="2025-01-17T00:00:00"/>
    <m/>
    <x v="2"/>
    <x v="2"/>
    <x v="3"/>
    <s v="Returned"/>
    <n v="4504.58"/>
    <x v="2"/>
    <x v="3"/>
    <x v="0"/>
    <n v="3"/>
    <x v="0"/>
    <x v="2"/>
    <s v="Customer_96"/>
    <x v="30"/>
    <s v="B"/>
  </r>
  <r>
    <s v="ORD10595"/>
    <s v="CUST1087"/>
    <s v="PROD106"/>
    <d v="2025-01-17T00:00:00"/>
    <d v="2025-01-20T00:00:00"/>
    <m/>
    <x v="3"/>
    <x v="3"/>
    <x v="4"/>
    <s v="Returned"/>
    <n v="2475.02"/>
    <x v="2"/>
    <x v="3"/>
    <x v="0"/>
    <n v="3"/>
    <x v="0"/>
    <x v="2"/>
    <s v="Customer_158"/>
    <x v="43"/>
    <s v="C"/>
  </r>
  <r>
    <s v="ORD10596"/>
    <s v="CUST1072"/>
    <s v="PROD135"/>
    <d v="2025-02-22T00:00:00"/>
    <d v="2025-02-26T00:00:00"/>
    <m/>
    <x v="0"/>
    <x v="1"/>
    <x v="1"/>
    <s v="Delivered"/>
    <n v="3404.28"/>
    <x v="1"/>
    <x v="2"/>
    <x v="0"/>
    <n v="4"/>
    <x v="0"/>
    <x v="2"/>
    <s v="Customer_192"/>
    <x v="32"/>
    <s v="D"/>
  </r>
  <r>
    <s v="ORD10597"/>
    <s v="CUST1143"/>
    <s v="PROD111"/>
    <d v="2025-03-29T00:00:00"/>
    <m/>
    <d v="2025-03-29T00:00:00"/>
    <x v="1"/>
    <x v="4"/>
    <x v="2"/>
    <s v="Cancelled"/>
    <n v="1027.1400000000001"/>
    <x v="3"/>
    <x v="1"/>
    <x v="1"/>
    <s v="Order Cancelled"/>
    <x v="1"/>
    <x v="1"/>
    <s v="Customer_5"/>
    <x v="44"/>
    <s v="A"/>
  </r>
  <r>
    <s v="ORD10598"/>
    <s v="CUST1023"/>
    <s v="PROD125"/>
    <d v="2025-03-29T00:00:00"/>
    <m/>
    <d v="2025-03-29T00:00:00"/>
    <x v="2"/>
    <x v="4"/>
    <x v="3"/>
    <s v="Returned"/>
    <n v="1122.99"/>
    <x v="3"/>
    <x v="1"/>
    <x v="1"/>
    <s v="Order Cancelled"/>
    <x v="1"/>
    <x v="1"/>
    <s v="Customer_177"/>
    <x v="26"/>
    <s v="B"/>
  </r>
  <r>
    <s v="ORD10599"/>
    <s v="CUST1219"/>
    <s v="PROD147"/>
    <d v="2025-02-27T00:00:00"/>
    <m/>
    <d v="2025-02-28T00:00:00"/>
    <x v="0"/>
    <x v="1"/>
    <x v="1"/>
    <s v="Delivered"/>
    <n v="396.17"/>
    <x v="1"/>
    <x v="1"/>
    <x v="1"/>
    <s v="Order Cancelled"/>
    <x v="1"/>
    <x v="1"/>
    <s v="Customer_229"/>
    <x v="1"/>
    <s v="D"/>
  </r>
  <r>
    <s v="ORD10600"/>
    <s v="CUST1002"/>
    <s v="PROD103"/>
    <d v="2025-01-17T00:00:00"/>
    <m/>
    <d v="2025-01-19T00:00:00"/>
    <x v="0"/>
    <x v="3"/>
    <x v="2"/>
    <s v="Delivered"/>
    <n v="1010.89"/>
    <x v="2"/>
    <x v="1"/>
    <x v="1"/>
    <s v="Order Cancelled"/>
    <x v="1"/>
    <x v="1"/>
    <s v="Customer_209"/>
    <x v="19"/>
    <s v="D"/>
  </r>
  <r>
    <s v="ORD10601"/>
    <s v="CUST1137"/>
    <s v="PROD148"/>
    <d v="2025-04-30T00:00:00"/>
    <m/>
    <d v="2025-04-30T00:00:00"/>
    <x v="1"/>
    <x v="4"/>
    <x v="3"/>
    <s v="Delivered"/>
    <n v="1537.23"/>
    <x v="0"/>
    <x v="1"/>
    <x v="1"/>
    <s v="Order Cancelled"/>
    <x v="1"/>
    <x v="1"/>
    <s v="Customer_263"/>
    <x v="47"/>
    <s v="A"/>
  </r>
  <r>
    <s v="ORD10602"/>
    <s v="CUST1211"/>
    <s v="PROD148"/>
    <d v="2025-04-12T00:00:00"/>
    <d v="2025-04-18T00:00:00"/>
    <m/>
    <x v="2"/>
    <x v="2"/>
    <x v="2"/>
    <s v="Returned"/>
    <n v="1049.6500000000001"/>
    <x v="0"/>
    <x v="0"/>
    <x v="0"/>
    <n v="6"/>
    <x v="0"/>
    <x v="2"/>
    <s v="Customer_100"/>
    <x v="47"/>
    <s v="B"/>
  </r>
  <r>
    <s v="ORD10603"/>
    <s v="CUST1142"/>
    <s v="PROD113"/>
    <d v="2025-01-28T00:00:00"/>
    <m/>
    <d v="2025-01-28T00:00:00"/>
    <x v="1"/>
    <x v="3"/>
    <x v="4"/>
    <s v="Cancelled"/>
    <n v="625.77"/>
    <x v="2"/>
    <x v="1"/>
    <x v="1"/>
    <s v="Order Cancelled"/>
    <x v="1"/>
    <x v="1"/>
    <s v="Customer_23"/>
    <x v="3"/>
    <s v="A"/>
  </r>
  <r>
    <s v="ORD10604"/>
    <s v="CUST1295"/>
    <s v="PROD105"/>
    <d v="2025-01-07T00:00:00"/>
    <d v="2025-01-08T00:00:00"/>
    <m/>
    <x v="2"/>
    <x v="1"/>
    <x v="2"/>
    <s v="Cancelled"/>
    <n v="779.05"/>
    <x v="2"/>
    <x v="3"/>
    <x v="0"/>
    <n v="1"/>
    <x v="0"/>
    <x v="0"/>
    <s v="Customer_172"/>
    <x v="17"/>
    <s v="B"/>
  </r>
  <r>
    <s v="ORD10605"/>
    <s v="CUST1017"/>
    <s v="PROD125"/>
    <d v="2025-01-26T00:00:00"/>
    <d v="2025-02-01T00:00:00"/>
    <m/>
    <x v="1"/>
    <x v="3"/>
    <x v="0"/>
    <s v="Returned"/>
    <n v="2411.7399999999998"/>
    <x v="2"/>
    <x v="2"/>
    <x v="0"/>
    <n v="6"/>
    <x v="0"/>
    <x v="2"/>
    <s v="Customer_61"/>
    <x v="26"/>
    <s v="A"/>
  </r>
  <r>
    <s v="ORD10606"/>
    <s v="CUST1040"/>
    <s v="PROD147"/>
    <d v="2025-01-13T00:00:00"/>
    <m/>
    <d v="2025-01-13T00:00:00"/>
    <x v="2"/>
    <x v="1"/>
    <x v="4"/>
    <s v="Cancelled"/>
    <n v="1190.4000000000001"/>
    <x v="2"/>
    <x v="1"/>
    <x v="1"/>
    <s v="Order Cancelled"/>
    <x v="1"/>
    <x v="1"/>
    <s v="Customer_235"/>
    <x v="1"/>
    <s v="B"/>
  </r>
  <r>
    <s v="ORD10607"/>
    <s v="CUST1256"/>
    <s v="PROD113"/>
    <d v="2025-01-03T00:00:00"/>
    <d v="2025-01-05T00:00:00"/>
    <m/>
    <x v="1"/>
    <x v="1"/>
    <x v="3"/>
    <s v="Cancelled"/>
    <n v="1948.5"/>
    <x v="2"/>
    <x v="3"/>
    <x v="0"/>
    <n v="2"/>
    <x v="0"/>
    <x v="0"/>
    <s v="Customer_245"/>
    <x v="3"/>
    <s v="A"/>
  </r>
  <r>
    <s v="ORD10608"/>
    <s v="CUST1226"/>
    <s v="PROD150"/>
    <d v="2025-01-06T00:00:00"/>
    <d v="2025-01-08T00:00:00"/>
    <m/>
    <x v="3"/>
    <x v="4"/>
    <x v="3"/>
    <s v="Cancelled"/>
    <n v="2616.4"/>
    <x v="2"/>
    <x v="3"/>
    <x v="0"/>
    <n v="2"/>
    <x v="0"/>
    <x v="0"/>
    <s v="Customer_219"/>
    <x v="23"/>
    <s v="C"/>
  </r>
  <r>
    <s v="ORD10609"/>
    <s v="CUST1163"/>
    <s v="PROD120"/>
    <d v="2025-03-03T00:00:00"/>
    <d v="2025-03-07T00:00:00"/>
    <m/>
    <x v="3"/>
    <x v="1"/>
    <x v="4"/>
    <s v="Cancelled"/>
    <n v="3513.9"/>
    <x v="3"/>
    <x v="4"/>
    <x v="0"/>
    <n v="4"/>
    <x v="0"/>
    <x v="2"/>
    <s v="Customer_129"/>
    <x v="9"/>
    <s v="C"/>
  </r>
  <r>
    <s v="ORD10610"/>
    <s v="CUST1262"/>
    <s v="PROD127"/>
    <d v="2025-01-12T00:00:00"/>
    <d v="2025-01-14T00:00:00"/>
    <m/>
    <x v="2"/>
    <x v="1"/>
    <x v="1"/>
    <s v="Returned"/>
    <n v="388.7"/>
    <x v="2"/>
    <x v="3"/>
    <x v="0"/>
    <n v="2"/>
    <x v="0"/>
    <x v="0"/>
    <s v="Customer_190"/>
    <x v="36"/>
    <s v="B"/>
  </r>
  <r>
    <s v="ORD10611"/>
    <s v="CUST1025"/>
    <s v="PROD139"/>
    <d v="2025-02-23T00:00:00"/>
    <m/>
    <d v="2025-02-23T00:00:00"/>
    <x v="3"/>
    <x v="1"/>
    <x v="4"/>
    <s v="Cancelled"/>
    <n v="4037.17"/>
    <x v="1"/>
    <x v="1"/>
    <x v="1"/>
    <s v="Order Cancelled"/>
    <x v="1"/>
    <x v="1"/>
    <s v="Customer_34"/>
    <x v="10"/>
    <s v="C"/>
  </r>
  <r>
    <s v="ORD10612"/>
    <s v="CUST1134"/>
    <s v="PROD136"/>
    <d v="2025-04-08T00:00:00"/>
    <m/>
    <d v="2025-04-08T00:00:00"/>
    <x v="3"/>
    <x v="1"/>
    <x v="2"/>
    <s v="Cancelled"/>
    <n v="3213.92"/>
    <x v="0"/>
    <x v="1"/>
    <x v="1"/>
    <s v="Order Cancelled"/>
    <x v="1"/>
    <x v="1"/>
    <s v="Customer_117"/>
    <x v="38"/>
    <s v="C"/>
  </r>
  <r>
    <s v="ORD10613"/>
    <s v="CUST1287"/>
    <s v="PROD107"/>
    <d v="2025-02-16T00:00:00"/>
    <d v="2025-02-17T00:00:00"/>
    <m/>
    <x v="1"/>
    <x v="4"/>
    <x v="3"/>
    <s v="Delivered"/>
    <n v="592.44000000000005"/>
    <x v="1"/>
    <x v="2"/>
    <x v="0"/>
    <n v="1"/>
    <x v="0"/>
    <x v="0"/>
    <s v="Customer_53"/>
    <x v="8"/>
    <s v="A"/>
  </r>
  <r>
    <s v="ORD10614"/>
    <s v="CUST1136"/>
    <s v="PROD125"/>
    <d v="2025-04-16T00:00:00"/>
    <d v="2025-04-21T00:00:00"/>
    <m/>
    <x v="3"/>
    <x v="2"/>
    <x v="1"/>
    <s v="Delivered"/>
    <n v="4393.18"/>
    <x v="0"/>
    <x v="0"/>
    <x v="0"/>
    <n v="5"/>
    <x v="0"/>
    <x v="2"/>
    <s v="Customer_103"/>
    <x v="26"/>
    <s v="C"/>
  </r>
  <r>
    <s v="ORD10615"/>
    <s v="CUST1182"/>
    <s v="PROD128"/>
    <d v="2025-02-22T00:00:00"/>
    <d v="2025-02-27T00:00:00"/>
    <m/>
    <x v="1"/>
    <x v="2"/>
    <x v="0"/>
    <s v="Returned"/>
    <n v="4620.1899999999996"/>
    <x v="1"/>
    <x v="2"/>
    <x v="0"/>
    <n v="5"/>
    <x v="0"/>
    <x v="2"/>
    <s v="Customer_239"/>
    <x v="15"/>
    <s v="A"/>
  </r>
  <r>
    <s v="ORD10616"/>
    <s v="CUST1216"/>
    <s v="PROD123"/>
    <d v="2025-02-01T00:00:00"/>
    <m/>
    <d v="2025-02-01T00:00:00"/>
    <x v="1"/>
    <x v="0"/>
    <x v="0"/>
    <s v="Delivered"/>
    <n v="493.17"/>
    <x v="1"/>
    <x v="1"/>
    <x v="1"/>
    <s v="Order Cancelled"/>
    <x v="1"/>
    <x v="1"/>
    <s v="Customer_15"/>
    <x v="49"/>
    <s v="A"/>
  </r>
  <r>
    <s v="ORD10617"/>
    <s v="CUST1187"/>
    <s v="PROD101"/>
    <d v="2025-01-03T00:00:00"/>
    <d v="2025-01-07T00:00:00"/>
    <m/>
    <x v="3"/>
    <x v="2"/>
    <x v="4"/>
    <s v="Cancelled"/>
    <n v="1529.01"/>
    <x v="2"/>
    <x v="3"/>
    <x v="0"/>
    <n v="4"/>
    <x v="0"/>
    <x v="2"/>
    <s v="Customer_84"/>
    <x v="40"/>
    <s v="C"/>
  </r>
  <r>
    <s v="ORD10618"/>
    <s v="CUST1072"/>
    <s v="PROD106"/>
    <d v="2025-04-16T00:00:00"/>
    <d v="2025-04-20T00:00:00"/>
    <m/>
    <x v="1"/>
    <x v="4"/>
    <x v="3"/>
    <s v="Cancelled"/>
    <n v="4069.77"/>
    <x v="0"/>
    <x v="0"/>
    <x v="0"/>
    <n v="4"/>
    <x v="0"/>
    <x v="2"/>
    <s v="Customer_192"/>
    <x v="43"/>
    <s v="A"/>
  </r>
  <r>
    <s v="ORD10619"/>
    <s v="CUST1228"/>
    <s v="PROD132"/>
    <d v="2025-04-27T00:00:00"/>
    <m/>
    <d v="2025-04-27T00:00:00"/>
    <x v="0"/>
    <x v="3"/>
    <x v="1"/>
    <s v="Cancelled"/>
    <n v="3791.65"/>
    <x v="0"/>
    <x v="1"/>
    <x v="1"/>
    <s v="Order Cancelled"/>
    <x v="1"/>
    <x v="1"/>
    <s v="Customer_91"/>
    <x v="29"/>
    <s v="D"/>
  </r>
  <r>
    <s v="ORD10620"/>
    <s v="CUST1134"/>
    <s v="PROD108"/>
    <d v="2025-04-14T00:00:00"/>
    <m/>
    <d v="2025-04-16T00:00:00"/>
    <x v="2"/>
    <x v="2"/>
    <x v="0"/>
    <s v="Cancelled"/>
    <n v="1085.7"/>
    <x v="0"/>
    <x v="1"/>
    <x v="1"/>
    <s v="Order Cancelled"/>
    <x v="1"/>
    <x v="1"/>
    <s v="Customer_117"/>
    <x v="14"/>
    <s v="B"/>
  </r>
  <r>
    <s v="ORD10621"/>
    <s v="CUST1070"/>
    <s v="PROD119"/>
    <d v="2025-01-31T00:00:00"/>
    <m/>
    <d v="2025-02-02T00:00:00"/>
    <x v="1"/>
    <x v="0"/>
    <x v="4"/>
    <s v="Returned"/>
    <n v="1204.8800000000001"/>
    <x v="2"/>
    <x v="1"/>
    <x v="1"/>
    <s v="Order Cancelled"/>
    <x v="1"/>
    <x v="1"/>
    <s v="Customer_231"/>
    <x v="45"/>
    <s v="A"/>
  </r>
  <r>
    <s v="ORD10622"/>
    <s v="CUST1297"/>
    <s v="PROD129"/>
    <d v="2025-01-13T00:00:00"/>
    <d v="2025-01-16T00:00:00"/>
    <m/>
    <x v="0"/>
    <x v="0"/>
    <x v="4"/>
    <s v="Cancelled"/>
    <n v="1978.27"/>
    <x v="2"/>
    <x v="3"/>
    <x v="0"/>
    <n v="3"/>
    <x v="0"/>
    <x v="2"/>
    <s v="Customer_140"/>
    <x v="4"/>
    <s v="D"/>
  </r>
  <r>
    <s v="ORD10623"/>
    <s v="CUST1094"/>
    <s v="PROD129"/>
    <d v="2025-01-28T00:00:00"/>
    <m/>
    <d v="2025-01-28T00:00:00"/>
    <x v="2"/>
    <x v="3"/>
    <x v="4"/>
    <s v="Returned"/>
    <n v="2525.71"/>
    <x v="2"/>
    <x v="1"/>
    <x v="1"/>
    <s v="Order Cancelled"/>
    <x v="1"/>
    <x v="1"/>
    <s v="Customer_104"/>
    <x v="4"/>
    <s v="B"/>
  </r>
  <r>
    <s v="ORD10624"/>
    <s v="CUST1148"/>
    <s v="PROD137"/>
    <d v="2025-01-19T00:00:00"/>
    <d v="2025-01-24T00:00:00"/>
    <m/>
    <x v="0"/>
    <x v="4"/>
    <x v="2"/>
    <s v="Returned"/>
    <n v="3167.62"/>
    <x v="2"/>
    <x v="3"/>
    <x v="0"/>
    <n v="5"/>
    <x v="0"/>
    <x v="2"/>
    <s v="Customer_99"/>
    <x v="33"/>
    <s v="D"/>
  </r>
  <r>
    <s v="ORD10625"/>
    <s v="CUST1028"/>
    <s v="PROD150"/>
    <d v="2025-05-01T00:00:00"/>
    <d v="2025-05-05T00:00:00"/>
    <m/>
    <x v="0"/>
    <x v="4"/>
    <x v="4"/>
    <s v="Delivered"/>
    <n v="1970.79"/>
    <x v="4"/>
    <x v="5"/>
    <x v="0"/>
    <n v="4"/>
    <x v="0"/>
    <x v="2"/>
    <s v="Customer_150"/>
    <x v="23"/>
    <s v="D"/>
  </r>
  <r>
    <s v="ORD10626"/>
    <s v="CUST1197"/>
    <s v="PROD125"/>
    <d v="2025-04-09T00:00:00"/>
    <d v="2025-04-15T00:00:00"/>
    <m/>
    <x v="0"/>
    <x v="2"/>
    <x v="1"/>
    <s v="Cancelled"/>
    <n v="2420.17"/>
    <x v="0"/>
    <x v="0"/>
    <x v="0"/>
    <n v="6"/>
    <x v="0"/>
    <x v="2"/>
    <s v="Customer_83"/>
    <x v="26"/>
    <s v="D"/>
  </r>
  <r>
    <s v="ORD10627"/>
    <s v="CUST1032"/>
    <s v="PROD117"/>
    <d v="2025-01-08T00:00:00"/>
    <m/>
    <d v="2025-01-10T00:00:00"/>
    <x v="0"/>
    <x v="4"/>
    <x v="1"/>
    <s v="Delivered"/>
    <n v="3787.86"/>
    <x v="2"/>
    <x v="1"/>
    <x v="1"/>
    <s v="Order Cancelled"/>
    <x v="1"/>
    <x v="1"/>
    <s v="Customer_31"/>
    <x v="28"/>
    <s v="D"/>
  </r>
  <r>
    <s v="ORD10628"/>
    <s v="CUST1112"/>
    <s v="PROD104"/>
    <d v="2025-03-17T00:00:00"/>
    <m/>
    <d v="2025-03-18T00:00:00"/>
    <x v="3"/>
    <x v="1"/>
    <x v="3"/>
    <s v="Delivered"/>
    <n v="376.08"/>
    <x v="3"/>
    <x v="1"/>
    <x v="1"/>
    <s v="Order Cancelled"/>
    <x v="1"/>
    <x v="1"/>
    <s v="Customer_169"/>
    <x v="24"/>
    <s v="C"/>
  </r>
  <r>
    <s v="ORD10629"/>
    <s v="CUST1077"/>
    <s v="PROD107"/>
    <d v="2025-03-18T00:00:00"/>
    <d v="2025-03-23T00:00:00"/>
    <m/>
    <x v="2"/>
    <x v="4"/>
    <x v="2"/>
    <s v="Returned"/>
    <n v="1411.7"/>
    <x v="3"/>
    <x v="4"/>
    <x v="0"/>
    <n v="5"/>
    <x v="0"/>
    <x v="2"/>
    <s v="Customer_159"/>
    <x v="8"/>
    <s v="B"/>
  </r>
  <r>
    <s v="ORD10630"/>
    <s v="CUST1003"/>
    <s v="PROD147"/>
    <d v="2025-03-12T00:00:00"/>
    <d v="2025-03-18T00:00:00"/>
    <m/>
    <x v="1"/>
    <x v="0"/>
    <x v="4"/>
    <s v="Delivered"/>
    <n v="3624.08"/>
    <x v="3"/>
    <x v="4"/>
    <x v="0"/>
    <n v="6"/>
    <x v="0"/>
    <x v="2"/>
    <s v="Customer_232"/>
    <x v="1"/>
    <s v="A"/>
  </r>
  <r>
    <s v="ORD10631"/>
    <s v="CUST1193"/>
    <s v="PROD126"/>
    <d v="2025-04-26T00:00:00"/>
    <d v="2025-04-28T00:00:00"/>
    <m/>
    <x v="3"/>
    <x v="4"/>
    <x v="3"/>
    <s v="Delivered"/>
    <n v="4496.99"/>
    <x v="0"/>
    <x v="0"/>
    <x v="0"/>
    <n v="2"/>
    <x v="0"/>
    <x v="0"/>
    <s v="Customer_265"/>
    <x v="48"/>
    <s v="C"/>
  </r>
  <r>
    <s v="ORD10632"/>
    <s v="CUST1228"/>
    <s v="PROD113"/>
    <d v="2025-02-12T00:00:00"/>
    <d v="2025-02-13T00:00:00"/>
    <m/>
    <x v="3"/>
    <x v="3"/>
    <x v="2"/>
    <s v="Cancelled"/>
    <n v="2656.05"/>
    <x v="1"/>
    <x v="2"/>
    <x v="0"/>
    <n v="1"/>
    <x v="0"/>
    <x v="0"/>
    <s v="Customer_91"/>
    <x v="3"/>
    <s v="C"/>
  </r>
  <r>
    <s v="ORD10633"/>
    <s v="CUST1092"/>
    <s v="PROD112"/>
    <d v="2025-04-16T00:00:00"/>
    <m/>
    <d v="2025-04-18T00:00:00"/>
    <x v="1"/>
    <x v="3"/>
    <x v="1"/>
    <s v="Delivered"/>
    <n v="2754.14"/>
    <x v="0"/>
    <x v="1"/>
    <x v="1"/>
    <s v="Order Cancelled"/>
    <x v="1"/>
    <x v="1"/>
    <s v="Customer_112"/>
    <x v="7"/>
    <s v="A"/>
  </r>
  <r>
    <s v="ORD10634"/>
    <s v="CUST1098"/>
    <s v="PROD113"/>
    <d v="2025-04-09T00:00:00"/>
    <d v="2025-04-11T00:00:00"/>
    <m/>
    <x v="2"/>
    <x v="2"/>
    <x v="4"/>
    <s v="Returned"/>
    <n v="714.43"/>
    <x v="0"/>
    <x v="0"/>
    <x v="0"/>
    <n v="2"/>
    <x v="0"/>
    <x v="0"/>
    <s v="Customer_66"/>
    <x v="3"/>
    <s v="B"/>
  </r>
  <r>
    <s v="ORD10635"/>
    <s v="CUST1126"/>
    <s v="PROD124"/>
    <d v="2025-01-30T00:00:00"/>
    <m/>
    <d v="2025-01-31T00:00:00"/>
    <x v="1"/>
    <x v="4"/>
    <x v="0"/>
    <s v="Cancelled"/>
    <n v="2347.58"/>
    <x v="2"/>
    <x v="1"/>
    <x v="1"/>
    <s v="Order Cancelled"/>
    <x v="1"/>
    <x v="1"/>
    <s v="Customer_215"/>
    <x v="0"/>
    <s v="A"/>
  </r>
  <r>
    <s v="ORD10636"/>
    <s v="CUST1101"/>
    <s v="PROD120"/>
    <d v="2025-01-22T00:00:00"/>
    <d v="2025-01-28T00:00:00"/>
    <m/>
    <x v="1"/>
    <x v="1"/>
    <x v="0"/>
    <s v="Cancelled"/>
    <n v="2756.56"/>
    <x v="2"/>
    <x v="3"/>
    <x v="0"/>
    <n v="6"/>
    <x v="0"/>
    <x v="2"/>
    <s v="Customer_108"/>
    <x v="9"/>
    <s v="A"/>
  </r>
  <r>
    <s v="ORD10637"/>
    <s v="CUST1164"/>
    <s v="PROD123"/>
    <d v="2025-01-11T00:00:00"/>
    <d v="2025-01-14T00:00:00"/>
    <m/>
    <x v="2"/>
    <x v="1"/>
    <x v="4"/>
    <s v="Cancelled"/>
    <n v="1363.86"/>
    <x v="2"/>
    <x v="3"/>
    <x v="0"/>
    <n v="3"/>
    <x v="0"/>
    <x v="2"/>
    <s v="Customer_2"/>
    <x v="49"/>
    <s v="B"/>
  </r>
  <r>
    <s v="ORD10638"/>
    <s v="CUST1149"/>
    <s v="PROD132"/>
    <d v="2025-03-09T00:00:00"/>
    <m/>
    <d v="2025-03-10T00:00:00"/>
    <x v="0"/>
    <x v="4"/>
    <x v="0"/>
    <s v="Cancelled"/>
    <n v="1492.37"/>
    <x v="3"/>
    <x v="1"/>
    <x v="1"/>
    <s v="Order Cancelled"/>
    <x v="1"/>
    <x v="1"/>
    <s v="Customer_12"/>
    <x v="29"/>
    <s v="D"/>
  </r>
  <r>
    <s v="ORD10639"/>
    <s v="CUST1212"/>
    <s v="PROD144"/>
    <d v="2025-03-14T00:00:00"/>
    <m/>
    <d v="2025-03-15T00:00:00"/>
    <x v="3"/>
    <x v="4"/>
    <x v="1"/>
    <s v="Returned"/>
    <n v="2010.96"/>
    <x v="3"/>
    <x v="1"/>
    <x v="1"/>
    <s v="Order Cancelled"/>
    <x v="1"/>
    <x v="1"/>
    <s v="Customer_279"/>
    <x v="39"/>
    <s v="C"/>
  </r>
  <r>
    <s v="ORD10640"/>
    <s v="CUST1192"/>
    <s v="PROD145"/>
    <d v="2025-01-04T00:00:00"/>
    <d v="2025-01-08T00:00:00"/>
    <m/>
    <x v="1"/>
    <x v="2"/>
    <x v="2"/>
    <s v="Returned"/>
    <n v="296.33999999999997"/>
    <x v="2"/>
    <x v="3"/>
    <x v="0"/>
    <n v="4"/>
    <x v="0"/>
    <x v="2"/>
    <s v="Customer_115"/>
    <x v="27"/>
    <s v="A"/>
  </r>
  <r>
    <s v="ORD10641"/>
    <s v="CUST1067"/>
    <s v="PROD122"/>
    <d v="2025-04-18T00:00:00"/>
    <d v="2025-04-23T00:00:00"/>
    <m/>
    <x v="1"/>
    <x v="2"/>
    <x v="2"/>
    <s v="Delivered"/>
    <n v="1745.98"/>
    <x v="0"/>
    <x v="0"/>
    <x v="0"/>
    <n v="5"/>
    <x v="0"/>
    <x v="2"/>
    <s v="Customer_46"/>
    <x v="6"/>
    <s v="A"/>
  </r>
  <r>
    <s v="ORD10642"/>
    <s v="CUST1171"/>
    <s v="PROD125"/>
    <d v="2025-03-15T00:00:00"/>
    <d v="2025-03-18T00:00:00"/>
    <m/>
    <x v="0"/>
    <x v="1"/>
    <x v="4"/>
    <s v="Cancelled"/>
    <n v="1214.95"/>
    <x v="3"/>
    <x v="4"/>
    <x v="0"/>
    <n v="3"/>
    <x v="0"/>
    <x v="2"/>
    <s v="Customer_130"/>
    <x v="26"/>
    <s v="D"/>
  </r>
  <r>
    <s v="ORD10643"/>
    <s v="CUST1022"/>
    <s v="PROD136"/>
    <d v="2025-04-27T00:00:00"/>
    <m/>
    <d v="2025-04-27T00:00:00"/>
    <x v="2"/>
    <x v="4"/>
    <x v="2"/>
    <s v="Cancelled"/>
    <n v="1771.99"/>
    <x v="0"/>
    <x v="1"/>
    <x v="1"/>
    <s v="Order Cancelled"/>
    <x v="1"/>
    <x v="1"/>
    <s v="Customer_217"/>
    <x v="38"/>
    <s v="B"/>
  </r>
  <r>
    <s v="ORD10644"/>
    <s v="CUST1041"/>
    <s v="PROD129"/>
    <d v="2025-02-02T00:00:00"/>
    <d v="2025-02-07T00:00:00"/>
    <m/>
    <x v="1"/>
    <x v="3"/>
    <x v="3"/>
    <s v="Delivered"/>
    <n v="774.86"/>
    <x v="1"/>
    <x v="2"/>
    <x v="0"/>
    <n v="5"/>
    <x v="0"/>
    <x v="2"/>
    <s v="Customer_249"/>
    <x v="4"/>
    <s v="A"/>
  </r>
  <r>
    <s v="ORD10645"/>
    <s v="CUST1106"/>
    <s v="PROD118"/>
    <d v="2025-02-19T00:00:00"/>
    <d v="2025-02-23T00:00:00"/>
    <m/>
    <x v="2"/>
    <x v="2"/>
    <x v="2"/>
    <s v="Delivered"/>
    <n v="4474.53"/>
    <x v="1"/>
    <x v="2"/>
    <x v="0"/>
    <n v="4"/>
    <x v="0"/>
    <x v="2"/>
    <s v="Customer_58"/>
    <x v="5"/>
    <s v="B"/>
  </r>
  <r>
    <s v="ORD10646"/>
    <s v="CUST1286"/>
    <s v="PROD139"/>
    <d v="2025-02-24T00:00:00"/>
    <d v="2025-02-28T00:00:00"/>
    <m/>
    <x v="0"/>
    <x v="4"/>
    <x v="0"/>
    <s v="Returned"/>
    <n v="3049.24"/>
    <x v="1"/>
    <x v="2"/>
    <x v="0"/>
    <n v="4"/>
    <x v="0"/>
    <x v="2"/>
    <s v="Customer_77"/>
    <x v="10"/>
    <s v="D"/>
  </r>
  <r>
    <s v="ORD10647"/>
    <s v="CUST1157"/>
    <s v="PROD116"/>
    <d v="2025-01-23T00:00:00"/>
    <d v="2025-01-27T00:00:00"/>
    <m/>
    <x v="3"/>
    <x v="2"/>
    <x v="1"/>
    <s v="Returned"/>
    <n v="3459.69"/>
    <x v="2"/>
    <x v="3"/>
    <x v="0"/>
    <n v="4"/>
    <x v="0"/>
    <x v="2"/>
    <s v="Customer_200"/>
    <x v="34"/>
    <s v="C"/>
  </r>
  <r>
    <s v="ORD10648"/>
    <s v="CUST1177"/>
    <s v="PROD133"/>
    <d v="2025-03-28T00:00:00"/>
    <d v="2025-04-02T00:00:00"/>
    <m/>
    <x v="1"/>
    <x v="1"/>
    <x v="3"/>
    <s v="Returned"/>
    <n v="3988.02"/>
    <x v="3"/>
    <x v="0"/>
    <x v="0"/>
    <n v="5"/>
    <x v="0"/>
    <x v="2"/>
    <s v="Customer_183"/>
    <x v="41"/>
    <s v="A"/>
  </r>
  <r>
    <s v="ORD10649"/>
    <s v="CUST1193"/>
    <s v="PROD112"/>
    <d v="2025-04-23T00:00:00"/>
    <m/>
    <d v="2025-04-24T00:00:00"/>
    <x v="3"/>
    <x v="4"/>
    <x v="4"/>
    <s v="Cancelled"/>
    <n v="2592.52"/>
    <x v="0"/>
    <x v="1"/>
    <x v="1"/>
    <s v="Order Cancelled"/>
    <x v="1"/>
    <x v="1"/>
    <s v="Customer_265"/>
    <x v="7"/>
    <s v="C"/>
  </r>
  <r>
    <s v="ORD10650"/>
    <s v="CUST1037"/>
    <s v="PROD137"/>
    <d v="2025-01-06T00:00:00"/>
    <d v="2025-01-09T00:00:00"/>
    <m/>
    <x v="1"/>
    <x v="0"/>
    <x v="4"/>
    <s v="Returned"/>
    <n v="617.22"/>
    <x v="2"/>
    <x v="3"/>
    <x v="0"/>
    <n v="3"/>
    <x v="0"/>
    <x v="2"/>
    <s v="Customer_222"/>
    <x v="33"/>
    <s v="A"/>
  </r>
  <r>
    <s v="ORD10651"/>
    <s v="CUST1097"/>
    <s v="PROD127"/>
    <d v="2025-04-14T00:00:00"/>
    <d v="2025-04-19T00:00:00"/>
    <m/>
    <x v="2"/>
    <x v="3"/>
    <x v="1"/>
    <s v="Delivered"/>
    <n v="2778.11"/>
    <x v="0"/>
    <x v="0"/>
    <x v="0"/>
    <n v="5"/>
    <x v="0"/>
    <x v="2"/>
    <s v="Customer_273"/>
    <x v="36"/>
    <s v="B"/>
  </r>
  <r>
    <s v="ORD10652"/>
    <s v="CUST1038"/>
    <s v="PROD131"/>
    <d v="2025-03-24T00:00:00"/>
    <m/>
    <d v="2025-03-25T00:00:00"/>
    <x v="2"/>
    <x v="0"/>
    <x v="0"/>
    <s v="Returned"/>
    <n v="3016.84"/>
    <x v="3"/>
    <x v="1"/>
    <x v="1"/>
    <s v="Order Cancelled"/>
    <x v="1"/>
    <x v="1"/>
    <s v="Customer_153"/>
    <x v="46"/>
    <s v="B"/>
  </r>
  <r>
    <s v="ORD10653"/>
    <s v="CUST1259"/>
    <s v="PROD127"/>
    <d v="2025-04-24T00:00:00"/>
    <d v="2025-04-27T00:00:00"/>
    <m/>
    <x v="0"/>
    <x v="0"/>
    <x v="3"/>
    <s v="Returned"/>
    <n v="3778.11"/>
    <x v="0"/>
    <x v="0"/>
    <x v="0"/>
    <n v="3"/>
    <x v="0"/>
    <x v="2"/>
    <s v="Customer_131"/>
    <x v="36"/>
    <s v="D"/>
  </r>
  <r>
    <s v="ORD10654"/>
    <s v="CUST1044"/>
    <s v="PROD128"/>
    <d v="2025-04-14T00:00:00"/>
    <d v="2025-04-16T00:00:00"/>
    <m/>
    <x v="3"/>
    <x v="3"/>
    <x v="4"/>
    <s v="Returned"/>
    <n v="2271.9699999999998"/>
    <x v="0"/>
    <x v="0"/>
    <x v="0"/>
    <n v="2"/>
    <x v="0"/>
    <x v="0"/>
    <s v="Customer_40"/>
    <x v="15"/>
    <s v="C"/>
  </r>
  <r>
    <s v="ORD10655"/>
    <s v="CUST1166"/>
    <s v="PROD104"/>
    <d v="2025-04-01T00:00:00"/>
    <d v="2025-04-05T00:00:00"/>
    <m/>
    <x v="2"/>
    <x v="4"/>
    <x v="4"/>
    <s v="Cancelled"/>
    <n v="812.39"/>
    <x v="0"/>
    <x v="0"/>
    <x v="0"/>
    <n v="4"/>
    <x v="0"/>
    <x v="2"/>
    <s v="Customer_119"/>
    <x v="24"/>
    <s v="B"/>
  </r>
  <r>
    <s v="ORD10656"/>
    <s v="CUST1087"/>
    <s v="PROD121"/>
    <d v="2025-02-05T00:00:00"/>
    <d v="2025-02-08T00:00:00"/>
    <m/>
    <x v="3"/>
    <x v="1"/>
    <x v="2"/>
    <s v="Delivered"/>
    <n v="1562.12"/>
    <x v="1"/>
    <x v="2"/>
    <x v="0"/>
    <n v="3"/>
    <x v="0"/>
    <x v="2"/>
    <s v="Customer_158"/>
    <x v="20"/>
    <s v="C"/>
  </r>
  <r>
    <s v="ORD10657"/>
    <s v="CUST1091"/>
    <s v="PROD138"/>
    <d v="2025-02-27T00:00:00"/>
    <d v="2025-03-03T00:00:00"/>
    <m/>
    <x v="2"/>
    <x v="4"/>
    <x v="4"/>
    <s v="Delivered"/>
    <n v="1942.8"/>
    <x v="1"/>
    <x v="4"/>
    <x v="0"/>
    <n v="4"/>
    <x v="0"/>
    <x v="2"/>
    <s v="Customer_73"/>
    <x v="21"/>
    <s v="B"/>
  </r>
  <r>
    <s v="ORD10658"/>
    <s v="CUST1198"/>
    <s v="PROD131"/>
    <d v="2025-01-14T00:00:00"/>
    <m/>
    <d v="2025-01-14T00:00:00"/>
    <x v="1"/>
    <x v="2"/>
    <x v="2"/>
    <s v="Returned"/>
    <n v="3300.4"/>
    <x v="2"/>
    <x v="1"/>
    <x v="1"/>
    <s v="Order Cancelled"/>
    <x v="1"/>
    <x v="1"/>
    <s v="Customer_107"/>
    <x v="46"/>
    <s v="A"/>
  </r>
  <r>
    <s v="ORD10659"/>
    <s v="CUST1134"/>
    <s v="PROD130"/>
    <d v="2025-04-25T00:00:00"/>
    <d v="2025-04-30T00:00:00"/>
    <m/>
    <x v="0"/>
    <x v="4"/>
    <x v="3"/>
    <s v="Delivered"/>
    <n v="2939.74"/>
    <x v="0"/>
    <x v="0"/>
    <x v="0"/>
    <n v="5"/>
    <x v="0"/>
    <x v="2"/>
    <s v="Customer_117"/>
    <x v="35"/>
    <s v="D"/>
  </r>
  <r>
    <s v="ORD10660"/>
    <s v="CUST1239"/>
    <s v="PROD139"/>
    <d v="2025-02-23T00:00:00"/>
    <d v="2025-02-28T00:00:00"/>
    <m/>
    <x v="1"/>
    <x v="3"/>
    <x v="3"/>
    <s v="Delivered"/>
    <n v="1909.26"/>
    <x v="1"/>
    <x v="2"/>
    <x v="0"/>
    <n v="5"/>
    <x v="0"/>
    <x v="2"/>
    <s v="Customer_36"/>
    <x v="10"/>
    <s v="A"/>
  </r>
  <r>
    <s v="ORD10661"/>
    <s v="CUST1107"/>
    <s v="PROD139"/>
    <d v="2025-04-26T00:00:00"/>
    <d v="2025-05-01T00:00:00"/>
    <m/>
    <x v="3"/>
    <x v="2"/>
    <x v="1"/>
    <s v="Cancelled"/>
    <n v="4935.2700000000004"/>
    <x v="0"/>
    <x v="5"/>
    <x v="0"/>
    <n v="5"/>
    <x v="0"/>
    <x v="2"/>
    <s v="Customer_248"/>
    <x v="10"/>
    <s v="C"/>
  </r>
  <r>
    <s v="ORD10662"/>
    <s v="CUST1206"/>
    <s v="PROD145"/>
    <d v="2025-02-20T00:00:00"/>
    <d v="2025-02-24T00:00:00"/>
    <m/>
    <x v="1"/>
    <x v="2"/>
    <x v="4"/>
    <s v="Returned"/>
    <n v="3107.72"/>
    <x v="1"/>
    <x v="2"/>
    <x v="0"/>
    <n v="4"/>
    <x v="0"/>
    <x v="2"/>
    <s v="Customer_30"/>
    <x v="27"/>
    <s v="A"/>
  </r>
  <r>
    <s v="ORD10663"/>
    <s v="CUST1220"/>
    <s v="PROD113"/>
    <d v="2025-02-10T00:00:00"/>
    <d v="2025-02-12T00:00:00"/>
    <m/>
    <x v="0"/>
    <x v="2"/>
    <x v="0"/>
    <s v="Delivered"/>
    <n v="1338.69"/>
    <x v="1"/>
    <x v="2"/>
    <x v="0"/>
    <n v="2"/>
    <x v="0"/>
    <x v="0"/>
    <s v="Customer_195"/>
    <x v="3"/>
    <s v="D"/>
  </r>
  <r>
    <s v="ORD10664"/>
    <s v="CUST1006"/>
    <s v="PROD107"/>
    <d v="2025-03-06T00:00:00"/>
    <m/>
    <d v="2025-03-06T00:00:00"/>
    <x v="3"/>
    <x v="4"/>
    <x v="2"/>
    <s v="Returned"/>
    <n v="688.56"/>
    <x v="3"/>
    <x v="1"/>
    <x v="1"/>
    <s v="Order Cancelled"/>
    <x v="1"/>
    <x v="1"/>
    <s v="Customer_218"/>
    <x v="8"/>
    <s v="C"/>
  </r>
  <r>
    <s v="ORD10665"/>
    <s v="CUST1267"/>
    <s v="PROD143"/>
    <d v="2025-03-19T00:00:00"/>
    <m/>
    <d v="2025-03-19T00:00:00"/>
    <x v="3"/>
    <x v="2"/>
    <x v="3"/>
    <s v="Delivered"/>
    <n v="933.72"/>
    <x v="3"/>
    <x v="1"/>
    <x v="1"/>
    <s v="Order Cancelled"/>
    <x v="1"/>
    <x v="1"/>
    <s v="Customer_98"/>
    <x v="22"/>
    <s v="C"/>
  </r>
  <r>
    <s v="ORD10666"/>
    <s v="CUST1173"/>
    <s v="PROD115"/>
    <d v="2025-01-19T00:00:00"/>
    <m/>
    <d v="2025-01-21T00:00:00"/>
    <x v="2"/>
    <x v="0"/>
    <x v="1"/>
    <s v="Returned"/>
    <n v="1380.6"/>
    <x v="2"/>
    <x v="1"/>
    <x v="1"/>
    <s v="Order Cancelled"/>
    <x v="1"/>
    <x v="1"/>
    <s v="Customer_144"/>
    <x v="12"/>
    <s v="B"/>
  </r>
  <r>
    <s v="ORD10667"/>
    <s v="CUST1255"/>
    <s v="PROD137"/>
    <d v="2025-04-04T00:00:00"/>
    <d v="2025-04-06T00:00:00"/>
    <m/>
    <x v="1"/>
    <x v="0"/>
    <x v="3"/>
    <s v="Delivered"/>
    <n v="971.27"/>
    <x v="0"/>
    <x v="0"/>
    <x v="0"/>
    <n v="2"/>
    <x v="0"/>
    <x v="0"/>
    <s v="Customer_127"/>
    <x v="33"/>
    <s v="A"/>
  </r>
  <r>
    <s v="ORD10668"/>
    <s v="CUST1128"/>
    <s v="PROD146"/>
    <d v="2025-03-17T00:00:00"/>
    <d v="2025-03-18T00:00:00"/>
    <m/>
    <x v="0"/>
    <x v="1"/>
    <x v="1"/>
    <s v="Cancelled"/>
    <n v="1095.52"/>
    <x v="3"/>
    <x v="4"/>
    <x v="0"/>
    <n v="1"/>
    <x v="0"/>
    <x v="0"/>
    <s v="Customer_255"/>
    <x v="31"/>
    <s v="D"/>
  </r>
  <r>
    <s v="ORD10669"/>
    <s v="CUST1059"/>
    <s v="PROD132"/>
    <d v="2025-03-29T00:00:00"/>
    <m/>
    <d v="2025-03-30T00:00:00"/>
    <x v="0"/>
    <x v="0"/>
    <x v="1"/>
    <s v="Delivered"/>
    <n v="1568.46"/>
    <x v="3"/>
    <x v="1"/>
    <x v="1"/>
    <s v="Order Cancelled"/>
    <x v="1"/>
    <x v="1"/>
    <s v="Customer_114"/>
    <x v="29"/>
    <s v="D"/>
  </r>
  <r>
    <s v="ORD10670"/>
    <s v="CUST1218"/>
    <s v="PROD115"/>
    <d v="2025-03-07T00:00:00"/>
    <d v="2025-03-10T00:00:00"/>
    <m/>
    <x v="0"/>
    <x v="1"/>
    <x v="1"/>
    <s v="Returned"/>
    <n v="1032.19"/>
    <x v="3"/>
    <x v="4"/>
    <x v="0"/>
    <n v="3"/>
    <x v="0"/>
    <x v="2"/>
    <s v="Customer_43"/>
    <x v="12"/>
    <s v="D"/>
  </r>
  <r>
    <s v="ORD10671"/>
    <s v="CUST1113"/>
    <s v="PROD117"/>
    <d v="2025-02-15T00:00:00"/>
    <d v="2025-02-20T00:00:00"/>
    <m/>
    <x v="2"/>
    <x v="2"/>
    <x v="2"/>
    <s v="Returned"/>
    <n v="4504.47"/>
    <x v="1"/>
    <x v="2"/>
    <x v="0"/>
    <n v="5"/>
    <x v="0"/>
    <x v="2"/>
    <s v="Customer_80"/>
    <x v="28"/>
    <s v="B"/>
  </r>
  <r>
    <s v="ORD10672"/>
    <s v="CUST1039"/>
    <s v="PROD145"/>
    <d v="2025-03-29T00:00:00"/>
    <m/>
    <d v="2025-03-30T00:00:00"/>
    <x v="2"/>
    <x v="1"/>
    <x v="3"/>
    <s v="Returned"/>
    <n v="585.12"/>
    <x v="3"/>
    <x v="1"/>
    <x v="1"/>
    <s v="Order Cancelled"/>
    <x v="1"/>
    <x v="1"/>
    <s v="Customer_67"/>
    <x v="27"/>
    <s v="B"/>
  </r>
  <r>
    <s v="ORD10673"/>
    <s v="CUST1144"/>
    <s v="PROD144"/>
    <d v="2025-03-10T00:00:00"/>
    <m/>
    <d v="2025-03-12T00:00:00"/>
    <x v="0"/>
    <x v="1"/>
    <x v="0"/>
    <s v="Delivered"/>
    <n v="2717.65"/>
    <x v="3"/>
    <x v="1"/>
    <x v="1"/>
    <s v="Order Cancelled"/>
    <x v="1"/>
    <x v="1"/>
    <s v="Customer_181"/>
    <x v="39"/>
    <s v="D"/>
  </r>
  <r>
    <s v="ORD10674"/>
    <s v="CUST1290"/>
    <s v="PROD125"/>
    <d v="2025-02-26T00:00:00"/>
    <m/>
    <d v="2025-02-28T00:00:00"/>
    <x v="1"/>
    <x v="3"/>
    <x v="4"/>
    <s v="Delivered"/>
    <n v="2169.9"/>
    <x v="1"/>
    <x v="1"/>
    <x v="1"/>
    <s v="Order Cancelled"/>
    <x v="1"/>
    <x v="1"/>
    <s v="Customer_56"/>
    <x v="26"/>
    <s v="A"/>
  </r>
  <r>
    <s v="ORD10675"/>
    <s v="CUST1255"/>
    <s v="PROD139"/>
    <d v="2025-03-06T00:00:00"/>
    <d v="2025-03-10T00:00:00"/>
    <m/>
    <x v="2"/>
    <x v="4"/>
    <x v="4"/>
    <s v="Returned"/>
    <n v="4915.42"/>
    <x v="3"/>
    <x v="4"/>
    <x v="0"/>
    <n v="4"/>
    <x v="0"/>
    <x v="2"/>
    <s v="Customer_127"/>
    <x v="10"/>
    <s v="B"/>
  </r>
  <r>
    <s v="ORD10676"/>
    <s v="CUST1193"/>
    <s v="PROD147"/>
    <d v="2025-04-21T00:00:00"/>
    <d v="2025-04-24T00:00:00"/>
    <m/>
    <x v="1"/>
    <x v="3"/>
    <x v="1"/>
    <s v="Delivered"/>
    <n v="737.79"/>
    <x v="0"/>
    <x v="0"/>
    <x v="0"/>
    <n v="3"/>
    <x v="0"/>
    <x v="2"/>
    <s v="Customer_265"/>
    <x v="1"/>
    <s v="A"/>
  </r>
  <r>
    <s v="ORD10677"/>
    <s v="CUST1123"/>
    <s v="PROD110"/>
    <d v="2025-02-13T00:00:00"/>
    <d v="2025-02-18T00:00:00"/>
    <m/>
    <x v="1"/>
    <x v="2"/>
    <x v="2"/>
    <s v="Cancelled"/>
    <n v="2109.71"/>
    <x v="1"/>
    <x v="2"/>
    <x v="0"/>
    <n v="5"/>
    <x v="0"/>
    <x v="2"/>
    <s v="Customer_212"/>
    <x v="11"/>
    <s v="A"/>
  </r>
  <r>
    <s v="ORD10678"/>
    <s v="CUST1259"/>
    <s v="PROD145"/>
    <d v="2025-02-24T00:00:00"/>
    <m/>
    <d v="2025-02-24T00:00:00"/>
    <x v="3"/>
    <x v="3"/>
    <x v="3"/>
    <s v="Cancelled"/>
    <n v="4853.46"/>
    <x v="1"/>
    <x v="1"/>
    <x v="1"/>
    <s v="Order Cancelled"/>
    <x v="1"/>
    <x v="1"/>
    <s v="Customer_131"/>
    <x v="27"/>
    <s v="C"/>
  </r>
  <r>
    <s v="ORD10679"/>
    <s v="CUST1260"/>
    <s v="PROD148"/>
    <d v="2025-01-26T00:00:00"/>
    <d v="2025-01-27T00:00:00"/>
    <m/>
    <x v="3"/>
    <x v="0"/>
    <x v="4"/>
    <s v="Delivered"/>
    <n v="4354.43"/>
    <x v="2"/>
    <x v="3"/>
    <x v="0"/>
    <n v="1"/>
    <x v="0"/>
    <x v="0"/>
    <s v="Customer_88"/>
    <x v="47"/>
    <s v="C"/>
  </r>
  <r>
    <s v="ORD10680"/>
    <s v="CUST1159"/>
    <s v="PROD107"/>
    <d v="2025-01-30T00:00:00"/>
    <d v="2025-01-31T00:00:00"/>
    <m/>
    <x v="2"/>
    <x v="0"/>
    <x v="4"/>
    <s v="Returned"/>
    <n v="4121.95"/>
    <x v="2"/>
    <x v="3"/>
    <x v="0"/>
    <n v="1"/>
    <x v="0"/>
    <x v="0"/>
    <s v="Customer_26"/>
    <x v="8"/>
    <s v="B"/>
  </r>
  <r>
    <s v="ORD10681"/>
    <s v="CUST1300"/>
    <s v="PROD122"/>
    <d v="2025-01-05T00:00:00"/>
    <d v="2025-01-06T00:00:00"/>
    <m/>
    <x v="3"/>
    <x v="4"/>
    <x v="4"/>
    <s v="Delivered"/>
    <n v="1437.93"/>
    <x v="2"/>
    <x v="3"/>
    <x v="0"/>
    <n v="1"/>
    <x v="0"/>
    <x v="0"/>
    <s v="Customer_9"/>
    <x v="6"/>
    <s v="C"/>
  </r>
  <r>
    <s v="ORD10682"/>
    <s v="CUST1263"/>
    <s v="PROD144"/>
    <d v="2025-02-03T00:00:00"/>
    <d v="2025-02-07T00:00:00"/>
    <m/>
    <x v="2"/>
    <x v="2"/>
    <x v="2"/>
    <s v="Cancelled"/>
    <n v="1020.26"/>
    <x v="1"/>
    <x v="2"/>
    <x v="0"/>
    <n v="4"/>
    <x v="0"/>
    <x v="2"/>
    <s v="Customer_6"/>
    <x v="39"/>
    <s v="B"/>
  </r>
  <r>
    <s v="ORD10683"/>
    <s v="CUST1096"/>
    <s v="PROD134"/>
    <d v="2025-02-23T00:00:00"/>
    <m/>
    <d v="2025-02-24T00:00:00"/>
    <x v="1"/>
    <x v="3"/>
    <x v="3"/>
    <s v="Delivered"/>
    <n v="3409.49"/>
    <x v="1"/>
    <x v="1"/>
    <x v="1"/>
    <s v="Order Cancelled"/>
    <x v="1"/>
    <x v="1"/>
    <s v="Customer_70"/>
    <x v="37"/>
    <s v="A"/>
  </r>
  <r>
    <s v="ORD10684"/>
    <s v="CUST1013"/>
    <s v="PROD108"/>
    <d v="2025-04-13T00:00:00"/>
    <m/>
    <d v="2025-04-15T00:00:00"/>
    <x v="0"/>
    <x v="1"/>
    <x v="1"/>
    <s v="Delivered"/>
    <n v="4661"/>
    <x v="0"/>
    <x v="1"/>
    <x v="1"/>
    <s v="Order Cancelled"/>
    <x v="1"/>
    <x v="1"/>
    <s v="Customer_163"/>
    <x v="14"/>
    <s v="D"/>
  </r>
  <r>
    <s v="ORD10685"/>
    <s v="CUST1097"/>
    <s v="PROD131"/>
    <d v="2025-04-02T00:00:00"/>
    <d v="2025-04-06T00:00:00"/>
    <m/>
    <x v="2"/>
    <x v="0"/>
    <x v="0"/>
    <s v="Returned"/>
    <n v="2872.46"/>
    <x v="0"/>
    <x v="0"/>
    <x v="0"/>
    <n v="4"/>
    <x v="0"/>
    <x v="2"/>
    <s v="Customer_273"/>
    <x v="46"/>
    <s v="B"/>
  </r>
  <r>
    <s v="ORD10686"/>
    <s v="CUST1232"/>
    <s v="PROD101"/>
    <d v="2025-03-25T00:00:00"/>
    <d v="2025-03-28T00:00:00"/>
    <m/>
    <x v="1"/>
    <x v="0"/>
    <x v="4"/>
    <s v="Cancelled"/>
    <n v="2943.74"/>
    <x v="3"/>
    <x v="4"/>
    <x v="0"/>
    <n v="3"/>
    <x v="0"/>
    <x v="2"/>
    <s v="Customer_262"/>
    <x v="40"/>
    <s v="A"/>
  </r>
  <r>
    <s v="ORD10687"/>
    <s v="CUST1227"/>
    <s v="PROD125"/>
    <d v="2025-03-01T00:00:00"/>
    <d v="2025-03-03T00:00:00"/>
    <m/>
    <x v="1"/>
    <x v="0"/>
    <x v="4"/>
    <s v="Delivered"/>
    <n v="1543.9"/>
    <x v="3"/>
    <x v="4"/>
    <x v="0"/>
    <n v="2"/>
    <x v="0"/>
    <x v="0"/>
    <s v="Customer_68"/>
    <x v="26"/>
    <s v="A"/>
  </r>
  <r>
    <s v="ORD10688"/>
    <s v="CUST1098"/>
    <s v="PROD133"/>
    <d v="2025-01-11T00:00:00"/>
    <m/>
    <d v="2025-01-13T00:00:00"/>
    <x v="3"/>
    <x v="0"/>
    <x v="3"/>
    <s v="Returned"/>
    <n v="3893.57"/>
    <x v="2"/>
    <x v="1"/>
    <x v="1"/>
    <s v="Order Cancelled"/>
    <x v="1"/>
    <x v="1"/>
    <s v="Customer_66"/>
    <x v="41"/>
    <s v="C"/>
  </r>
  <r>
    <s v="ORD10689"/>
    <s v="CUST1035"/>
    <s v="PROD135"/>
    <d v="2025-04-17T00:00:00"/>
    <m/>
    <d v="2025-04-18T00:00:00"/>
    <x v="0"/>
    <x v="0"/>
    <x v="2"/>
    <s v="Delivered"/>
    <n v="1097.81"/>
    <x v="0"/>
    <x v="1"/>
    <x v="1"/>
    <s v="Order Cancelled"/>
    <x v="1"/>
    <x v="1"/>
    <s v="Customer_0"/>
    <x v="32"/>
    <s v="D"/>
  </r>
  <r>
    <s v="ORD10690"/>
    <s v="CUST1183"/>
    <s v="PROD106"/>
    <d v="2025-03-29T00:00:00"/>
    <d v="2025-03-30T00:00:00"/>
    <m/>
    <x v="1"/>
    <x v="2"/>
    <x v="1"/>
    <s v="Returned"/>
    <n v="1753.66"/>
    <x v="3"/>
    <x v="4"/>
    <x v="0"/>
    <n v="1"/>
    <x v="0"/>
    <x v="0"/>
    <s v="Customer_203"/>
    <x v="43"/>
    <s v="A"/>
  </r>
  <r>
    <s v="ORD10691"/>
    <s v="CUST1157"/>
    <s v="PROD110"/>
    <d v="2025-03-08T00:00:00"/>
    <d v="2025-03-11T00:00:00"/>
    <m/>
    <x v="2"/>
    <x v="0"/>
    <x v="3"/>
    <s v="Delivered"/>
    <n v="2242.09"/>
    <x v="3"/>
    <x v="4"/>
    <x v="0"/>
    <n v="3"/>
    <x v="0"/>
    <x v="2"/>
    <s v="Customer_200"/>
    <x v="11"/>
    <s v="B"/>
  </r>
  <r>
    <s v="ORD10692"/>
    <s v="CUST1078"/>
    <s v="PROD148"/>
    <d v="2025-04-08T00:00:00"/>
    <m/>
    <d v="2025-04-08T00:00:00"/>
    <x v="1"/>
    <x v="4"/>
    <x v="4"/>
    <s v="Cancelled"/>
    <n v="2636.53"/>
    <x v="0"/>
    <x v="1"/>
    <x v="1"/>
    <s v="Order Cancelled"/>
    <x v="1"/>
    <x v="1"/>
    <s v="Customer_283"/>
    <x v="47"/>
    <s v="A"/>
  </r>
  <r>
    <s v="ORD10693"/>
    <s v="CUST1098"/>
    <s v="PROD113"/>
    <d v="2025-03-10T00:00:00"/>
    <d v="2025-03-13T00:00:00"/>
    <m/>
    <x v="3"/>
    <x v="0"/>
    <x v="4"/>
    <s v="Cancelled"/>
    <n v="1363.57"/>
    <x v="3"/>
    <x v="4"/>
    <x v="0"/>
    <n v="3"/>
    <x v="0"/>
    <x v="2"/>
    <s v="Customer_66"/>
    <x v="3"/>
    <s v="C"/>
  </r>
  <r>
    <s v="ORD10694"/>
    <s v="CUST1143"/>
    <s v="PROD130"/>
    <d v="2025-01-04T00:00:00"/>
    <m/>
    <d v="2025-01-06T00:00:00"/>
    <x v="0"/>
    <x v="4"/>
    <x v="0"/>
    <s v="Cancelled"/>
    <n v="751.22"/>
    <x v="2"/>
    <x v="1"/>
    <x v="1"/>
    <s v="Order Cancelled"/>
    <x v="1"/>
    <x v="1"/>
    <s v="Customer_5"/>
    <x v="35"/>
    <s v="D"/>
  </r>
  <r>
    <s v="ORD10695"/>
    <s v="CUST1095"/>
    <s v="PROD111"/>
    <d v="2025-01-08T00:00:00"/>
    <d v="2025-01-10T00:00:00"/>
    <m/>
    <x v="1"/>
    <x v="2"/>
    <x v="3"/>
    <s v="Delivered"/>
    <n v="3130.98"/>
    <x v="2"/>
    <x v="3"/>
    <x v="0"/>
    <n v="2"/>
    <x v="0"/>
    <x v="0"/>
    <s v="Customer_162"/>
    <x v="44"/>
    <s v="A"/>
  </r>
  <r>
    <s v="ORD10696"/>
    <s v="CUST1100"/>
    <s v="PROD148"/>
    <d v="2025-02-24T00:00:00"/>
    <m/>
    <d v="2025-02-24T00:00:00"/>
    <x v="1"/>
    <x v="0"/>
    <x v="1"/>
    <s v="Returned"/>
    <n v="1585.43"/>
    <x v="1"/>
    <x v="1"/>
    <x v="1"/>
    <s v="Order Cancelled"/>
    <x v="1"/>
    <x v="1"/>
    <s v="Customer_269"/>
    <x v="47"/>
    <s v="A"/>
  </r>
  <r>
    <s v="ORD10697"/>
    <s v="CUST1225"/>
    <s v="PROD135"/>
    <d v="2025-01-06T00:00:00"/>
    <m/>
    <d v="2025-01-08T00:00:00"/>
    <x v="3"/>
    <x v="1"/>
    <x v="1"/>
    <s v="Returned"/>
    <n v="2989.94"/>
    <x v="2"/>
    <x v="1"/>
    <x v="1"/>
    <s v="Order Cancelled"/>
    <x v="1"/>
    <x v="1"/>
    <s v="Customer_152"/>
    <x v="32"/>
    <s v="C"/>
  </r>
  <r>
    <s v="ORD10698"/>
    <s v="CUST1200"/>
    <s v="PROD138"/>
    <d v="2025-03-13T00:00:00"/>
    <d v="2025-03-17T00:00:00"/>
    <m/>
    <x v="3"/>
    <x v="3"/>
    <x v="1"/>
    <s v="Returned"/>
    <n v="940.94"/>
    <x v="3"/>
    <x v="4"/>
    <x v="0"/>
    <n v="4"/>
    <x v="0"/>
    <x v="2"/>
    <s v="Customer_142"/>
    <x v="21"/>
    <s v="C"/>
  </r>
  <r>
    <s v="ORD10699"/>
    <s v="CUST1268"/>
    <s v="PROD146"/>
    <d v="2025-04-18T00:00:00"/>
    <d v="2025-04-22T00:00:00"/>
    <m/>
    <x v="3"/>
    <x v="4"/>
    <x v="0"/>
    <s v="Returned"/>
    <n v="2509.4699999999998"/>
    <x v="0"/>
    <x v="0"/>
    <x v="0"/>
    <n v="4"/>
    <x v="0"/>
    <x v="2"/>
    <s v="Customer_201"/>
    <x v="31"/>
    <s v="C"/>
  </r>
  <r>
    <s v="ORD10700"/>
    <s v="CUST1291"/>
    <s v="PROD123"/>
    <d v="2025-03-17T00:00:00"/>
    <d v="2025-03-22T00:00:00"/>
    <m/>
    <x v="2"/>
    <x v="3"/>
    <x v="1"/>
    <s v="Cancelled"/>
    <n v="2756.43"/>
    <x v="3"/>
    <x v="4"/>
    <x v="0"/>
    <n v="5"/>
    <x v="0"/>
    <x v="2"/>
    <s v="Customer_224"/>
    <x v="49"/>
    <s v="B"/>
  </r>
  <r>
    <s v="ORD10701"/>
    <s v="CUST1262"/>
    <s v="PROD115"/>
    <d v="2025-02-01T00:00:00"/>
    <d v="2025-02-04T00:00:00"/>
    <m/>
    <x v="3"/>
    <x v="1"/>
    <x v="3"/>
    <s v="Returned"/>
    <n v="448.75"/>
    <x v="1"/>
    <x v="2"/>
    <x v="0"/>
    <n v="3"/>
    <x v="0"/>
    <x v="2"/>
    <s v="Customer_190"/>
    <x v="12"/>
    <s v="C"/>
  </r>
  <r>
    <s v="ORD10702"/>
    <s v="CUST1228"/>
    <s v="PROD139"/>
    <d v="2025-01-10T00:00:00"/>
    <d v="2025-01-15T00:00:00"/>
    <m/>
    <x v="2"/>
    <x v="2"/>
    <x v="0"/>
    <s v="Delivered"/>
    <n v="1815.7"/>
    <x v="2"/>
    <x v="3"/>
    <x v="0"/>
    <n v="5"/>
    <x v="0"/>
    <x v="2"/>
    <s v="Customer_91"/>
    <x v="10"/>
    <s v="B"/>
  </r>
  <r>
    <s v="ORD10703"/>
    <s v="CUST1004"/>
    <s v="PROD138"/>
    <d v="2025-04-24T00:00:00"/>
    <d v="2025-04-26T00:00:00"/>
    <m/>
    <x v="1"/>
    <x v="0"/>
    <x v="3"/>
    <s v="Cancelled"/>
    <n v="845.19"/>
    <x v="0"/>
    <x v="0"/>
    <x v="0"/>
    <n v="2"/>
    <x v="0"/>
    <x v="0"/>
    <s v="Customer_261"/>
    <x v="21"/>
    <s v="A"/>
  </r>
  <r>
    <s v="ORD10704"/>
    <s v="CUST1001"/>
    <s v="PROD115"/>
    <d v="2025-01-26T00:00:00"/>
    <d v="2025-01-30T00:00:00"/>
    <m/>
    <x v="0"/>
    <x v="2"/>
    <x v="2"/>
    <s v="Cancelled"/>
    <n v="504.2"/>
    <x v="2"/>
    <x v="3"/>
    <x v="0"/>
    <n v="4"/>
    <x v="0"/>
    <x v="2"/>
    <s v="Customer_284"/>
    <x v="12"/>
    <s v="D"/>
  </r>
  <r>
    <s v="ORD10705"/>
    <s v="CUST1291"/>
    <s v="PROD126"/>
    <d v="2025-03-28T00:00:00"/>
    <m/>
    <d v="2025-03-28T00:00:00"/>
    <x v="1"/>
    <x v="3"/>
    <x v="2"/>
    <s v="Returned"/>
    <n v="4951.8100000000004"/>
    <x v="3"/>
    <x v="1"/>
    <x v="1"/>
    <s v="Order Cancelled"/>
    <x v="1"/>
    <x v="1"/>
    <s v="Customer_224"/>
    <x v="48"/>
    <s v="A"/>
  </r>
  <r>
    <s v="ORD10706"/>
    <s v="CUST1268"/>
    <s v="PROD122"/>
    <d v="2025-01-29T00:00:00"/>
    <d v="2025-01-31T00:00:00"/>
    <m/>
    <x v="1"/>
    <x v="1"/>
    <x v="1"/>
    <s v="Delivered"/>
    <n v="1747.3"/>
    <x v="2"/>
    <x v="3"/>
    <x v="0"/>
    <n v="2"/>
    <x v="0"/>
    <x v="0"/>
    <s v="Customer_201"/>
    <x v="6"/>
    <s v="A"/>
  </r>
  <r>
    <s v="ORD10707"/>
    <s v="CUST1165"/>
    <s v="PROD118"/>
    <d v="2025-04-17T00:00:00"/>
    <m/>
    <d v="2025-04-17T00:00:00"/>
    <x v="0"/>
    <x v="3"/>
    <x v="2"/>
    <s v="Cancelled"/>
    <n v="4087.4"/>
    <x v="0"/>
    <x v="1"/>
    <x v="1"/>
    <s v="Order Cancelled"/>
    <x v="1"/>
    <x v="1"/>
    <s v="Customer_155"/>
    <x v="5"/>
    <s v="D"/>
  </r>
  <r>
    <s v="ORD10708"/>
    <s v="CUST1112"/>
    <s v="PROD103"/>
    <d v="2025-02-07T00:00:00"/>
    <d v="2025-02-09T00:00:00"/>
    <m/>
    <x v="0"/>
    <x v="2"/>
    <x v="3"/>
    <s v="Returned"/>
    <n v="1422.28"/>
    <x v="1"/>
    <x v="2"/>
    <x v="0"/>
    <n v="2"/>
    <x v="0"/>
    <x v="0"/>
    <s v="Customer_169"/>
    <x v="19"/>
    <s v="D"/>
  </r>
  <r>
    <s v="ORD10709"/>
    <s v="CUST1009"/>
    <s v="PROD128"/>
    <d v="2025-03-13T00:00:00"/>
    <d v="2025-03-17T00:00:00"/>
    <m/>
    <x v="1"/>
    <x v="3"/>
    <x v="4"/>
    <s v="Cancelled"/>
    <n v="3471.21"/>
    <x v="3"/>
    <x v="4"/>
    <x v="0"/>
    <n v="4"/>
    <x v="0"/>
    <x v="2"/>
    <s v="Customer_254"/>
    <x v="15"/>
    <s v="A"/>
  </r>
  <r>
    <s v="ORD10710"/>
    <s v="CUST1025"/>
    <s v="PROD124"/>
    <d v="2025-01-28T00:00:00"/>
    <d v="2025-02-02T00:00:00"/>
    <m/>
    <x v="2"/>
    <x v="4"/>
    <x v="3"/>
    <s v="Returned"/>
    <n v="3849.09"/>
    <x v="2"/>
    <x v="2"/>
    <x v="0"/>
    <n v="5"/>
    <x v="0"/>
    <x v="2"/>
    <s v="Customer_34"/>
    <x v="0"/>
    <s v="B"/>
  </r>
  <r>
    <s v="ORD10711"/>
    <s v="CUST1143"/>
    <s v="PROD137"/>
    <d v="2025-01-01T00:00:00"/>
    <m/>
    <d v="2025-01-02T00:00:00"/>
    <x v="3"/>
    <x v="1"/>
    <x v="4"/>
    <s v="Returned"/>
    <n v="3059.07"/>
    <x v="2"/>
    <x v="1"/>
    <x v="1"/>
    <s v="Order Cancelled"/>
    <x v="1"/>
    <x v="1"/>
    <s v="Customer_5"/>
    <x v="33"/>
    <s v="C"/>
  </r>
  <r>
    <s v="ORD10712"/>
    <s v="CUST1169"/>
    <s v="PROD125"/>
    <d v="2025-02-18T00:00:00"/>
    <d v="2025-02-23T00:00:00"/>
    <m/>
    <x v="3"/>
    <x v="0"/>
    <x v="1"/>
    <s v="Returned"/>
    <n v="2463.5700000000002"/>
    <x v="1"/>
    <x v="2"/>
    <x v="0"/>
    <n v="5"/>
    <x v="0"/>
    <x v="2"/>
    <s v="Customer_228"/>
    <x v="26"/>
    <s v="C"/>
  </r>
  <r>
    <s v="ORD10713"/>
    <s v="CUST1101"/>
    <s v="PROD142"/>
    <d v="2025-01-03T00:00:00"/>
    <d v="2025-01-07T00:00:00"/>
    <m/>
    <x v="3"/>
    <x v="4"/>
    <x v="0"/>
    <s v="Cancelled"/>
    <n v="2176.84"/>
    <x v="2"/>
    <x v="3"/>
    <x v="0"/>
    <n v="4"/>
    <x v="0"/>
    <x v="2"/>
    <s v="Customer_108"/>
    <x v="25"/>
    <s v="C"/>
  </r>
  <r>
    <s v="ORD10714"/>
    <s v="CUST1029"/>
    <s v="PROD145"/>
    <d v="2025-04-09T00:00:00"/>
    <d v="2025-04-11T00:00:00"/>
    <m/>
    <x v="2"/>
    <x v="1"/>
    <x v="1"/>
    <s v="Cancelled"/>
    <n v="1874.57"/>
    <x v="0"/>
    <x v="0"/>
    <x v="0"/>
    <n v="2"/>
    <x v="0"/>
    <x v="0"/>
    <s v="Customer_202"/>
    <x v="27"/>
    <s v="B"/>
  </r>
  <r>
    <s v="ORD10715"/>
    <s v="CUST1284"/>
    <s v="PROD126"/>
    <d v="2025-04-07T00:00:00"/>
    <d v="2025-04-12T00:00:00"/>
    <m/>
    <x v="2"/>
    <x v="0"/>
    <x v="1"/>
    <s v="Delivered"/>
    <n v="4661.74"/>
    <x v="0"/>
    <x v="0"/>
    <x v="0"/>
    <n v="5"/>
    <x v="0"/>
    <x v="2"/>
    <s v="Customer_63"/>
    <x v="48"/>
    <s v="B"/>
  </r>
  <r>
    <s v="ORD10716"/>
    <s v="CUST1274"/>
    <s v="PROD141"/>
    <d v="2025-04-27T00:00:00"/>
    <d v="2025-05-02T00:00:00"/>
    <m/>
    <x v="3"/>
    <x v="3"/>
    <x v="0"/>
    <s v="Cancelled"/>
    <n v="4186.97"/>
    <x v="0"/>
    <x v="5"/>
    <x v="0"/>
    <n v="5"/>
    <x v="0"/>
    <x v="2"/>
    <s v="Customer_48"/>
    <x v="13"/>
    <s v="C"/>
  </r>
  <r>
    <s v="ORD10717"/>
    <s v="CUST1234"/>
    <s v="PROD115"/>
    <d v="2025-03-28T00:00:00"/>
    <d v="2025-03-29T00:00:00"/>
    <m/>
    <x v="2"/>
    <x v="1"/>
    <x v="3"/>
    <s v="Cancelled"/>
    <n v="4832.13"/>
    <x v="3"/>
    <x v="4"/>
    <x v="0"/>
    <n v="1"/>
    <x v="0"/>
    <x v="0"/>
    <s v="Customer_141"/>
    <x v="12"/>
    <s v="B"/>
  </r>
  <r>
    <s v="ORD10718"/>
    <s v="CUST1278"/>
    <s v="PROD146"/>
    <d v="2025-04-30T00:00:00"/>
    <m/>
    <d v="2025-04-30T00:00:00"/>
    <x v="0"/>
    <x v="2"/>
    <x v="0"/>
    <s v="Delivered"/>
    <n v="796.63"/>
    <x v="0"/>
    <x v="1"/>
    <x v="1"/>
    <s v="Order Cancelled"/>
    <x v="1"/>
    <x v="1"/>
    <s v="Customer_196"/>
    <x v="31"/>
    <s v="D"/>
  </r>
  <r>
    <s v="ORD10719"/>
    <s v="CUST1037"/>
    <s v="PROD143"/>
    <d v="2025-02-10T00:00:00"/>
    <d v="2025-02-15T00:00:00"/>
    <m/>
    <x v="2"/>
    <x v="1"/>
    <x v="4"/>
    <s v="Delivered"/>
    <n v="3708.16"/>
    <x v="1"/>
    <x v="2"/>
    <x v="0"/>
    <n v="5"/>
    <x v="0"/>
    <x v="2"/>
    <s v="Customer_222"/>
    <x v="22"/>
    <s v="B"/>
  </r>
  <r>
    <s v="ORD10720"/>
    <s v="CUST1210"/>
    <s v="PROD115"/>
    <d v="2025-03-30T00:00:00"/>
    <m/>
    <d v="2025-04-01T00:00:00"/>
    <x v="0"/>
    <x v="3"/>
    <x v="4"/>
    <s v="Returned"/>
    <n v="4704.03"/>
    <x v="3"/>
    <x v="1"/>
    <x v="1"/>
    <s v="Order Cancelled"/>
    <x v="1"/>
    <x v="1"/>
    <s v="Customer_252"/>
    <x v="12"/>
    <s v="D"/>
  </r>
  <r>
    <s v="ORD10721"/>
    <s v="CUST1179"/>
    <s v="PROD112"/>
    <d v="2025-03-23T00:00:00"/>
    <d v="2025-03-25T00:00:00"/>
    <m/>
    <x v="2"/>
    <x v="1"/>
    <x v="0"/>
    <s v="Returned"/>
    <n v="1069.92"/>
    <x v="3"/>
    <x v="4"/>
    <x v="0"/>
    <n v="2"/>
    <x v="0"/>
    <x v="0"/>
    <s v="Customer_57"/>
    <x v="7"/>
    <s v="B"/>
  </r>
  <r>
    <s v="ORD10722"/>
    <s v="CUST1149"/>
    <s v="PROD104"/>
    <d v="2025-04-30T00:00:00"/>
    <d v="2025-05-03T00:00:00"/>
    <m/>
    <x v="3"/>
    <x v="1"/>
    <x v="4"/>
    <s v="Cancelled"/>
    <n v="519.17999999999995"/>
    <x v="0"/>
    <x v="5"/>
    <x v="0"/>
    <n v="3"/>
    <x v="0"/>
    <x v="2"/>
    <s v="Customer_12"/>
    <x v="24"/>
    <s v="C"/>
  </r>
  <r>
    <s v="ORD10723"/>
    <s v="CUST1052"/>
    <s v="PROD105"/>
    <d v="2025-04-30T00:00:00"/>
    <d v="2025-05-02T00:00:00"/>
    <m/>
    <x v="2"/>
    <x v="0"/>
    <x v="3"/>
    <s v="Returned"/>
    <n v="3757.38"/>
    <x v="0"/>
    <x v="5"/>
    <x v="0"/>
    <n v="2"/>
    <x v="0"/>
    <x v="0"/>
    <s v="Customer_75"/>
    <x v="17"/>
    <s v="B"/>
  </r>
  <r>
    <s v="ORD10724"/>
    <s v="CUST1081"/>
    <s v="PROD131"/>
    <d v="2025-02-01T00:00:00"/>
    <d v="2025-02-02T00:00:00"/>
    <m/>
    <x v="1"/>
    <x v="3"/>
    <x v="4"/>
    <s v="Cancelled"/>
    <n v="2957.47"/>
    <x v="1"/>
    <x v="2"/>
    <x v="0"/>
    <n v="1"/>
    <x v="0"/>
    <x v="0"/>
    <s v="Customer_47"/>
    <x v="46"/>
    <s v="A"/>
  </r>
  <r>
    <s v="ORD10725"/>
    <s v="CUST1178"/>
    <s v="PROD112"/>
    <d v="2025-03-09T00:00:00"/>
    <d v="2025-03-13T00:00:00"/>
    <m/>
    <x v="3"/>
    <x v="1"/>
    <x v="3"/>
    <s v="Returned"/>
    <n v="4240.78"/>
    <x v="3"/>
    <x v="4"/>
    <x v="0"/>
    <n v="4"/>
    <x v="0"/>
    <x v="2"/>
    <s v="Customer_134"/>
    <x v="7"/>
    <s v="C"/>
  </r>
  <r>
    <s v="ORD10726"/>
    <s v="CUST1059"/>
    <s v="PROD147"/>
    <d v="2025-04-13T00:00:00"/>
    <d v="2025-04-14T00:00:00"/>
    <m/>
    <x v="2"/>
    <x v="0"/>
    <x v="4"/>
    <s v="Delivered"/>
    <n v="870.91"/>
    <x v="0"/>
    <x v="0"/>
    <x v="0"/>
    <n v="1"/>
    <x v="0"/>
    <x v="0"/>
    <s v="Customer_114"/>
    <x v="1"/>
    <s v="B"/>
  </r>
  <r>
    <s v="ORD10727"/>
    <s v="CUST1152"/>
    <s v="PROD104"/>
    <d v="2025-04-03T00:00:00"/>
    <m/>
    <d v="2025-04-03T00:00:00"/>
    <x v="1"/>
    <x v="0"/>
    <x v="1"/>
    <s v="Delivered"/>
    <n v="4017.28"/>
    <x v="0"/>
    <x v="1"/>
    <x v="1"/>
    <s v="Order Cancelled"/>
    <x v="1"/>
    <x v="1"/>
    <s v="Customer_42"/>
    <x v="24"/>
    <s v="A"/>
  </r>
  <r>
    <s v="ORD10728"/>
    <s v="CUST1097"/>
    <s v="PROD107"/>
    <d v="2025-04-13T00:00:00"/>
    <m/>
    <d v="2025-04-15T00:00:00"/>
    <x v="0"/>
    <x v="3"/>
    <x v="1"/>
    <s v="Delivered"/>
    <n v="1167.81"/>
    <x v="0"/>
    <x v="1"/>
    <x v="1"/>
    <s v="Order Cancelled"/>
    <x v="1"/>
    <x v="1"/>
    <s v="Customer_273"/>
    <x v="8"/>
    <s v="D"/>
  </r>
  <r>
    <s v="ORD10729"/>
    <s v="CUST1068"/>
    <s v="PROD102"/>
    <d v="2025-04-03T00:00:00"/>
    <d v="2025-04-09T00:00:00"/>
    <m/>
    <x v="3"/>
    <x v="1"/>
    <x v="1"/>
    <s v="Delivered"/>
    <n v="985.55"/>
    <x v="0"/>
    <x v="0"/>
    <x v="0"/>
    <n v="6"/>
    <x v="0"/>
    <x v="2"/>
    <s v="Customer_213"/>
    <x v="16"/>
    <s v="C"/>
  </r>
  <r>
    <s v="ORD10730"/>
    <s v="CUST1087"/>
    <s v="PROD136"/>
    <d v="2025-04-04T00:00:00"/>
    <d v="2025-04-09T00:00:00"/>
    <m/>
    <x v="1"/>
    <x v="3"/>
    <x v="4"/>
    <s v="Cancelled"/>
    <n v="988.48"/>
    <x v="0"/>
    <x v="0"/>
    <x v="0"/>
    <n v="5"/>
    <x v="0"/>
    <x v="2"/>
    <s v="Customer_158"/>
    <x v="38"/>
    <s v="A"/>
  </r>
  <r>
    <s v="ORD10731"/>
    <s v="CUST1096"/>
    <s v="PROD135"/>
    <d v="2025-03-03T00:00:00"/>
    <m/>
    <d v="2025-03-05T00:00:00"/>
    <x v="2"/>
    <x v="1"/>
    <x v="3"/>
    <s v="Delivered"/>
    <n v="4109.96"/>
    <x v="3"/>
    <x v="1"/>
    <x v="1"/>
    <s v="Order Cancelled"/>
    <x v="1"/>
    <x v="1"/>
    <s v="Customer_70"/>
    <x v="32"/>
    <s v="B"/>
  </r>
  <r>
    <s v="ORD10732"/>
    <s v="CUST1273"/>
    <s v="PROD101"/>
    <d v="2025-03-15T00:00:00"/>
    <m/>
    <d v="2025-03-16T00:00:00"/>
    <x v="2"/>
    <x v="4"/>
    <x v="4"/>
    <s v="Returned"/>
    <n v="3392.95"/>
    <x v="3"/>
    <x v="1"/>
    <x v="1"/>
    <s v="Order Cancelled"/>
    <x v="1"/>
    <x v="1"/>
    <s v="Customer_96"/>
    <x v="40"/>
    <s v="B"/>
  </r>
  <r>
    <s v="ORD10733"/>
    <s v="CUST1209"/>
    <s v="PROD101"/>
    <d v="2025-01-03T00:00:00"/>
    <d v="2025-01-07T00:00:00"/>
    <m/>
    <x v="1"/>
    <x v="2"/>
    <x v="3"/>
    <s v="Delivered"/>
    <n v="2710.71"/>
    <x v="2"/>
    <x v="3"/>
    <x v="0"/>
    <n v="4"/>
    <x v="0"/>
    <x v="2"/>
    <s v="Customer_240"/>
    <x v="40"/>
    <s v="A"/>
  </r>
  <r>
    <s v="ORD10734"/>
    <s v="CUST1161"/>
    <s v="PROD102"/>
    <d v="2025-04-14T00:00:00"/>
    <m/>
    <d v="2025-04-16T00:00:00"/>
    <x v="3"/>
    <x v="3"/>
    <x v="3"/>
    <s v="Returned"/>
    <n v="1922.39"/>
    <x v="0"/>
    <x v="1"/>
    <x v="1"/>
    <s v="Order Cancelled"/>
    <x v="1"/>
    <x v="1"/>
    <s v="Customer_116"/>
    <x v="16"/>
    <s v="C"/>
  </r>
  <r>
    <s v="ORD10735"/>
    <s v="CUST1191"/>
    <s v="PROD124"/>
    <d v="2025-04-20T00:00:00"/>
    <d v="2025-04-24T00:00:00"/>
    <m/>
    <x v="0"/>
    <x v="2"/>
    <x v="1"/>
    <s v="Cancelled"/>
    <n v="4410.5600000000004"/>
    <x v="0"/>
    <x v="0"/>
    <x v="0"/>
    <n v="4"/>
    <x v="0"/>
    <x v="2"/>
    <s v="Customer_187"/>
    <x v="0"/>
    <s v="D"/>
  </r>
  <r>
    <s v="ORD10736"/>
    <s v="CUST1158"/>
    <s v="PROD117"/>
    <d v="2025-01-18T00:00:00"/>
    <d v="2025-01-21T00:00:00"/>
    <m/>
    <x v="0"/>
    <x v="2"/>
    <x v="0"/>
    <s v="Delivered"/>
    <n v="2083.7399999999998"/>
    <x v="2"/>
    <x v="3"/>
    <x v="0"/>
    <n v="3"/>
    <x v="0"/>
    <x v="2"/>
    <s v="Customer_125"/>
    <x v="28"/>
    <s v="D"/>
  </r>
  <r>
    <s v="ORD10737"/>
    <s v="CUST1053"/>
    <s v="PROD126"/>
    <d v="2025-02-18T00:00:00"/>
    <d v="2025-02-20T00:00:00"/>
    <m/>
    <x v="1"/>
    <x v="4"/>
    <x v="1"/>
    <s v="Cancelled"/>
    <n v="4119.68"/>
    <x v="1"/>
    <x v="2"/>
    <x v="0"/>
    <n v="2"/>
    <x v="0"/>
    <x v="0"/>
    <s v="Customer_251"/>
    <x v="48"/>
    <s v="A"/>
  </r>
  <r>
    <s v="ORD10738"/>
    <s v="CUST1051"/>
    <s v="PROD130"/>
    <d v="2025-02-14T00:00:00"/>
    <m/>
    <d v="2025-02-16T00:00:00"/>
    <x v="3"/>
    <x v="4"/>
    <x v="1"/>
    <s v="Returned"/>
    <n v="2307.85"/>
    <x v="1"/>
    <x v="1"/>
    <x v="1"/>
    <s v="Order Cancelled"/>
    <x v="1"/>
    <x v="1"/>
    <s v="Customer_52"/>
    <x v="35"/>
    <s v="C"/>
  </r>
  <r>
    <s v="ORD10739"/>
    <s v="CUST1013"/>
    <s v="PROD146"/>
    <d v="2025-01-04T00:00:00"/>
    <d v="2025-01-07T00:00:00"/>
    <m/>
    <x v="1"/>
    <x v="4"/>
    <x v="0"/>
    <s v="Returned"/>
    <n v="2009.33"/>
    <x v="2"/>
    <x v="3"/>
    <x v="0"/>
    <n v="3"/>
    <x v="0"/>
    <x v="2"/>
    <s v="Customer_163"/>
    <x v="31"/>
    <s v="A"/>
  </r>
  <r>
    <s v="ORD10740"/>
    <s v="CUST1003"/>
    <s v="PROD105"/>
    <d v="2025-01-09T00:00:00"/>
    <d v="2025-01-13T00:00:00"/>
    <m/>
    <x v="3"/>
    <x v="3"/>
    <x v="2"/>
    <s v="Cancelled"/>
    <n v="2420.86"/>
    <x v="2"/>
    <x v="3"/>
    <x v="0"/>
    <n v="4"/>
    <x v="0"/>
    <x v="2"/>
    <s v="Customer_232"/>
    <x v="17"/>
    <s v="C"/>
  </r>
  <r>
    <s v="ORD10741"/>
    <s v="CUST1239"/>
    <s v="PROD132"/>
    <d v="2025-03-22T00:00:00"/>
    <d v="2025-03-25T00:00:00"/>
    <m/>
    <x v="2"/>
    <x v="4"/>
    <x v="0"/>
    <s v="Delivered"/>
    <n v="1646.61"/>
    <x v="3"/>
    <x v="4"/>
    <x v="0"/>
    <n v="3"/>
    <x v="0"/>
    <x v="2"/>
    <s v="Customer_36"/>
    <x v="29"/>
    <s v="B"/>
  </r>
  <r>
    <s v="ORD10742"/>
    <s v="CUST1024"/>
    <s v="PROD139"/>
    <d v="2025-03-16T00:00:00"/>
    <d v="2025-03-18T00:00:00"/>
    <m/>
    <x v="0"/>
    <x v="3"/>
    <x v="0"/>
    <s v="Cancelled"/>
    <n v="3788.53"/>
    <x v="3"/>
    <x v="4"/>
    <x v="0"/>
    <n v="2"/>
    <x v="0"/>
    <x v="0"/>
    <s v="Customer_266"/>
    <x v="10"/>
    <s v="D"/>
  </r>
  <r>
    <s v="ORD10743"/>
    <s v="CUST1173"/>
    <s v="PROD103"/>
    <d v="2025-01-05T00:00:00"/>
    <d v="2025-01-07T00:00:00"/>
    <m/>
    <x v="1"/>
    <x v="1"/>
    <x v="1"/>
    <s v="Cancelled"/>
    <n v="2613.06"/>
    <x v="2"/>
    <x v="3"/>
    <x v="0"/>
    <n v="2"/>
    <x v="0"/>
    <x v="0"/>
    <s v="Customer_144"/>
    <x v="19"/>
    <s v="A"/>
  </r>
  <r>
    <s v="ORD10744"/>
    <s v="CUST1052"/>
    <s v="PROD130"/>
    <d v="2025-04-18T00:00:00"/>
    <m/>
    <d v="2025-04-20T00:00:00"/>
    <x v="2"/>
    <x v="1"/>
    <x v="0"/>
    <s v="Delivered"/>
    <n v="1314.62"/>
    <x v="0"/>
    <x v="1"/>
    <x v="1"/>
    <s v="Order Cancelled"/>
    <x v="1"/>
    <x v="1"/>
    <s v="Customer_75"/>
    <x v="35"/>
    <s v="B"/>
  </r>
  <r>
    <s v="ORD10745"/>
    <s v="CUST1203"/>
    <s v="PROD136"/>
    <d v="2025-01-03T00:00:00"/>
    <d v="2025-01-08T00:00:00"/>
    <m/>
    <x v="1"/>
    <x v="3"/>
    <x v="2"/>
    <s v="Cancelled"/>
    <n v="4517.96"/>
    <x v="2"/>
    <x v="3"/>
    <x v="0"/>
    <n v="5"/>
    <x v="0"/>
    <x v="2"/>
    <s v="Customer_4"/>
    <x v="38"/>
    <s v="A"/>
  </r>
  <r>
    <s v="ORD10746"/>
    <s v="CUST1193"/>
    <s v="PROD132"/>
    <d v="2025-02-25T00:00:00"/>
    <d v="2025-02-28T00:00:00"/>
    <m/>
    <x v="2"/>
    <x v="4"/>
    <x v="4"/>
    <s v="Returned"/>
    <n v="2042.68"/>
    <x v="1"/>
    <x v="2"/>
    <x v="0"/>
    <n v="3"/>
    <x v="0"/>
    <x v="2"/>
    <s v="Customer_265"/>
    <x v="29"/>
    <s v="B"/>
  </r>
  <r>
    <s v="ORD10747"/>
    <s v="CUST1033"/>
    <s v="PROD148"/>
    <d v="2025-03-08T00:00:00"/>
    <d v="2025-03-13T00:00:00"/>
    <m/>
    <x v="1"/>
    <x v="3"/>
    <x v="2"/>
    <s v="Cancelled"/>
    <n v="2809.05"/>
    <x v="3"/>
    <x v="4"/>
    <x v="0"/>
    <n v="5"/>
    <x v="0"/>
    <x v="2"/>
    <s v="Customer_250"/>
    <x v="47"/>
    <s v="A"/>
  </r>
  <r>
    <s v="ORD10748"/>
    <s v="CUST1007"/>
    <s v="PROD125"/>
    <d v="2025-02-04T00:00:00"/>
    <m/>
    <d v="2025-02-06T00:00:00"/>
    <x v="1"/>
    <x v="4"/>
    <x v="3"/>
    <s v="Cancelled"/>
    <n v="4551.07"/>
    <x v="1"/>
    <x v="1"/>
    <x v="1"/>
    <s v="Order Cancelled"/>
    <x v="1"/>
    <x v="1"/>
    <s v="Customer_16"/>
    <x v="26"/>
    <s v="A"/>
  </r>
  <r>
    <s v="ORD10749"/>
    <s v="CUST1001"/>
    <s v="PROD107"/>
    <d v="2025-03-13T00:00:00"/>
    <d v="2025-03-15T00:00:00"/>
    <m/>
    <x v="1"/>
    <x v="2"/>
    <x v="4"/>
    <s v="Cancelled"/>
    <n v="3196.34"/>
    <x v="3"/>
    <x v="4"/>
    <x v="0"/>
    <n v="2"/>
    <x v="0"/>
    <x v="0"/>
    <s v="Customer_284"/>
    <x v="8"/>
    <s v="A"/>
  </r>
  <r>
    <s v="ORD10750"/>
    <s v="CUST1271"/>
    <s v="PROD147"/>
    <d v="2025-03-30T00:00:00"/>
    <d v="2025-04-04T00:00:00"/>
    <m/>
    <x v="1"/>
    <x v="0"/>
    <x v="4"/>
    <s v="Returned"/>
    <n v="761.11"/>
    <x v="3"/>
    <x v="0"/>
    <x v="0"/>
    <n v="5"/>
    <x v="0"/>
    <x v="2"/>
    <s v="Customer_13"/>
    <x v="1"/>
    <s v="A"/>
  </r>
  <r>
    <s v="ORD10751"/>
    <s v="CUST1201"/>
    <s v="PROD149"/>
    <d v="2025-03-27T00:00:00"/>
    <m/>
    <d v="2025-03-27T00:00:00"/>
    <x v="0"/>
    <x v="4"/>
    <x v="2"/>
    <s v="Delivered"/>
    <n v="4711.1899999999996"/>
    <x v="3"/>
    <x v="1"/>
    <x v="1"/>
    <s v="Order Cancelled"/>
    <x v="1"/>
    <x v="1"/>
    <s v="Customer_24"/>
    <x v="30"/>
    <s v="D"/>
  </r>
  <r>
    <s v="ORD10752"/>
    <s v="CUST1086"/>
    <s v="PROD149"/>
    <d v="2025-01-09T00:00:00"/>
    <m/>
    <d v="2025-01-11T00:00:00"/>
    <x v="1"/>
    <x v="4"/>
    <x v="1"/>
    <s v="Delivered"/>
    <n v="3213"/>
    <x v="2"/>
    <x v="1"/>
    <x v="1"/>
    <s v="Order Cancelled"/>
    <x v="1"/>
    <x v="1"/>
    <s v="Customer_191"/>
    <x v="30"/>
    <s v="A"/>
  </r>
  <r>
    <s v="ORD10753"/>
    <s v="CUST1295"/>
    <s v="PROD117"/>
    <d v="2025-03-21T00:00:00"/>
    <m/>
    <d v="2025-03-21T00:00:00"/>
    <x v="3"/>
    <x v="3"/>
    <x v="1"/>
    <s v="Returned"/>
    <n v="1807.55"/>
    <x v="3"/>
    <x v="1"/>
    <x v="1"/>
    <s v="Order Cancelled"/>
    <x v="1"/>
    <x v="1"/>
    <s v="Customer_172"/>
    <x v="28"/>
    <s v="C"/>
  </r>
  <r>
    <s v="ORD10754"/>
    <s v="CUST1170"/>
    <s v="PROD105"/>
    <d v="2025-03-11T00:00:00"/>
    <d v="2025-03-14T00:00:00"/>
    <m/>
    <x v="1"/>
    <x v="2"/>
    <x v="0"/>
    <s v="Delivered"/>
    <n v="868.51"/>
    <x v="3"/>
    <x v="4"/>
    <x v="0"/>
    <n v="3"/>
    <x v="0"/>
    <x v="2"/>
    <s v="Customer_3"/>
    <x v="17"/>
    <s v="A"/>
  </r>
  <r>
    <s v="ORD10755"/>
    <s v="CUST1194"/>
    <s v="PROD142"/>
    <d v="2025-04-25T00:00:00"/>
    <d v="2025-04-29T00:00:00"/>
    <m/>
    <x v="3"/>
    <x v="0"/>
    <x v="3"/>
    <s v="Cancelled"/>
    <n v="4011.32"/>
    <x v="0"/>
    <x v="0"/>
    <x v="0"/>
    <n v="4"/>
    <x v="0"/>
    <x v="2"/>
    <s v="Customer_14"/>
    <x v="25"/>
    <s v="C"/>
  </r>
  <r>
    <s v="ORD10756"/>
    <s v="CUST1101"/>
    <s v="PROD129"/>
    <d v="2025-02-26T00:00:00"/>
    <d v="2025-03-02T00:00:00"/>
    <m/>
    <x v="1"/>
    <x v="4"/>
    <x v="3"/>
    <s v="Delivered"/>
    <n v="3176.35"/>
    <x v="1"/>
    <x v="4"/>
    <x v="0"/>
    <n v="4"/>
    <x v="0"/>
    <x v="2"/>
    <s v="Customer_108"/>
    <x v="4"/>
    <s v="A"/>
  </r>
  <r>
    <s v="ORD10757"/>
    <s v="CUST1200"/>
    <s v="PROD147"/>
    <d v="2025-02-02T00:00:00"/>
    <d v="2025-02-06T00:00:00"/>
    <m/>
    <x v="3"/>
    <x v="1"/>
    <x v="0"/>
    <s v="Cancelled"/>
    <n v="2760.61"/>
    <x v="1"/>
    <x v="2"/>
    <x v="0"/>
    <n v="4"/>
    <x v="0"/>
    <x v="2"/>
    <s v="Customer_142"/>
    <x v="1"/>
    <s v="C"/>
  </r>
  <r>
    <s v="ORD10758"/>
    <s v="CUST1197"/>
    <s v="PROD120"/>
    <d v="2025-02-09T00:00:00"/>
    <m/>
    <d v="2025-02-10T00:00:00"/>
    <x v="3"/>
    <x v="4"/>
    <x v="4"/>
    <s v="Cancelled"/>
    <n v="4490.68"/>
    <x v="1"/>
    <x v="1"/>
    <x v="1"/>
    <s v="Order Cancelled"/>
    <x v="1"/>
    <x v="1"/>
    <s v="Customer_83"/>
    <x v="9"/>
    <s v="C"/>
  </r>
  <r>
    <s v="ORD10759"/>
    <s v="CUST1196"/>
    <s v="PROD141"/>
    <d v="2025-03-07T00:00:00"/>
    <d v="2025-03-12T00:00:00"/>
    <m/>
    <x v="2"/>
    <x v="3"/>
    <x v="2"/>
    <s v="Returned"/>
    <n v="3985.27"/>
    <x v="3"/>
    <x v="4"/>
    <x v="0"/>
    <n v="5"/>
    <x v="0"/>
    <x v="2"/>
    <s v="Customer_264"/>
    <x v="13"/>
    <s v="B"/>
  </r>
  <r>
    <s v="ORD10760"/>
    <s v="CUST1294"/>
    <s v="PROD149"/>
    <d v="2025-04-13T00:00:00"/>
    <d v="2025-04-18T00:00:00"/>
    <m/>
    <x v="1"/>
    <x v="1"/>
    <x v="2"/>
    <s v="Delivered"/>
    <n v="928.04"/>
    <x v="0"/>
    <x v="0"/>
    <x v="0"/>
    <n v="5"/>
    <x v="0"/>
    <x v="2"/>
    <s v="Customer_27"/>
    <x v="30"/>
    <s v="A"/>
  </r>
  <r>
    <s v="ORD10761"/>
    <s v="CUST1231"/>
    <s v="PROD118"/>
    <d v="2025-03-28T00:00:00"/>
    <d v="2025-04-02T00:00:00"/>
    <m/>
    <x v="0"/>
    <x v="2"/>
    <x v="3"/>
    <s v="Delivered"/>
    <n v="1696.27"/>
    <x v="3"/>
    <x v="0"/>
    <x v="0"/>
    <n v="5"/>
    <x v="0"/>
    <x v="2"/>
    <s v="Customer_118"/>
    <x v="5"/>
    <s v="D"/>
  </r>
  <r>
    <s v="ORD10762"/>
    <s v="CUST1074"/>
    <s v="PROD111"/>
    <d v="2025-01-23T00:00:00"/>
    <d v="2025-01-25T00:00:00"/>
    <m/>
    <x v="2"/>
    <x v="3"/>
    <x v="4"/>
    <s v="Cancelled"/>
    <n v="1392.75"/>
    <x v="2"/>
    <x v="3"/>
    <x v="0"/>
    <n v="2"/>
    <x v="0"/>
    <x v="0"/>
    <s v="Customer_74"/>
    <x v="44"/>
    <s v="B"/>
  </r>
  <r>
    <s v="ORD10763"/>
    <s v="CUST1263"/>
    <s v="PROD142"/>
    <d v="2025-04-09T00:00:00"/>
    <m/>
    <d v="2025-04-11T00:00:00"/>
    <x v="3"/>
    <x v="3"/>
    <x v="1"/>
    <s v="Cancelled"/>
    <n v="3770.94"/>
    <x v="0"/>
    <x v="1"/>
    <x v="1"/>
    <s v="Order Cancelled"/>
    <x v="1"/>
    <x v="1"/>
    <s v="Customer_6"/>
    <x v="25"/>
    <s v="C"/>
  </r>
  <r>
    <s v="ORD10764"/>
    <s v="CUST1111"/>
    <s v="PROD142"/>
    <d v="2025-05-01T00:00:00"/>
    <d v="2025-05-04T00:00:00"/>
    <m/>
    <x v="1"/>
    <x v="4"/>
    <x v="0"/>
    <s v="Cancelled"/>
    <n v="360.96"/>
    <x v="4"/>
    <x v="5"/>
    <x v="0"/>
    <n v="3"/>
    <x v="0"/>
    <x v="2"/>
    <s v="Customer_221"/>
    <x v="25"/>
    <s v="A"/>
  </r>
  <r>
    <s v="ORD10765"/>
    <s v="CUST1189"/>
    <s v="PROD127"/>
    <d v="2025-01-07T00:00:00"/>
    <d v="2025-01-11T00:00:00"/>
    <m/>
    <x v="1"/>
    <x v="0"/>
    <x v="2"/>
    <s v="Delivered"/>
    <n v="2935.47"/>
    <x v="2"/>
    <x v="3"/>
    <x v="0"/>
    <n v="4"/>
    <x v="0"/>
    <x v="2"/>
    <s v="Customer_32"/>
    <x v="36"/>
    <s v="A"/>
  </r>
  <r>
    <s v="ORD10766"/>
    <s v="CUST1043"/>
    <s v="PROD142"/>
    <d v="2025-03-20T00:00:00"/>
    <d v="2025-03-25T00:00:00"/>
    <m/>
    <x v="2"/>
    <x v="3"/>
    <x v="4"/>
    <s v="Delivered"/>
    <n v="3859.8"/>
    <x v="3"/>
    <x v="4"/>
    <x v="0"/>
    <n v="5"/>
    <x v="0"/>
    <x v="2"/>
    <s v="Customer_234"/>
    <x v="25"/>
    <s v="B"/>
  </r>
  <r>
    <s v="ORD10767"/>
    <s v="CUST1271"/>
    <s v="PROD134"/>
    <d v="2025-05-01T00:00:00"/>
    <m/>
    <d v="2025-05-01T00:00:00"/>
    <x v="2"/>
    <x v="0"/>
    <x v="0"/>
    <s v="Delivered"/>
    <n v="4408.4799999999996"/>
    <x v="4"/>
    <x v="1"/>
    <x v="1"/>
    <s v="Order Cancelled"/>
    <x v="1"/>
    <x v="1"/>
    <s v="Customer_13"/>
    <x v="37"/>
    <s v="B"/>
  </r>
  <r>
    <s v="ORD10768"/>
    <s v="CUST1188"/>
    <s v="PROD133"/>
    <d v="2025-02-21T00:00:00"/>
    <d v="2025-02-25T00:00:00"/>
    <m/>
    <x v="2"/>
    <x v="0"/>
    <x v="1"/>
    <s v="Returned"/>
    <n v="1841.99"/>
    <x v="1"/>
    <x v="2"/>
    <x v="0"/>
    <n v="4"/>
    <x v="0"/>
    <x v="2"/>
    <s v="Customer_7"/>
    <x v="41"/>
    <s v="B"/>
  </r>
  <r>
    <s v="ORD10769"/>
    <s v="CUST1219"/>
    <s v="PROD127"/>
    <d v="2025-03-19T00:00:00"/>
    <d v="2025-03-22T00:00:00"/>
    <m/>
    <x v="2"/>
    <x v="3"/>
    <x v="2"/>
    <s v="Cancelled"/>
    <n v="4142.04"/>
    <x v="3"/>
    <x v="4"/>
    <x v="0"/>
    <n v="3"/>
    <x v="0"/>
    <x v="2"/>
    <s v="Customer_229"/>
    <x v="36"/>
    <s v="B"/>
  </r>
  <r>
    <s v="ORD10770"/>
    <s v="CUST1010"/>
    <s v="PROD115"/>
    <d v="2025-02-05T00:00:00"/>
    <m/>
    <d v="2025-02-06T00:00:00"/>
    <x v="2"/>
    <x v="2"/>
    <x v="4"/>
    <s v="Cancelled"/>
    <n v="731.03"/>
    <x v="1"/>
    <x v="1"/>
    <x v="1"/>
    <s v="Order Cancelled"/>
    <x v="1"/>
    <x v="1"/>
    <s v="Customer_236"/>
    <x v="12"/>
    <s v="B"/>
  </r>
  <r>
    <s v="ORD10771"/>
    <s v="CUST1041"/>
    <s v="PROD147"/>
    <d v="2025-04-14T00:00:00"/>
    <m/>
    <d v="2025-04-15T00:00:00"/>
    <x v="2"/>
    <x v="0"/>
    <x v="4"/>
    <s v="Delivered"/>
    <n v="4262.97"/>
    <x v="0"/>
    <x v="1"/>
    <x v="1"/>
    <s v="Order Cancelled"/>
    <x v="1"/>
    <x v="1"/>
    <s v="Customer_249"/>
    <x v="1"/>
    <s v="B"/>
  </r>
  <r>
    <s v="ORD10772"/>
    <s v="CUST1020"/>
    <s v="PROD137"/>
    <d v="2025-02-27T00:00:00"/>
    <d v="2025-03-01T00:00:00"/>
    <m/>
    <x v="3"/>
    <x v="3"/>
    <x v="4"/>
    <s v="Returned"/>
    <n v="811.95"/>
    <x v="1"/>
    <x v="4"/>
    <x v="0"/>
    <n v="2"/>
    <x v="0"/>
    <x v="0"/>
    <s v="Customer_182"/>
    <x v="33"/>
    <s v="C"/>
  </r>
  <r>
    <s v="ORD10773"/>
    <s v="CUST1105"/>
    <s v="PROD130"/>
    <d v="2025-04-16T00:00:00"/>
    <d v="2025-04-18T00:00:00"/>
    <m/>
    <x v="2"/>
    <x v="3"/>
    <x v="0"/>
    <s v="Delivered"/>
    <n v="2106.98"/>
    <x v="0"/>
    <x v="0"/>
    <x v="0"/>
    <n v="2"/>
    <x v="0"/>
    <x v="0"/>
    <s v="Customer_11"/>
    <x v="35"/>
    <s v="B"/>
  </r>
  <r>
    <s v="ORD10774"/>
    <s v="CUST1059"/>
    <s v="PROD105"/>
    <d v="2025-03-03T00:00:00"/>
    <d v="2025-03-08T00:00:00"/>
    <m/>
    <x v="3"/>
    <x v="2"/>
    <x v="4"/>
    <s v="Returned"/>
    <n v="4027.02"/>
    <x v="3"/>
    <x v="4"/>
    <x v="0"/>
    <n v="5"/>
    <x v="0"/>
    <x v="2"/>
    <s v="Customer_114"/>
    <x v="17"/>
    <s v="C"/>
  </r>
  <r>
    <s v="ORD10775"/>
    <s v="CUST1065"/>
    <s v="PROD147"/>
    <d v="2025-01-23T00:00:00"/>
    <d v="2025-01-27T00:00:00"/>
    <m/>
    <x v="2"/>
    <x v="1"/>
    <x v="0"/>
    <s v="Returned"/>
    <n v="919.6"/>
    <x v="2"/>
    <x v="3"/>
    <x v="0"/>
    <n v="4"/>
    <x v="0"/>
    <x v="2"/>
    <s v="Customer_204"/>
    <x v="1"/>
    <s v="B"/>
  </r>
  <r>
    <s v="ORD10776"/>
    <s v="CUST1263"/>
    <s v="PROD150"/>
    <d v="2025-02-23T00:00:00"/>
    <d v="2025-02-24T00:00:00"/>
    <m/>
    <x v="0"/>
    <x v="0"/>
    <x v="4"/>
    <s v="Returned"/>
    <n v="1300.4100000000001"/>
    <x v="1"/>
    <x v="2"/>
    <x v="0"/>
    <n v="1"/>
    <x v="0"/>
    <x v="0"/>
    <s v="Customer_6"/>
    <x v="23"/>
    <s v="D"/>
  </r>
  <r>
    <s v="ORD10777"/>
    <s v="CUST1294"/>
    <s v="PROD104"/>
    <d v="2025-01-05T00:00:00"/>
    <d v="2025-01-07T00:00:00"/>
    <m/>
    <x v="1"/>
    <x v="4"/>
    <x v="0"/>
    <s v="Cancelled"/>
    <n v="3666.81"/>
    <x v="2"/>
    <x v="3"/>
    <x v="0"/>
    <n v="2"/>
    <x v="0"/>
    <x v="0"/>
    <s v="Customer_27"/>
    <x v="24"/>
    <s v="A"/>
  </r>
  <r>
    <s v="ORD10778"/>
    <s v="CUST1092"/>
    <s v="PROD101"/>
    <d v="2025-03-03T00:00:00"/>
    <m/>
    <d v="2025-03-03T00:00:00"/>
    <x v="1"/>
    <x v="1"/>
    <x v="4"/>
    <s v="Cancelled"/>
    <n v="3656.18"/>
    <x v="3"/>
    <x v="1"/>
    <x v="1"/>
    <s v="Order Cancelled"/>
    <x v="1"/>
    <x v="1"/>
    <s v="Customer_112"/>
    <x v="40"/>
    <s v="A"/>
  </r>
  <r>
    <s v="ORD10779"/>
    <s v="CUST1133"/>
    <s v="PROD130"/>
    <d v="2025-02-05T00:00:00"/>
    <d v="2025-02-08T00:00:00"/>
    <m/>
    <x v="3"/>
    <x v="2"/>
    <x v="1"/>
    <s v="Cancelled"/>
    <n v="3277.51"/>
    <x v="1"/>
    <x v="2"/>
    <x v="0"/>
    <n v="3"/>
    <x v="0"/>
    <x v="2"/>
    <s v="Customer_275"/>
    <x v="35"/>
    <s v="C"/>
  </r>
  <r>
    <s v="ORD10780"/>
    <s v="CUST1004"/>
    <s v="PROD125"/>
    <d v="2025-03-09T00:00:00"/>
    <d v="2025-03-15T00:00:00"/>
    <m/>
    <x v="1"/>
    <x v="0"/>
    <x v="3"/>
    <s v="Returned"/>
    <n v="3530.95"/>
    <x v="3"/>
    <x v="4"/>
    <x v="0"/>
    <n v="6"/>
    <x v="0"/>
    <x v="2"/>
    <s v="Customer_261"/>
    <x v="26"/>
    <s v="A"/>
  </r>
  <r>
    <s v="ORD10781"/>
    <s v="CUST1267"/>
    <s v="PROD104"/>
    <d v="2025-01-31T00:00:00"/>
    <d v="2025-02-05T00:00:00"/>
    <m/>
    <x v="0"/>
    <x v="4"/>
    <x v="2"/>
    <s v="Delivered"/>
    <n v="2805.08"/>
    <x v="2"/>
    <x v="2"/>
    <x v="0"/>
    <n v="5"/>
    <x v="0"/>
    <x v="2"/>
    <s v="Customer_98"/>
    <x v="24"/>
    <s v="D"/>
  </r>
  <r>
    <s v="ORD10782"/>
    <s v="CUST1088"/>
    <s v="PROD105"/>
    <d v="2025-04-17T00:00:00"/>
    <d v="2025-04-22T00:00:00"/>
    <m/>
    <x v="0"/>
    <x v="1"/>
    <x v="4"/>
    <s v="Returned"/>
    <n v="1408.64"/>
    <x v="0"/>
    <x v="0"/>
    <x v="0"/>
    <n v="5"/>
    <x v="0"/>
    <x v="2"/>
    <s v="Customer_197"/>
    <x v="17"/>
    <s v="D"/>
  </r>
  <r>
    <s v="ORD10783"/>
    <s v="CUST1066"/>
    <s v="PROD147"/>
    <d v="2025-02-27T00:00:00"/>
    <d v="2025-03-05T00:00:00"/>
    <m/>
    <x v="2"/>
    <x v="2"/>
    <x v="4"/>
    <s v="Cancelled"/>
    <n v="1859.34"/>
    <x v="1"/>
    <x v="4"/>
    <x v="0"/>
    <n v="6"/>
    <x v="0"/>
    <x v="2"/>
    <s v="Customer_276"/>
    <x v="1"/>
    <s v="B"/>
  </r>
  <r>
    <s v="ORD10784"/>
    <s v="CUST1288"/>
    <s v="PROD136"/>
    <d v="2025-01-16T00:00:00"/>
    <m/>
    <d v="2025-01-17T00:00:00"/>
    <x v="1"/>
    <x v="4"/>
    <x v="1"/>
    <s v="Delivered"/>
    <n v="1071.67"/>
    <x v="2"/>
    <x v="1"/>
    <x v="1"/>
    <s v="Order Cancelled"/>
    <x v="1"/>
    <x v="1"/>
    <s v="Customer_139"/>
    <x v="38"/>
    <s v="A"/>
  </r>
  <r>
    <s v="ORD10785"/>
    <s v="CUST1199"/>
    <s v="PROD101"/>
    <d v="2025-02-24T00:00:00"/>
    <m/>
    <d v="2025-02-26T00:00:00"/>
    <x v="2"/>
    <x v="2"/>
    <x v="3"/>
    <s v="Delivered"/>
    <n v="4560.5600000000004"/>
    <x v="1"/>
    <x v="1"/>
    <x v="1"/>
    <s v="Order Cancelled"/>
    <x v="1"/>
    <x v="1"/>
    <s v="Customer_259"/>
    <x v="40"/>
    <s v="B"/>
  </r>
  <r>
    <s v="ORD10786"/>
    <s v="CUST1298"/>
    <s v="PROD104"/>
    <d v="2025-04-03T00:00:00"/>
    <m/>
    <d v="2025-04-03T00:00:00"/>
    <x v="0"/>
    <x v="3"/>
    <x v="2"/>
    <s v="Returned"/>
    <n v="3000.28"/>
    <x v="0"/>
    <x v="1"/>
    <x v="1"/>
    <s v="Order Cancelled"/>
    <x v="1"/>
    <x v="1"/>
    <s v="Customer_178"/>
    <x v="24"/>
    <s v="D"/>
  </r>
  <r>
    <s v="ORD10787"/>
    <s v="CUST1032"/>
    <s v="PROD146"/>
    <d v="2025-03-15T00:00:00"/>
    <m/>
    <d v="2025-03-15T00:00:00"/>
    <x v="0"/>
    <x v="3"/>
    <x v="3"/>
    <s v="Delivered"/>
    <n v="2124.09"/>
    <x v="3"/>
    <x v="1"/>
    <x v="1"/>
    <s v="Order Cancelled"/>
    <x v="1"/>
    <x v="1"/>
    <s v="Customer_31"/>
    <x v="31"/>
    <s v="D"/>
  </r>
  <r>
    <s v="ORD10788"/>
    <s v="CUST1221"/>
    <s v="PROD132"/>
    <d v="2025-03-24T00:00:00"/>
    <d v="2025-03-28T00:00:00"/>
    <m/>
    <x v="1"/>
    <x v="0"/>
    <x v="0"/>
    <s v="Returned"/>
    <n v="2417.63"/>
    <x v="3"/>
    <x v="4"/>
    <x v="0"/>
    <n v="4"/>
    <x v="0"/>
    <x v="2"/>
    <s v="Customer_270"/>
    <x v="29"/>
    <s v="A"/>
  </r>
  <r>
    <s v="ORD10789"/>
    <s v="CUST1231"/>
    <s v="PROD135"/>
    <d v="2025-03-20T00:00:00"/>
    <d v="2025-03-22T00:00:00"/>
    <m/>
    <x v="0"/>
    <x v="1"/>
    <x v="1"/>
    <s v="Returned"/>
    <n v="4746.96"/>
    <x v="3"/>
    <x v="4"/>
    <x v="0"/>
    <n v="2"/>
    <x v="0"/>
    <x v="0"/>
    <s v="Customer_118"/>
    <x v="32"/>
    <s v="D"/>
  </r>
  <r>
    <s v="ORD10790"/>
    <s v="CUST1183"/>
    <s v="PROD130"/>
    <d v="2025-03-19T00:00:00"/>
    <d v="2025-03-21T00:00:00"/>
    <m/>
    <x v="1"/>
    <x v="3"/>
    <x v="2"/>
    <s v="Cancelled"/>
    <n v="936.09"/>
    <x v="3"/>
    <x v="4"/>
    <x v="0"/>
    <n v="2"/>
    <x v="0"/>
    <x v="0"/>
    <s v="Customer_203"/>
    <x v="35"/>
    <s v="A"/>
  </r>
  <r>
    <s v="ORD10791"/>
    <s v="CUST1044"/>
    <s v="PROD142"/>
    <d v="2025-04-09T00:00:00"/>
    <d v="2025-04-11T00:00:00"/>
    <m/>
    <x v="2"/>
    <x v="1"/>
    <x v="0"/>
    <s v="Delivered"/>
    <n v="3013.9"/>
    <x v="0"/>
    <x v="0"/>
    <x v="0"/>
    <n v="2"/>
    <x v="0"/>
    <x v="0"/>
    <s v="Customer_40"/>
    <x v="25"/>
    <s v="B"/>
  </r>
  <r>
    <s v="ORD10792"/>
    <s v="CUST1022"/>
    <s v="PROD142"/>
    <d v="2025-01-26T00:00:00"/>
    <m/>
    <d v="2025-01-27T00:00:00"/>
    <x v="3"/>
    <x v="3"/>
    <x v="2"/>
    <s v="Returned"/>
    <n v="2628.27"/>
    <x v="2"/>
    <x v="1"/>
    <x v="1"/>
    <s v="Order Cancelled"/>
    <x v="1"/>
    <x v="1"/>
    <s v="Customer_217"/>
    <x v="25"/>
    <s v="C"/>
  </r>
  <r>
    <s v="ORD10793"/>
    <s v="CUST1201"/>
    <s v="PROD127"/>
    <d v="2025-02-03T00:00:00"/>
    <d v="2025-02-05T00:00:00"/>
    <m/>
    <x v="2"/>
    <x v="1"/>
    <x v="1"/>
    <s v="Cancelled"/>
    <n v="3134.98"/>
    <x v="1"/>
    <x v="2"/>
    <x v="0"/>
    <n v="2"/>
    <x v="0"/>
    <x v="0"/>
    <s v="Customer_24"/>
    <x v="36"/>
    <s v="B"/>
  </r>
  <r>
    <s v="ORD10794"/>
    <s v="CUST1284"/>
    <s v="PROD144"/>
    <d v="2025-04-10T00:00:00"/>
    <d v="2025-04-13T00:00:00"/>
    <m/>
    <x v="0"/>
    <x v="1"/>
    <x v="3"/>
    <s v="Delivered"/>
    <n v="286.93"/>
    <x v="0"/>
    <x v="0"/>
    <x v="0"/>
    <n v="3"/>
    <x v="0"/>
    <x v="2"/>
    <s v="Customer_63"/>
    <x v="39"/>
    <s v="D"/>
  </r>
  <r>
    <s v="ORD10795"/>
    <s v="CUST1123"/>
    <s v="PROD114"/>
    <d v="2025-04-26T00:00:00"/>
    <d v="2025-04-29T00:00:00"/>
    <m/>
    <x v="3"/>
    <x v="1"/>
    <x v="0"/>
    <s v="Delivered"/>
    <n v="4386.1899999999996"/>
    <x v="0"/>
    <x v="0"/>
    <x v="0"/>
    <n v="3"/>
    <x v="0"/>
    <x v="2"/>
    <s v="Customer_212"/>
    <x v="18"/>
    <s v="C"/>
  </r>
  <r>
    <s v="ORD10796"/>
    <s v="CUST1083"/>
    <s v="PROD142"/>
    <d v="2025-03-17T00:00:00"/>
    <d v="2025-03-21T00:00:00"/>
    <m/>
    <x v="0"/>
    <x v="3"/>
    <x v="4"/>
    <s v="Cancelled"/>
    <n v="4674.17"/>
    <x v="3"/>
    <x v="4"/>
    <x v="0"/>
    <n v="4"/>
    <x v="0"/>
    <x v="2"/>
    <s v="Customer_189"/>
    <x v="25"/>
    <s v="D"/>
  </r>
  <r>
    <s v="ORD10797"/>
    <s v="CUST1152"/>
    <s v="PROD108"/>
    <d v="2025-04-24T00:00:00"/>
    <d v="2025-04-26T00:00:00"/>
    <m/>
    <x v="1"/>
    <x v="2"/>
    <x v="2"/>
    <s v="Cancelled"/>
    <n v="2912.64"/>
    <x v="0"/>
    <x v="0"/>
    <x v="0"/>
    <n v="2"/>
    <x v="0"/>
    <x v="0"/>
    <s v="Customer_42"/>
    <x v="14"/>
    <s v="A"/>
  </r>
  <r>
    <s v="ORD10798"/>
    <s v="CUST1071"/>
    <s v="PROD117"/>
    <d v="2025-02-07T00:00:00"/>
    <d v="2025-02-12T00:00:00"/>
    <m/>
    <x v="2"/>
    <x v="4"/>
    <x v="1"/>
    <s v="Returned"/>
    <n v="3543.92"/>
    <x v="1"/>
    <x v="2"/>
    <x v="0"/>
    <n v="5"/>
    <x v="0"/>
    <x v="2"/>
    <s v="Customer_132"/>
    <x v="28"/>
    <s v="B"/>
  </r>
  <r>
    <s v="ORD10799"/>
    <s v="CUST1091"/>
    <s v="PROD134"/>
    <d v="2025-03-07T00:00:00"/>
    <d v="2025-03-12T00:00:00"/>
    <m/>
    <x v="2"/>
    <x v="3"/>
    <x v="1"/>
    <s v="Cancelled"/>
    <n v="4628"/>
    <x v="3"/>
    <x v="4"/>
    <x v="0"/>
    <n v="5"/>
    <x v="0"/>
    <x v="2"/>
    <s v="Customer_73"/>
    <x v="37"/>
    <s v="B"/>
  </r>
  <r>
    <s v="ORD10800"/>
    <s v="CUST1229"/>
    <s v="PROD122"/>
    <d v="2025-01-09T00:00:00"/>
    <d v="2025-01-11T00:00:00"/>
    <m/>
    <x v="2"/>
    <x v="2"/>
    <x v="2"/>
    <s v="Returned"/>
    <n v="3594.75"/>
    <x v="2"/>
    <x v="3"/>
    <x v="0"/>
    <n v="2"/>
    <x v="0"/>
    <x v="0"/>
    <s v="Customer_278"/>
    <x v="6"/>
    <s v="B"/>
  </r>
  <r>
    <s v="ORD10801"/>
    <s v="CUST1097"/>
    <s v="PROD138"/>
    <d v="2025-01-13T00:00:00"/>
    <d v="2025-01-15T00:00:00"/>
    <m/>
    <x v="0"/>
    <x v="0"/>
    <x v="2"/>
    <s v="Cancelled"/>
    <n v="932.19"/>
    <x v="2"/>
    <x v="3"/>
    <x v="0"/>
    <n v="2"/>
    <x v="0"/>
    <x v="0"/>
    <s v="Customer_273"/>
    <x v="21"/>
    <s v="D"/>
  </r>
  <r>
    <s v="ORD10802"/>
    <s v="CUST1293"/>
    <s v="PROD139"/>
    <d v="2025-03-25T00:00:00"/>
    <d v="2025-03-27T00:00:00"/>
    <m/>
    <x v="1"/>
    <x v="2"/>
    <x v="3"/>
    <s v="Delivered"/>
    <n v="2966.18"/>
    <x v="3"/>
    <x v="4"/>
    <x v="0"/>
    <n v="2"/>
    <x v="0"/>
    <x v="0"/>
    <s v="Customer_60"/>
    <x v="10"/>
    <s v="A"/>
  </r>
  <r>
    <s v="ORD10803"/>
    <s v="CUST1055"/>
    <s v="PROD149"/>
    <d v="2025-04-04T00:00:00"/>
    <d v="2025-04-10T00:00:00"/>
    <m/>
    <x v="2"/>
    <x v="3"/>
    <x v="0"/>
    <s v="Cancelled"/>
    <n v="3112.23"/>
    <x v="0"/>
    <x v="0"/>
    <x v="0"/>
    <n v="6"/>
    <x v="0"/>
    <x v="2"/>
    <s v="Customer_113"/>
    <x v="30"/>
    <s v="B"/>
  </r>
  <r>
    <s v="ORD10804"/>
    <s v="CUST1281"/>
    <s v="PROD146"/>
    <d v="2025-03-15T00:00:00"/>
    <d v="2025-03-19T00:00:00"/>
    <m/>
    <x v="2"/>
    <x v="0"/>
    <x v="3"/>
    <s v="Cancelled"/>
    <n v="2235.83"/>
    <x v="3"/>
    <x v="4"/>
    <x v="0"/>
    <n v="4"/>
    <x v="0"/>
    <x v="2"/>
    <s v="Customer_175"/>
    <x v="31"/>
    <s v="B"/>
  </r>
  <r>
    <s v="ORD10805"/>
    <s v="CUST1226"/>
    <s v="PROD108"/>
    <d v="2025-03-04T00:00:00"/>
    <d v="2025-03-07T00:00:00"/>
    <m/>
    <x v="3"/>
    <x v="1"/>
    <x v="4"/>
    <s v="Returned"/>
    <n v="3734.93"/>
    <x v="3"/>
    <x v="4"/>
    <x v="0"/>
    <n v="3"/>
    <x v="0"/>
    <x v="2"/>
    <s v="Customer_219"/>
    <x v="14"/>
    <s v="C"/>
  </r>
  <r>
    <s v="ORD10806"/>
    <s v="CUST1168"/>
    <s v="PROD134"/>
    <d v="2025-04-20T00:00:00"/>
    <d v="2025-04-22T00:00:00"/>
    <m/>
    <x v="3"/>
    <x v="1"/>
    <x v="4"/>
    <s v="Returned"/>
    <n v="4684.96"/>
    <x v="0"/>
    <x v="0"/>
    <x v="0"/>
    <n v="2"/>
    <x v="0"/>
    <x v="0"/>
    <s v="Customer_220"/>
    <x v="37"/>
    <s v="C"/>
  </r>
  <r>
    <s v="ORD10807"/>
    <s v="CUST1275"/>
    <s v="PROD113"/>
    <d v="2025-04-12T00:00:00"/>
    <d v="2025-04-16T00:00:00"/>
    <m/>
    <x v="2"/>
    <x v="0"/>
    <x v="0"/>
    <s v="Cancelled"/>
    <n v="4642.7299999999996"/>
    <x v="0"/>
    <x v="0"/>
    <x v="0"/>
    <n v="4"/>
    <x v="0"/>
    <x v="2"/>
    <s v="Customer_194"/>
    <x v="3"/>
    <s v="B"/>
  </r>
  <r>
    <s v="ORD10808"/>
    <s v="CUST1090"/>
    <s v="PROD141"/>
    <d v="2025-01-14T00:00:00"/>
    <d v="2025-01-17T00:00:00"/>
    <m/>
    <x v="1"/>
    <x v="0"/>
    <x v="2"/>
    <s v="Delivered"/>
    <n v="2364.0300000000002"/>
    <x v="2"/>
    <x v="3"/>
    <x v="0"/>
    <n v="3"/>
    <x v="0"/>
    <x v="2"/>
    <s v="Customer_71"/>
    <x v="13"/>
    <s v="A"/>
  </r>
  <r>
    <s v="ORD10809"/>
    <s v="CUST1128"/>
    <s v="PROD137"/>
    <d v="2025-02-16T00:00:00"/>
    <d v="2025-02-19T00:00:00"/>
    <m/>
    <x v="1"/>
    <x v="2"/>
    <x v="4"/>
    <s v="Returned"/>
    <n v="743.54"/>
    <x v="1"/>
    <x v="2"/>
    <x v="0"/>
    <n v="3"/>
    <x v="0"/>
    <x v="2"/>
    <s v="Customer_255"/>
    <x v="33"/>
    <s v="A"/>
  </r>
  <r>
    <s v="ORD10810"/>
    <s v="CUST1031"/>
    <s v="PROD132"/>
    <d v="2025-03-15T00:00:00"/>
    <d v="2025-03-17T00:00:00"/>
    <m/>
    <x v="3"/>
    <x v="4"/>
    <x v="1"/>
    <s v="Returned"/>
    <n v="4927.24"/>
    <x v="3"/>
    <x v="4"/>
    <x v="0"/>
    <n v="2"/>
    <x v="0"/>
    <x v="0"/>
    <s v="Customer_101"/>
    <x v="29"/>
    <s v="C"/>
  </r>
  <r>
    <s v="ORD10811"/>
    <s v="CUST1249"/>
    <s v="PROD137"/>
    <d v="2025-04-24T00:00:00"/>
    <d v="2025-04-30T00:00:00"/>
    <m/>
    <x v="2"/>
    <x v="3"/>
    <x v="4"/>
    <s v="Delivered"/>
    <n v="4226.71"/>
    <x v="0"/>
    <x v="0"/>
    <x v="0"/>
    <n v="6"/>
    <x v="0"/>
    <x v="2"/>
    <s v="Customer_271"/>
    <x v="33"/>
    <s v="B"/>
  </r>
  <r>
    <s v="ORD10812"/>
    <s v="CUST1248"/>
    <s v="PROD134"/>
    <d v="2025-01-26T00:00:00"/>
    <d v="2025-02-01T00:00:00"/>
    <m/>
    <x v="1"/>
    <x v="1"/>
    <x v="0"/>
    <s v="Cancelled"/>
    <n v="798.38"/>
    <x v="2"/>
    <x v="2"/>
    <x v="0"/>
    <n v="6"/>
    <x v="0"/>
    <x v="2"/>
    <s v="Customer_145"/>
    <x v="37"/>
    <s v="A"/>
  </r>
  <r>
    <s v="ORD10813"/>
    <s v="CUST1168"/>
    <s v="PROD130"/>
    <d v="2025-04-19T00:00:00"/>
    <d v="2025-04-21T00:00:00"/>
    <m/>
    <x v="0"/>
    <x v="1"/>
    <x v="2"/>
    <s v="Delivered"/>
    <n v="4620.04"/>
    <x v="0"/>
    <x v="0"/>
    <x v="0"/>
    <n v="2"/>
    <x v="0"/>
    <x v="0"/>
    <s v="Customer_220"/>
    <x v="35"/>
    <s v="D"/>
  </r>
  <r>
    <s v="ORD10814"/>
    <s v="CUST1038"/>
    <s v="PROD111"/>
    <d v="2025-04-23T00:00:00"/>
    <m/>
    <d v="2025-04-25T00:00:00"/>
    <x v="0"/>
    <x v="1"/>
    <x v="4"/>
    <s v="Returned"/>
    <n v="4375.5"/>
    <x v="0"/>
    <x v="1"/>
    <x v="1"/>
    <s v="Order Cancelled"/>
    <x v="1"/>
    <x v="1"/>
    <s v="Customer_153"/>
    <x v="44"/>
    <s v="D"/>
  </r>
  <r>
    <s v="ORD10815"/>
    <s v="CUST1250"/>
    <s v="PROD127"/>
    <d v="2025-02-27T00:00:00"/>
    <m/>
    <d v="2025-02-27T00:00:00"/>
    <x v="2"/>
    <x v="1"/>
    <x v="3"/>
    <s v="Cancelled"/>
    <n v="2690.42"/>
    <x v="1"/>
    <x v="1"/>
    <x v="1"/>
    <s v="Order Cancelled"/>
    <x v="1"/>
    <x v="1"/>
    <s v="Customer_35"/>
    <x v="36"/>
    <s v="B"/>
  </r>
  <r>
    <s v="ORD10816"/>
    <s v="CUST1035"/>
    <s v="PROD108"/>
    <d v="2025-02-14T00:00:00"/>
    <d v="2025-02-15T00:00:00"/>
    <m/>
    <x v="3"/>
    <x v="0"/>
    <x v="3"/>
    <s v="Delivered"/>
    <n v="3038.12"/>
    <x v="1"/>
    <x v="2"/>
    <x v="0"/>
    <n v="1"/>
    <x v="0"/>
    <x v="0"/>
    <s v="Customer_0"/>
    <x v="14"/>
    <s v="C"/>
  </r>
  <r>
    <s v="ORD10817"/>
    <s v="CUST1202"/>
    <s v="PROD132"/>
    <d v="2025-02-16T00:00:00"/>
    <d v="2025-02-20T00:00:00"/>
    <m/>
    <x v="3"/>
    <x v="1"/>
    <x v="3"/>
    <s v="Returned"/>
    <n v="2115.21"/>
    <x v="1"/>
    <x v="2"/>
    <x v="0"/>
    <n v="4"/>
    <x v="0"/>
    <x v="2"/>
    <s v="Customer_55"/>
    <x v="29"/>
    <s v="C"/>
  </r>
  <r>
    <s v="ORD10818"/>
    <s v="CUST1086"/>
    <s v="PROD112"/>
    <d v="2025-03-24T00:00:00"/>
    <d v="2025-03-26T00:00:00"/>
    <m/>
    <x v="2"/>
    <x v="2"/>
    <x v="4"/>
    <s v="Returned"/>
    <n v="462.86"/>
    <x v="3"/>
    <x v="4"/>
    <x v="0"/>
    <n v="2"/>
    <x v="0"/>
    <x v="0"/>
    <s v="Customer_191"/>
    <x v="7"/>
    <s v="B"/>
  </r>
  <r>
    <s v="ORD10819"/>
    <s v="CUST1139"/>
    <s v="PROD135"/>
    <d v="2025-01-21T00:00:00"/>
    <m/>
    <d v="2025-01-21T00:00:00"/>
    <x v="2"/>
    <x v="3"/>
    <x v="4"/>
    <s v="Returned"/>
    <n v="1808.95"/>
    <x v="2"/>
    <x v="1"/>
    <x v="1"/>
    <s v="Order Cancelled"/>
    <x v="1"/>
    <x v="1"/>
    <s v="Customer_120"/>
    <x v="32"/>
    <s v="B"/>
  </r>
  <r>
    <s v="ORD10820"/>
    <s v="CUST1060"/>
    <s v="PROD125"/>
    <d v="2025-01-26T00:00:00"/>
    <d v="2025-01-30T00:00:00"/>
    <m/>
    <x v="3"/>
    <x v="4"/>
    <x v="2"/>
    <s v="Delivered"/>
    <n v="4053.7"/>
    <x v="2"/>
    <x v="3"/>
    <x v="0"/>
    <n v="4"/>
    <x v="0"/>
    <x v="2"/>
    <s v="Customer_243"/>
    <x v="26"/>
    <s v="C"/>
  </r>
  <r>
    <s v="ORD10821"/>
    <s v="CUST1046"/>
    <s v="PROD115"/>
    <d v="2025-03-30T00:00:00"/>
    <m/>
    <d v="2025-03-30T00:00:00"/>
    <x v="3"/>
    <x v="1"/>
    <x v="0"/>
    <s v="Delivered"/>
    <n v="222.23"/>
    <x v="3"/>
    <x v="1"/>
    <x v="1"/>
    <s v="Order Cancelled"/>
    <x v="1"/>
    <x v="1"/>
    <s v="Customer_111"/>
    <x v="12"/>
    <s v="C"/>
  </r>
  <r>
    <s v="ORD10822"/>
    <s v="CUST1120"/>
    <s v="PROD106"/>
    <d v="2025-03-07T00:00:00"/>
    <d v="2025-03-08T00:00:00"/>
    <m/>
    <x v="1"/>
    <x v="3"/>
    <x v="4"/>
    <s v="Cancelled"/>
    <n v="1800.8"/>
    <x v="3"/>
    <x v="4"/>
    <x v="0"/>
    <n v="1"/>
    <x v="0"/>
    <x v="0"/>
    <s v="Customer_226"/>
    <x v="43"/>
    <s v="A"/>
  </r>
  <r>
    <s v="ORD10823"/>
    <s v="CUST1187"/>
    <s v="PROD123"/>
    <d v="2025-04-25T00:00:00"/>
    <m/>
    <d v="2025-04-27T00:00:00"/>
    <x v="2"/>
    <x v="2"/>
    <x v="2"/>
    <s v="Delivered"/>
    <n v="2111.21"/>
    <x v="0"/>
    <x v="1"/>
    <x v="1"/>
    <s v="Order Cancelled"/>
    <x v="1"/>
    <x v="1"/>
    <s v="Customer_84"/>
    <x v="49"/>
    <s v="B"/>
  </r>
  <r>
    <s v="ORD10824"/>
    <s v="CUST1030"/>
    <s v="PROD112"/>
    <d v="2025-01-26T00:00:00"/>
    <d v="2025-01-28T00:00:00"/>
    <m/>
    <x v="3"/>
    <x v="3"/>
    <x v="1"/>
    <s v="Delivered"/>
    <n v="2779.5"/>
    <x v="2"/>
    <x v="3"/>
    <x v="0"/>
    <n v="2"/>
    <x v="0"/>
    <x v="0"/>
    <s v="Customer_136"/>
    <x v="7"/>
    <s v="C"/>
  </r>
  <r>
    <s v="ORD10825"/>
    <s v="CUST1113"/>
    <s v="PROD123"/>
    <d v="2025-04-17T00:00:00"/>
    <d v="2025-04-19T00:00:00"/>
    <m/>
    <x v="2"/>
    <x v="0"/>
    <x v="0"/>
    <s v="Returned"/>
    <n v="4615.3100000000004"/>
    <x v="0"/>
    <x v="0"/>
    <x v="0"/>
    <n v="2"/>
    <x v="0"/>
    <x v="0"/>
    <s v="Customer_80"/>
    <x v="49"/>
    <s v="B"/>
  </r>
  <r>
    <s v="ORD10826"/>
    <s v="CUST1141"/>
    <s v="PROD116"/>
    <d v="2025-01-05T00:00:00"/>
    <d v="2025-01-09T00:00:00"/>
    <m/>
    <x v="1"/>
    <x v="1"/>
    <x v="2"/>
    <s v="Returned"/>
    <n v="1862.46"/>
    <x v="2"/>
    <x v="3"/>
    <x v="0"/>
    <n v="4"/>
    <x v="0"/>
    <x v="2"/>
    <s v="Customer_157"/>
    <x v="34"/>
    <s v="A"/>
  </r>
  <r>
    <s v="ORD10827"/>
    <s v="CUST1124"/>
    <s v="PROD103"/>
    <d v="2025-01-12T00:00:00"/>
    <d v="2025-01-16T00:00:00"/>
    <m/>
    <x v="0"/>
    <x v="1"/>
    <x v="4"/>
    <s v="Delivered"/>
    <n v="1865.38"/>
    <x v="2"/>
    <x v="3"/>
    <x v="0"/>
    <n v="4"/>
    <x v="0"/>
    <x v="2"/>
    <s v="Customer_49"/>
    <x v="19"/>
    <s v="D"/>
  </r>
  <r>
    <s v="ORD10828"/>
    <s v="CUST1300"/>
    <s v="PROD136"/>
    <d v="2025-02-03T00:00:00"/>
    <m/>
    <d v="2025-02-04T00:00:00"/>
    <x v="1"/>
    <x v="2"/>
    <x v="0"/>
    <s v="Returned"/>
    <n v="3740.01"/>
    <x v="1"/>
    <x v="1"/>
    <x v="1"/>
    <s v="Order Cancelled"/>
    <x v="1"/>
    <x v="1"/>
    <s v="Customer_9"/>
    <x v="38"/>
    <s v="A"/>
  </r>
  <r>
    <s v="ORD10829"/>
    <s v="CUST1012"/>
    <s v="PROD150"/>
    <d v="2025-03-13T00:00:00"/>
    <d v="2025-03-14T00:00:00"/>
    <m/>
    <x v="2"/>
    <x v="3"/>
    <x v="0"/>
    <s v="Returned"/>
    <n v="2370.65"/>
    <x v="3"/>
    <x v="4"/>
    <x v="0"/>
    <n v="1"/>
    <x v="0"/>
    <x v="0"/>
    <s v="Customer_216"/>
    <x v="23"/>
    <s v="B"/>
  </r>
  <r>
    <s v="ORD10830"/>
    <s v="CUST1055"/>
    <s v="PROD118"/>
    <d v="2025-05-01T00:00:00"/>
    <d v="2025-05-03T00:00:00"/>
    <m/>
    <x v="0"/>
    <x v="3"/>
    <x v="1"/>
    <s v="Returned"/>
    <n v="1278.0999999999999"/>
    <x v="4"/>
    <x v="5"/>
    <x v="0"/>
    <n v="2"/>
    <x v="0"/>
    <x v="0"/>
    <s v="Customer_113"/>
    <x v="5"/>
    <s v="D"/>
  </r>
  <r>
    <s v="ORD10831"/>
    <s v="CUST1024"/>
    <s v="PROD147"/>
    <d v="2025-03-12T00:00:00"/>
    <d v="2025-03-17T00:00:00"/>
    <m/>
    <x v="1"/>
    <x v="3"/>
    <x v="2"/>
    <s v="Cancelled"/>
    <n v="2371.71"/>
    <x v="3"/>
    <x v="4"/>
    <x v="0"/>
    <n v="5"/>
    <x v="0"/>
    <x v="2"/>
    <s v="Customer_266"/>
    <x v="1"/>
    <s v="A"/>
  </r>
  <r>
    <s v="ORD10832"/>
    <s v="CUST1179"/>
    <s v="PROD116"/>
    <d v="2025-04-25T00:00:00"/>
    <m/>
    <d v="2025-04-27T00:00:00"/>
    <x v="3"/>
    <x v="0"/>
    <x v="0"/>
    <s v="Delivered"/>
    <n v="876.11"/>
    <x v="0"/>
    <x v="1"/>
    <x v="1"/>
    <s v="Order Cancelled"/>
    <x v="1"/>
    <x v="1"/>
    <s v="Customer_57"/>
    <x v="34"/>
    <s v="C"/>
  </r>
  <r>
    <s v="ORD10833"/>
    <s v="CUST1203"/>
    <s v="PROD119"/>
    <d v="2025-01-07T00:00:00"/>
    <d v="2025-01-11T00:00:00"/>
    <m/>
    <x v="3"/>
    <x v="2"/>
    <x v="2"/>
    <s v="Delivered"/>
    <n v="1046.6600000000001"/>
    <x v="2"/>
    <x v="3"/>
    <x v="0"/>
    <n v="4"/>
    <x v="0"/>
    <x v="2"/>
    <s v="Customer_4"/>
    <x v="45"/>
    <s v="C"/>
  </r>
  <r>
    <s v="ORD10834"/>
    <s v="CUST1103"/>
    <s v="PROD149"/>
    <d v="2025-02-24T00:00:00"/>
    <d v="2025-02-27T00:00:00"/>
    <m/>
    <x v="2"/>
    <x v="0"/>
    <x v="3"/>
    <s v="Returned"/>
    <n v="2592.17"/>
    <x v="1"/>
    <x v="2"/>
    <x v="0"/>
    <n v="3"/>
    <x v="0"/>
    <x v="2"/>
    <s v="Customer_253"/>
    <x v="30"/>
    <s v="B"/>
  </r>
  <r>
    <s v="ORD10835"/>
    <s v="CUST1253"/>
    <s v="PROD129"/>
    <d v="2025-02-21T00:00:00"/>
    <d v="2025-02-25T00:00:00"/>
    <m/>
    <x v="3"/>
    <x v="1"/>
    <x v="3"/>
    <s v="Returned"/>
    <n v="2210.84"/>
    <x v="1"/>
    <x v="2"/>
    <x v="0"/>
    <n v="4"/>
    <x v="0"/>
    <x v="2"/>
    <s v="Customer_193"/>
    <x v="4"/>
    <s v="C"/>
  </r>
  <r>
    <s v="ORD10836"/>
    <s v="CUST1281"/>
    <s v="PROD104"/>
    <d v="2025-01-13T00:00:00"/>
    <d v="2025-01-18T00:00:00"/>
    <m/>
    <x v="3"/>
    <x v="4"/>
    <x v="0"/>
    <s v="Delivered"/>
    <n v="4591.26"/>
    <x v="2"/>
    <x v="3"/>
    <x v="0"/>
    <n v="5"/>
    <x v="0"/>
    <x v="2"/>
    <s v="Customer_175"/>
    <x v="24"/>
    <s v="C"/>
  </r>
  <r>
    <s v="ORD10837"/>
    <s v="CUST1148"/>
    <s v="PROD134"/>
    <d v="2025-01-21T00:00:00"/>
    <d v="2025-01-22T00:00:00"/>
    <m/>
    <x v="0"/>
    <x v="3"/>
    <x v="1"/>
    <s v="Delivered"/>
    <n v="1939.49"/>
    <x v="2"/>
    <x v="3"/>
    <x v="0"/>
    <n v="1"/>
    <x v="0"/>
    <x v="0"/>
    <s v="Customer_99"/>
    <x v="37"/>
    <s v="D"/>
  </r>
  <r>
    <s v="ORD10838"/>
    <s v="CUST1245"/>
    <s v="PROD101"/>
    <d v="2025-01-15T00:00:00"/>
    <m/>
    <d v="2025-01-17T00:00:00"/>
    <x v="1"/>
    <x v="3"/>
    <x v="1"/>
    <s v="Returned"/>
    <n v="2986.82"/>
    <x v="2"/>
    <x v="1"/>
    <x v="1"/>
    <s v="Order Cancelled"/>
    <x v="1"/>
    <x v="1"/>
    <s v="Customer_165"/>
    <x v="40"/>
    <s v="A"/>
  </r>
  <r>
    <s v="ORD10839"/>
    <s v="CUST1163"/>
    <s v="PROD141"/>
    <d v="2025-03-10T00:00:00"/>
    <d v="2025-03-15T00:00:00"/>
    <m/>
    <x v="3"/>
    <x v="0"/>
    <x v="2"/>
    <s v="Delivered"/>
    <n v="3234.87"/>
    <x v="3"/>
    <x v="4"/>
    <x v="0"/>
    <n v="5"/>
    <x v="0"/>
    <x v="2"/>
    <s v="Customer_129"/>
    <x v="13"/>
    <s v="C"/>
  </r>
  <r>
    <s v="ORD10840"/>
    <s v="CUST1287"/>
    <s v="PROD110"/>
    <d v="2025-01-12T00:00:00"/>
    <m/>
    <d v="2025-01-12T00:00:00"/>
    <x v="3"/>
    <x v="1"/>
    <x v="2"/>
    <s v="Cancelled"/>
    <n v="262.85000000000002"/>
    <x v="2"/>
    <x v="1"/>
    <x v="1"/>
    <s v="Order Cancelled"/>
    <x v="1"/>
    <x v="1"/>
    <s v="Customer_53"/>
    <x v="11"/>
    <s v="C"/>
  </r>
  <r>
    <s v="ORD10841"/>
    <s v="CUST1011"/>
    <s v="PROD138"/>
    <d v="2025-02-15T00:00:00"/>
    <m/>
    <d v="2025-02-17T00:00:00"/>
    <x v="1"/>
    <x v="2"/>
    <x v="3"/>
    <s v="Cancelled"/>
    <n v="3384.98"/>
    <x v="1"/>
    <x v="1"/>
    <x v="1"/>
    <s v="Order Cancelled"/>
    <x v="1"/>
    <x v="1"/>
    <s v="Customer_174"/>
    <x v="21"/>
    <s v="A"/>
  </r>
  <r>
    <s v="ORD10842"/>
    <s v="CUST1297"/>
    <s v="PROD132"/>
    <d v="2025-02-07T00:00:00"/>
    <d v="2025-02-09T00:00:00"/>
    <m/>
    <x v="2"/>
    <x v="2"/>
    <x v="4"/>
    <s v="Cancelled"/>
    <n v="1054.57"/>
    <x v="1"/>
    <x v="2"/>
    <x v="0"/>
    <n v="2"/>
    <x v="0"/>
    <x v="0"/>
    <s v="Customer_140"/>
    <x v="29"/>
    <s v="B"/>
  </r>
  <r>
    <s v="ORD10843"/>
    <s v="CUST1044"/>
    <s v="PROD123"/>
    <d v="2025-04-24T00:00:00"/>
    <m/>
    <d v="2025-04-25T00:00:00"/>
    <x v="2"/>
    <x v="0"/>
    <x v="3"/>
    <s v="Returned"/>
    <n v="4813.1400000000003"/>
    <x v="0"/>
    <x v="1"/>
    <x v="1"/>
    <s v="Order Cancelled"/>
    <x v="1"/>
    <x v="1"/>
    <s v="Customer_40"/>
    <x v="49"/>
    <s v="B"/>
  </r>
  <r>
    <s v="ORD10844"/>
    <s v="CUST1152"/>
    <s v="PROD104"/>
    <d v="2025-02-17T00:00:00"/>
    <d v="2025-02-19T00:00:00"/>
    <m/>
    <x v="1"/>
    <x v="2"/>
    <x v="4"/>
    <s v="Delivered"/>
    <n v="913.58"/>
    <x v="1"/>
    <x v="2"/>
    <x v="0"/>
    <n v="2"/>
    <x v="0"/>
    <x v="0"/>
    <s v="Customer_42"/>
    <x v="24"/>
    <s v="A"/>
  </r>
  <r>
    <s v="ORD10845"/>
    <s v="CUST1186"/>
    <s v="PROD148"/>
    <d v="2025-01-27T00:00:00"/>
    <d v="2025-02-02T00:00:00"/>
    <m/>
    <x v="1"/>
    <x v="3"/>
    <x v="3"/>
    <s v="Cancelled"/>
    <n v="2190.1999999999998"/>
    <x v="2"/>
    <x v="2"/>
    <x v="0"/>
    <n v="6"/>
    <x v="0"/>
    <x v="2"/>
    <s v="Customer_59"/>
    <x v="47"/>
    <s v="A"/>
  </r>
  <r>
    <s v="ORD10846"/>
    <s v="CUST1051"/>
    <s v="PROD104"/>
    <d v="2025-03-21T00:00:00"/>
    <m/>
    <d v="2025-03-21T00:00:00"/>
    <x v="0"/>
    <x v="0"/>
    <x v="0"/>
    <s v="Cancelled"/>
    <n v="609.67999999999995"/>
    <x v="3"/>
    <x v="1"/>
    <x v="1"/>
    <s v="Order Cancelled"/>
    <x v="1"/>
    <x v="1"/>
    <s v="Customer_52"/>
    <x v="24"/>
    <s v="D"/>
  </r>
  <r>
    <s v="ORD10847"/>
    <s v="CUST1223"/>
    <s v="PROD128"/>
    <d v="2025-03-23T00:00:00"/>
    <d v="2025-03-28T00:00:00"/>
    <m/>
    <x v="2"/>
    <x v="2"/>
    <x v="0"/>
    <s v="Delivered"/>
    <n v="4985"/>
    <x v="3"/>
    <x v="4"/>
    <x v="0"/>
    <n v="5"/>
    <x v="0"/>
    <x v="2"/>
    <s v="Customer_258"/>
    <x v="15"/>
    <s v="B"/>
  </r>
  <r>
    <s v="ORD10848"/>
    <s v="CUST1252"/>
    <s v="PROD123"/>
    <d v="2025-04-04T00:00:00"/>
    <m/>
    <d v="2025-04-05T00:00:00"/>
    <x v="3"/>
    <x v="2"/>
    <x v="0"/>
    <s v="Returned"/>
    <n v="2610.54"/>
    <x v="0"/>
    <x v="1"/>
    <x v="1"/>
    <s v="Order Cancelled"/>
    <x v="1"/>
    <x v="1"/>
    <s v="Customer_41"/>
    <x v="49"/>
    <s v="C"/>
  </r>
  <r>
    <s v="ORD10849"/>
    <s v="CUST1233"/>
    <s v="PROD135"/>
    <d v="2025-03-20T00:00:00"/>
    <d v="2025-03-24T00:00:00"/>
    <m/>
    <x v="2"/>
    <x v="2"/>
    <x v="0"/>
    <s v="Returned"/>
    <n v="3057.85"/>
    <x v="3"/>
    <x v="4"/>
    <x v="0"/>
    <n v="4"/>
    <x v="0"/>
    <x v="2"/>
    <s v="Customer_148"/>
    <x v="32"/>
    <s v="B"/>
  </r>
  <r>
    <s v="ORD10850"/>
    <s v="CUST1099"/>
    <s v="PROD117"/>
    <d v="2025-03-13T00:00:00"/>
    <m/>
    <d v="2025-03-15T00:00:00"/>
    <x v="1"/>
    <x v="4"/>
    <x v="4"/>
    <s v="Cancelled"/>
    <n v="521.97"/>
    <x v="3"/>
    <x v="1"/>
    <x v="1"/>
    <s v="Order Cancelled"/>
    <x v="1"/>
    <x v="1"/>
    <s v="Customer_280"/>
    <x v="28"/>
    <s v="A"/>
  </r>
  <r>
    <s v="ORD10851"/>
    <s v="CUST1143"/>
    <s v="PROD140"/>
    <d v="2025-01-18T00:00:00"/>
    <d v="2025-01-21T00:00:00"/>
    <m/>
    <x v="1"/>
    <x v="1"/>
    <x v="1"/>
    <s v="Delivered"/>
    <n v="3799.81"/>
    <x v="2"/>
    <x v="3"/>
    <x v="0"/>
    <n v="3"/>
    <x v="0"/>
    <x v="2"/>
    <s v="Customer_5"/>
    <x v="42"/>
    <s v="A"/>
  </r>
  <r>
    <s v="ORD10852"/>
    <s v="CUST1039"/>
    <s v="PROD126"/>
    <d v="2025-04-10T00:00:00"/>
    <d v="2025-04-14T00:00:00"/>
    <m/>
    <x v="3"/>
    <x v="2"/>
    <x v="2"/>
    <s v="Cancelled"/>
    <n v="1207.55"/>
    <x v="0"/>
    <x v="0"/>
    <x v="0"/>
    <n v="4"/>
    <x v="0"/>
    <x v="2"/>
    <s v="Customer_67"/>
    <x v="48"/>
    <s v="C"/>
  </r>
  <r>
    <s v="ORD10853"/>
    <s v="CUST1102"/>
    <s v="PROD144"/>
    <d v="2025-04-17T00:00:00"/>
    <m/>
    <d v="2025-04-19T00:00:00"/>
    <x v="0"/>
    <x v="0"/>
    <x v="3"/>
    <s v="Cancelled"/>
    <n v="4510.66"/>
    <x v="0"/>
    <x v="1"/>
    <x v="1"/>
    <s v="Order Cancelled"/>
    <x v="1"/>
    <x v="1"/>
    <s v="Customer_87"/>
    <x v="39"/>
    <s v="D"/>
  </r>
  <r>
    <s v="ORD10854"/>
    <s v="CUST1106"/>
    <s v="PROD141"/>
    <d v="2025-02-01T00:00:00"/>
    <m/>
    <d v="2025-02-02T00:00:00"/>
    <x v="2"/>
    <x v="1"/>
    <x v="1"/>
    <s v="Delivered"/>
    <n v="1184.67"/>
    <x v="1"/>
    <x v="1"/>
    <x v="1"/>
    <s v="Order Cancelled"/>
    <x v="1"/>
    <x v="1"/>
    <s v="Customer_58"/>
    <x v="13"/>
    <s v="B"/>
  </r>
  <r>
    <s v="ORD10855"/>
    <s v="CUST1099"/>
    <s v="PROD127"/>
    <d v="2025-03-13T00:00:00"/>
    <d v="2025-03-15T00:00:00"/>
    <m/>
    <x v="0"/>
    <x v="0"/>
    <x v="2"/>
    <s v="Cancelled"/>
    <n v="1115.3"/>
    <x v="3"/>
    <x v="4"/>
    <x v="0"/>
    <n v="2"/>
    <x v="0"/>
    <x v="0"/>
    <s v="Customer_280"/>
    <x v="36"/>
    <s v="D"/>
  </r>
  <r>
    <s v="ORD10856"/>
    <s v="CUST1053"/>
    <s v="PROD120"/>
    <d v="2025-02-28T00:00:00"/>
    <d v="2025-03-04T00:00:00"/>
    <m/>
    <x v="2"/>
    <x v="1"/>
    <x v="1"/>
    <s v="Returned"/>
    <n v="375.44"/>
    <x v="1"/>
    <x v="4"/>
    <x v="0"/>
    <n v="4"/>
    <x v="0"/>
    <x v="2"/>
    <s v="Customer_251"/>
    <x v="9"/>
    <s v="B"/>
  </r>
  <r>
    <s v="ORD10857"/>
    <s v="CUST1256"/>
    <s v="PROD138"/>
    <d v="2025-02-04T00:00:00"/>
    <d v="2025-02-09T00:00:00"/>
    <m/>
    <x v="3"/>
    <x v="2"/>
    <x v="3"/>
    <s v="Returned"/>
    <n v="2465.92"/>
    <x v="1"/>
    <x v="2"/>
    <x v="0"/>
    <n v="5"/>
    <x v="0"/>
    <x v="2"/>
    <s v="Customer_245"/>
    <x v="21"/>
    <s v="C"/>
  </r>
  <r>
    <s v="ORD10858"/>
    <s v="CUST1223"/>
    <s v="PROD122"/>
    <d v="2025-01-14T00:00:00"/>
    <d v="2025-01-19T00:00:00"/>
    <m/>
    <x v="3"/>
    <x v="2"/>
    <x v="2"/>
    <s v="Cancelled"/>
    <n v="2911.24"/>
    <x v="2"/>
    <x v="3"/>
    <x v="0"/>
    <n v="5"/>
    <x v="0"/>
    <x v="2"/>
    <s v="Customer_258"/>
    <x v="6"/>
    <s v="C"/>
  </r>
  <r>
    <s v="ORD10859"/>
    <s v="CUST1165"/>
    <s v="PROD141"/>
    <d v="2025-04-03T00:00:00"/>
    <d v="2025-04-08T00:00:00"/>
    <m/>
    <x v="1"/>
    <x v="0"/>
    <x v="4"/>
    <s v="Cancelled"/>
    <n v="515.4"/>
    <x v="0"/>
    <x v="0"/>
    <x v="0"/>
    <n v="5"/>
    <x v="0"/>
    <x v="2"/>
    <s v="Customer_155"/>
    <x v="13"/>
    <s v="A"/>
  </r>
  <r>
    <s v="ORD10860"/>
    <s v="CUST1071"/>
    <s v="PROD139"/>
    <d v="2025-02-24T00:00:00"/>
    <m/>
    <d v="2025-02-26T00:00:00"/>
    <x v="1"/>
    <x v="4"/>
    <x v="0"/>
    <s v="Returned"/>
    <n v="3922.53"/>
    <x v="1"/>
    <x v="1"/>
    <x v="1"/>
    <s v="Order Cancelled"/>
    <x v="1"/>
    <x v="1"/>
    <s v="Customer_132"/>
    <x v="10"/>
    <s v="A"/>
  </r>
  <r>
    <s v="ORD10861"/>
    <s v="CUST1276"/>
    <s v="PROD122"/>
    <d v="2025-02-19T00:00:00"/>
    <d v="2025-02-24T00:00:00"/>
    <m/>
    <x v="1"/>
    <x v="1"/>
    <x v="4"/>
    <s v="Cancelled"/>
    <n v="2375.79"/>
    <x v="1"/>
    <x v="2"/>
    <x v="0"/>
    <n v="5"/>
    <x v="0"/>
    <x v="2"/>
    <s v="Customer_10"/>
    <x v="6"/>
    <s v="A"/>
  </r>
  <r>
    <s v="ORD10862"/>
    <s v="CUST1181"/>
    <s v="PROD106"/>
    <d v="2025-02-15T00:00:00"/>
    <d v="2025-02-17T00:00:00"/>
    <m/>
    <x v="2"/>
    <x v="0"/>
    <x v="2"/>
    <s v="Cancelled"/>
    <n v="2717.07"/>
    <x v="1"/>
    <x v="2"/>
    <x v="0"/>
    <n v="2"/>
    <x v="0"/>
    <x v="0"/>
    <s v="Customer_241"/>
    <x v="43"/>
    <s v="B"/>
  </r>
  <r>
    <s v="ORD10863"/>
    <s v="CUST1022"/>
    <s v="PROD146"/>
    <d v="2025-04-15T00:00:00"/>
    <d v="2025-04-20T00:00:00"/>
    <m/>
    <x v="1"/>
    <x v="2"/>
    <x v="4"/>
    <s v="Cancelled"/>
    <n v="2315.66"/>
    <x v="0"/>
    <x v="0"/>
    <x v="0"/>
    <n v="5"/>
    <x v="0"/>
    <x v="2"/>
    <s v="Customer_217"/>
    <x v="31"/>
    <s v="A"/>
  </r>
  <r>
    <s v="ORD10864"/>
    <s v="CUST1187"/>
    <s v="PROD142"/>
    <d v="2025-04-27T00:00:00"/>
    <d v="2025-04-30T00:00:00"/>
    <m/>
    <x v="0"/>
    <x v="4"/>
    <x v="2"/>
    <s v="Delivered"/>
    <n v="2123.66"/>
    <x v="0"/>
    <x v="0"/>
    <x v="0"/>
    <n v="3"/>
    <x v="0"/>
    <x v="2"/>
    <s v="Customer_84"/>
    <x v="25"/>
    <s v="D"/>
  </r>
  <r>
    <s v="ORD10865"/>
    <s v="CUST1033"/>
    <s v="PROD137"/>
    <d v="2025-02-13T00:00:00"/>
    <d v="2025-02-16T00:00:00"/>
    <m/>
    <x v="3"/>
    <x v="4"/>
    <x v="0"/>
    <s v="Cancelled"/>
    <n v="2886.27"/>
    <x v="1"/>
    <x v="2"/>
    <x v="0"/>
    <n v="3"/>
    <x v="0"/>
    <x v="2"/>
    <s v="Customer_250"/>
    <x v="33"/>
    <s v="C"/>
  </r>
  <r>
    <s v="ORD10866"/>
    <s v="CUST1282"/>
    <s v="PROD102"/>
    <d v="2025-02-21T00:00:00"/>
    <m/>
    <d v="2025-02-23T00:00:00"/>
    <x v="1"/>
    <x v="1"/>
    <x v="4"/>
    <s v="Cancelled"/>
    <n v="945.15"/>
    <x v="1"/>
    <x v="1"/>
    <x v="1"/>
    <s v="Order Cancelled"/>
    <x v="1"/>
    <x v="1"/>
    <s v="Customer_137"/>
    <x v="16"/>
    <s v="A"/>
  </r>
  <r>
    <s v="ORD10867"/>
    <s v="CUST1132"/>
    <s v="PROD131"/>
    <d v="2025-01-28T00:00:00"/>
    <d v="2025-02-03T00:00:00"/>
    <m/>
    <x v="3"/>
    <x v="3"/>
    <x v="1"/>
    <s v="Returned"/>
    <n v="1073.26"/>
    <x v="2"/>
    <x v="2"/>
    <x v="0"/>
    <n v="6"/>
    <x v="0"/>
    <x v="2"/>
    <s v="Customer_44"/>
    <x v="46"/>
    <s v="C"/>
  </r>
  <r>
    <s v="ORD10868"/>
    <s v="CUST1254"/>
    <s v="PROD101"/>
    <d v="2025-04-13T00:00:00"/>
    <m/>
    <d v="2025-04-15T00:00:00"/>
    <x v="2"/>
    <x v="0"/>
    <x v="1"/>
    <s v="Delivered"/>
    <n v="4336.57"/>
    <x v="0"/>
    <x v="1"/>
    <x v="1"/>
    <s v="Order Cancelled"/>
    <x v="1"/>
    <x v="1"/>
    <s v="Customer_85"/>
    <x v="40"/>
    <s v="B"/>
  </r>
  <r>
    <s v="ORD10869"/>
    <s v="CUST1218"/>
    <s v="PROD131"/>
    <d v="2025-03-07T00:00:00"/>
    <d v="2025-03-10T00:00:00"/>
    <m/>
    <x v="1"/>
    <x v="4"/>
    <x v="3"/>
    <s v="Returned"/>
    <n v="4741.3500000000004"/>
    <x v="3"/>
    <x v="4"/>
    <x v="0"/>
    <n v="3"/>
    <x v="0"/>
    <x v="2"/>
    <s v="Customer_43"/>
    <x v="46"/>
    <s v="A"/>
  </r>
  <r>
    <s v="ORD10870"/>
    <s v="CUST1045"/>
    <s v="PROD101"/>
    <d v="2025-02-17T00:00:00"/>
    <d v="2025-02-18T00:00:00"/>
    <m/>
    <x v="1"/>
    <x v="4"/>
    <x v="4"/>
    <s v="Delivered"/>
    <n v="1991.88"/>
    <x v="1"/>
    <x v="2"/>
    <x v="0"/>
    <n v="1"/>
    <x v="0"/>
    <x v="0"/>
    <s v="Customer_230"/>
    <x v="40"/>
    <s v="A"/>
  </r>
  <r>
    <s v="ORD10871"/>
    <s v="CUST1169"/>
    <s v="PROD111"/>
    <d v="2025-03-22T00:00:00"/>
    <m/>
    <d v="2025-03-24T00:00:00"/>
    <x v="1"/>
    <x v="0"/>
    <x v="0"/>
    <s v="Cancelled"/>
    <n v="1499.57"/>
    <x v="3"/>
    <x v="1"/>
    <x v="1"/>
    <s v="Order Cancelled"/>
    <x v="1"/>
    <x v="1"/>
    <s v="Customer_228"/>
    <x v="44"/>
    <s v="A"/>
  </r>
  <r>
    <s v="ORD10872"/>
    <s v="CUST1037"/>
    <s v="PROD140"/>
    <d v="2025-03-15T00:00:00"/>
    <m/>
    <d v="2025-03-16T00:00:00"/>
    <x v="3"/>
    <x v="4"/>
    <x v="0"/>
    <s v="Returned"/>
    <n v="3291.2"/>
    <x v="3"/>
    <x v="1"/>
    <x v="1"/>
    <s v="Order Cancelled"/>
    <x v="1"/>
    <x v="1"/>
    <s v="Customer_222"/>
    <x v="42"/>
    <s v="C"/>
  </r>
  <r>
    <s v="ORD10873"/>
    <s v="CUST1129"/>
    <s v="PROD105"/>
    <d v="2025-03-03T00:00:00"/>
    <d v="2025-03-06T00:00:00"/>
    <m/>
    <x v="2"/>
    <x v="1"/>
    <x v="2"/>
    <s v="Delivered"/>
    <n v="2161.92"/>
    <x v="3"/>
    <x v="4"/>
    <x v="0"/>
    <n v="3"/>
    <x v="0"/>
    <x v="2"/>
    <s v="Customer_208"/>
    <x v="17"/>
    <s v="B"/>
  </r>
  <r>
    <s v="ORD10874"/>
    <s v="CUST1121"/>
    <s v="PROD139"/>
    <d v="2025-01-02T00:00:00"/>
    <m/>
    <d v="2025-01-02T00:00:00"/>
    <x v="2"/>
    <x v="4"/>
    <x v="2"/>
    <s v="Delivered"/>
    <n v="321.85000000000002"/>
    <x v="2"/>
    <x v="1"/>
    <x v="1"/>
    <s v="Order Cancelled"/>
    <x v="1"/>
    <x v="1"/>
    <s v="Customer_210"/>
    <x v="10"/>
    <s v="B"/>
  </r>
  <r>
    <s v="ORD10875"/>
    <s v="CUST1093"/>
    <s v="PROD142"/>
    <d v="2025-04-10T00:00:00"/>
    <d v="2025-04-14T00:00:00"/>
    <m/>
    <x v="1"/>
    <x v="3"/>
    <x v="2"/>
    <s v="Returned"/>
    <n v="949.53"/>
    <x v="0"/>
    <x v="0"/>
    <x v="0"/>
    <n v="4"/>
    <x v="0"/>
    <x v="2"/>
    <s v="Customer_277"/>
    <x v="25"/>
    <s v="A"/>
  </r>
  <r>
    <s v="ORD10876"/>
    <s v="CUST1086"/>
    <s v="PROD149"/>
    <d v="2025-01-09T00:00:00"/>
    <d v="2025-01-11T00:00:00"/>
    <m/>
    <x v="3"/>
    <x v="3"/>
    <x v="3"/>
    <s v="Returned"/>
    <n v="3636.67"/>
    <x v="2"/>
    <x v="3"/>
    <x v="0"/>
    <n v="2"/>
    <x v="0"/>
    <x v="0"/>
    <s v="Customer_191"/>
    <x v="30"/>
    <s v="C"/>
  </r>
  <r>
    <s v="ORD10877"/>
    <s v="CUST1226"/>
    <s v="PROD127"/>
    <d v="2025-04-22T00:00:00"/>
    <d v="2025-04-25T00:00:00"/>
    <m/>
    <x v="0"/>
    <x v="1"/>
    <x v="3"/>
    <s v="Returned"/>
    <n v="3362.83"/>
    <x v="0"/>
    <x v="0"/>
    <x v="0"/>
    <n v="3"/>
    <x v="0"/>
    <x v="2"/>
    <s v="Customer_219"/>
    <x v="36"/>
    <s v="D"/>
  </r>
  <r>
    <s v="ORD10878"/>
    <s v="CUST1021"/>
    <s v="PROD129"/>
    <d v="2025-03-02T00:00:00"/>
    <d v="2025-03-06T00:00:00"/>
    <m/>
    <x v="2"/>
    <x v="4"/>
    <x v="2"/>
    <s v="Returned"/>
    <n v="330.06"/>
    <x v="3"/>
    <x v="4"/>
    <x v="0"/>
    <n v="4"/>
    <x v="0"/>
    <x v="2"/>
    <s v="Customer_64"/>
    <x v="4"/>
    <s v="B"/>
  </r>
  <r>
    <s v="ORD10879"/>
    <s v="CUST1254"/>
    <s v="PROD105"/>
    <d v="2025-04-17T00:00:00"/>
    <d v="2025-04-21T00:00:00"/>
    <m/>
    <x v="2"/>
    <x v="2"/>
    <x v="4"/>
    <s v="Returned"/>
    <n v="1265.47"/>
    <x v="0"/>
    <x v="0"/>
    <x v="0"/>
    <n v="4"/>
    <x v="0"/>
    <x v="2"/>
    <s v="Customer_85"/>
    <x v="17"/>
    <s v="B"/>
  </r>
  <r>
    <s v="ORD10880"/>
    <s v="CUST1029"/>
    <s v="PROD146"/>
    <d v="2025-03-21T00:00:00"/>
    <m/>
    <d v="2025-03-21T00:00:00"/>
    <x v="2"/>
    <x v="4"/>
    <x v="4"/>
    <s v="Returned"/>
    <n v="1309.1600000000001"/>
    <x v="3"/>
    <x v="1"/>
    <x v="1"/>
    <s v="Order Cancelled"/>
    <x v="1"/>
    <x v="1"/>
    <s v="Customer_202"/>
    <x v="31"/>
    <s v="B"/>
  </r>
  <r>
    <s v="ORD10881"/>
    <s v="CUST1066"/>
    <s v="PROD124"/>
    <d v="2025-03-06T00:00:00"/>
    <m/>
    <d v="2025-03-07T00:00:00"/>
    <x v="3"/>
    <x v="1"/>
    <x v="3"/>
    <s v="Returned"/>
    <n v="3425.09"/>
    <x v="3"/>
    <x v="1"/>
    <x v="1"/>
    <s v="Order Cancelled"/>
    <x v="1"/>
    <x v="1"/>
    <s v="Customer_276"/>
    <x v="0"/>
    <s v="C"/>
  </r>
  <r>
    <s v="ORD10882"/>
    <s v="CUST1292"/>
    <s v="PROD147"/>
    <d v="2025-03-17T00:00:00"/>
    <d v="2025-03-18T00:00:00"/>
    <m/>
    <x v="2"/>
    <x v="4"/>
    <x v="4"/>
    <s v="Delivered"/>
    <n v="294.61"/>
    <x v="3"/>
    <x v="4"/>
    <x v="0"/>
    <n v="1"/>
    <x v="0"/>
    <x v="0"/>
    <s v="Customer_1"/>
    <x v="1"/>
    <s v="B"/>
  </r>
  <r>
    <s v="ORD10883"/>
    <s v="CUST1294"/>
    <s v="PROD106"/>
    <d v="2025-01-31T00:00:00"/>
    <m/>
    <d v="2025-02-02T00:00:00"/>
    <x v="0"/>
    <x v="2"/>
    <x v="1"/>
    <s v="Returned"/>
    <n v="699.72"/>
    <x v="2"/>
    <x v="1"/>
    <x v="1"/>
    <s v="Order Cancelled"/>
    <x v="1"/>
    <x v="1"/>
    <s v="Customer_27"/>
    <x v="43"/>
    <s v="D"/>
  </r>
  <r>
    <s v="ORD10884"/>
    <s v="CUST1188"/>
    <s v="PROD112"/>
    <d v="2025-03-12T00:00:00"/>
    <d v="2025-03-16T00:00:00"/>
    <m/>
    <x v="1"/>
    <x v="3"/>
    <x v="0"/>
    <s v="Delivered"/>
    <n v="4039.6"/>
    <x v="3"/>
    <x v="4"/>
    <x v="0"/>
    <n v="4"/>
    <x v="0"/>
    <x v="2"/>
    <s v="Customer_7"/>
    <x v="7"/>
    <s v="A"/>
  </r>
  <r>
    <s v="ORD10885"/>
    <s v="CUST1181"/>
    <s v="PROD139"/>
    <d v="2025-04-11T00:00:00"/>
    <d v="2025-04-16T00:00:00"/>
    <m/>
    <x v="2"/>
    <x v="2"/>
    <x v="3"/>
    <s v="Returned"/>
    <n v="1057.01"/>
    <x v="0"/>
    <x v="0"/>
    <x v="0"/>
    <n v="5"/>
    <x v="0"/>
    <x v="2"/>
    <s v="Customer_241"/>
    <x v="10"/>
    <s v="B"/>
  </r>
  <r>
    <s v="ORD10886"/>
    <s v="CUST1235"/>
    <s v="PROD129"/>
    <d v="2025-03-03T00:00:00"/>
    <d v="2025-03-08T00:00:00"/>
    <m/>
    <x v="0"/>
    <x v="2"/>
    <x v="0"/>
    <s v="Cancelled"/>
    <n v="3333.18"/>
    <x v="3"/>
    <x v="4"/>
    <x v="0"/>
    <n v="5"/>
    <x v="0"/>
    <x v="2"/>
    <s v="Customer_267"/>
    <x v="4"/>
    <s v="D"/>
  </r>
  <r>
    <s v="ORD10887"/>
    <s v="CUST1100"/>
    <s v="PROD120"/>
    <d v="2025-04-07T00:00:00"/>
    <m/>
    <d v="2025-04-08T00:00:00"/>
    <x v="0"/>
    <x v="0"/>
    <x v="1"/>
    <s v="Delivered"/>
    <n v="1343.28"/>
    <x v="0"/>
    <x v="1"/>
    <x v="1"/>
    <s v="Order Cancelled"/>
    <x v="1"/>
    <x v="1"/>
    <s v="Customer_269"/>
    <x v="9"/>
    <s v="D"/>
  </r>
  <r>
    <s v="ORD10888"/>
    <s v="CUST1067"/>
    <s v="PROD132"/>
    <d v="2025-04-22T00:00:00"/>
    <m/>
    <d v="2025-04-23T00:00:00"/>
    <x v="0"/>
    <x v="3"/>
    <x v="0"/>
    <s v="Cancelled"/>
    <n v="677.32"/>
    <x v="0"/>
    <x v="1"/>
    <x v="1"/>
    <s v="Order Cancelled"/>
    <x v="1"/>
    <x v="1"/>
    <s v="Customer_46"/>
    <x v="29"/>
    <s v="D"/>
  </r>
  <r>
    <s v="ORD10889"/>
    <s v="CUST1183"/>
    <s v="PROD107"/>
    <d v="2025-02-17T00:00:00"/>
    <m/>
    <d v="2025-02-19T00:00:00"/>
    <x v="0"/>
    <x v="2"/>
    <x v="1"/>
    <s v="Returned"/>
    <n v="1367.23"/>
    <x v="1"/>
    <x v="1"/>
    <x v="1"/>
    <s v="Order Cancelled"/>
    <x v="1"/>
    <x v="1"/>
    <s v="Customer_203"/>
    <x v="8"/>
    <s v="D"/>
  </r>
  <r>
    <s v="ORD10890"/>
    <s v="CUST1004"/>
    <s v="PROD150"/>
    <d v="2025-01-10T00:00:00"/>
    <d v="2025-01-15T00:00:00"/>
    <m/>
    <x v="1"/>
    <x v="3"/>
    <x v="3"/>
    <s v="Delivered"/>
    <n v="3666.88"/>
    <x v="2"/>
    <x v="3"/>
    <x v="0"/>
    <n v="5"/>
    <x v="0"/>
    <x v="2"/>
    <s v="Customer_261"/>
    <x v="23"/>
    <s v="A"/>
  </r>
  <r>
    <s v="ORD10891"/>
    <s v="CUST1035"/>
    <s v="PROD102"/>
    <d v="2025-04-11T00:00:00"/>
    <d v="2025-04-16T00:00:00"/>
    <m/>
    <x v="0"/>
    <x v="4"/>
    <x v="1"/>
    <s v="Cancelled"/>
    <n v="4307.34"/>
    <x v="0"/>
    <x v="0"/>
    <x v="0"/>
    <n v="5"/>
    <x v="0"/>
    <x v="2"/>
    <s v="Customer_0"/>
    <x v="16"/>
    <s v="D"/>
  </r>
  <r>
    <s v="ORD10892"/>
    <s v="CUST1091"/>
    <s v="PROD126"/>
    <d v="2025-04-20T00:00:00"/>
    <d v="2025-04-24T00:00:00"/>
    <m/>
    <x v="2"/>
    <x v="1"/>
    <x v="4"/>
    <s v="Delivered"/>
    <n v="4185.0600000000004"/>
    <x v="0"/>
    <x v="0"/>
    <x v="0"/>
    <n v="4"/>
    <x v="0"/>
    <x v="2"/>
    <s v="Customer_73"/>
    <x v="48"/>
    <s v="B"/>
  </r>
  <r>
    <s v="ORD10893"/>
    <s v="CUST1073"/>
    <s v="PROD139"/>
    <d v="2025-04-28T00:00:00"/>
    <d v="2025-05-04T00:00:00"/>
    <m/>
    <x v="3"/>
    <x v="0"/>
    <x v="0"/>
    <s v="Returned"/>
    <n v="2106.48"/>
    <x v="0"/>
    <x v="5"/>
    <x v="0"/>
    <n v="6"/>
    <x v="0"/>
    <x v="2"/>
    <s v="Customer_186"/>
    <x v="10"/>
    <s v="C"/>
  </r>
  <r>
    <s v="ORD10894"/>
    <s v="CUST1267"/>
    <s v="PROD124"/>
    <d v="2025-04-12T00:00:00"/>
    <d v="2025-04-13T00:00:00"/>
    <m/>
    <x v="3"/>
    <x v="0"/>
    <x v="0"/>
    <s v="Returned"/>
    <n v="3406.81"/>
    <x v="0"/>
    <x v="0"/>
    <x v="0"/>
    <n v="1"/>
    <x v="0"/>
    <x v="0"/>
    <s v="Customer_98"/>
    <x v="0"/>
    <s v="C"/>
  </r>
  <r>
    <s v="ORD10895"/>
    <s v="CUST1189"/>
    <s v="PROD111"/>
    <d v="2025-01-01T00:00:00"/>
    <d v="2025-01-05T00:00:00"/>
    <m/>
    <x v="1"/>
    <x v="2"/>
    <x v="0"/>
    <s v="Returned"/>
    <n v="1183.92"/>
    <x v="2"/>
    <x v="3"/>
    <x v="0"/>
    <n v="4"/>
    <x v="0"/>
    <x v="2"/>
    <s v="Customer_32"/>
    <x v="44"/>
    <s v="A"/>
  </r>
  <r>
    <s v="ORD10896"/>
    <s v="CUST1158"/>
    <s v="PROD124"/>
    <d v="2025-01-28T00:00:00"/>
    <m/>
    <d v="2025-01-29T00:00:00"/>
    <x v="1"/>
    <x v="1"/>
    <x v="1"/>
    <s v="Cancelled"/>
    <n v="1607.11"/>
    <x v="2"/>
    <x v="1"/>
    <x v="1"/>
    <s v="Order Cancelled"/>
    <x v="1"/>
    <x v="1"/>
    <s v="Customer_125"/>
    <x v="0"/>
    <s v="A"/>
  </r>
  <r>
    <s v="ORD10897"/>
    <s v="CUST1226"/>
    <s v="PROD127"/>
    <d v="2025-05-01T00:00:00"/>
    <d v="2025-05-07T00:00:00"/>
    <m/>
    <x v="3"/>
    <x v="0"/>
    <x v="2"/>
    <s v="Returned"/>
    <n v="4502.41"/>
    <x v="4"/>
    <x v="5"/>
    <x v="0"/>
    <n v="6"/>
    <x v="0"/>
    <x v="2"/>
    <s v="Customer_219"/>
    <x v="36"/>
    <s v="C"/>
  </r>
  <r>
    <s v="ORD10898"/>
    <s v="CUST1135"/>
    <s v="PROD145"/>
    <d v="2025-01-13T00:00:00"/>
    <d v="2025-01-15T00:00:00"/>
    <m/>
    <x v="2"/>
    <x v="4"/>
    <x v="2"/>
    <s v="Delivered"/>
    <n v="262.41000000000003"/>
    <x v="2"/>
    <x v="3"/>
    <x v="0"/>
    <n v="2"/>
    <x v="0"/>
    <x v="0"/>
    <s v="Customer_126"/>
    <x v="27"/>
    <s v="B"/>
  </r>
  <r>
    <s v="ORD10899"/>
    <s v="CUST1034"/>
    <s v="PROD128"/>
    <d v="2025-01-23T00:00:00"/>
    <d v="2025-01-25T00:00:00"/>
    <m/>
    <x v="3"/>
    <x v="3"/>
    <x v="2"/>
    <s v="Delivered"/>
    <n v="610.44000000000005"/>
    <x v="2"/>
    <x v="3"/>
    <x v="0"/>
    <n v="2"/>
    <x v="0"/>
    <x v="0"/>
    <s v="Customer_22"/>
    <x v="15"/>
    <s v="C"/>
  </r>
  <r>
    <s v="ORD10900"/>
    <s v="CUST1014"/>
    <s v="PROD138"/>
    <d v="2025-03-13T00:00:00"/>
    <m/>
    <d v="2025-03-15T00:00:00"/>
    <x v="3"/>
    <x v="1"/>
    <x v="1"/>
    <s v="Delivered"/>
    <n v="1197.8499999999999"/>
    <x v="3"/>
    <x v="1"/>
    <x v="1"/>
    <s v="Order Cancelled"/>
    <x v="1"/>
    <x v="1"/>
    <s v="Customer_188"/>
    <x v="21"/>
    <s v="C"/>
  </r>
  <r>
    <s v="ORD10901"/>
    <s v="CUST1198"/>
    <s v="PROD144"/>
    <d v="2025-03-24T00:00:00"/>
    <m/>
    <d v="2025-03-25T00:00:00"/>
    <x v="1"/>
    <x v="0"/>
    <x v="0"/>
    <s v="Delivered"/>
    <n v="327.35000000000002"/>
    <x v="3"/>
    <x v="1"/>
    <x v="1"/>
    <s v="Order Cancelled"/>
    <x v="1"/>
    <x v="1"/>
    <s v="Customer_107"/>
    <x v="39"/>
    <s v="A"/>
  </r>
  <r>
    <s v="ORD10902"/>
    <s v="CUST1280"/>
    <s v="PROD149"/>
    <d v="2025-03-12T00:00:00"/>
    <m/>
    <d v="2025-03-13T00:00:00"/>
    <x v="0"/>
    <x v="4"/>
    <x v="1"/>
    <s v="Delivered"/>
    <n v="1070.8900000000001"/>
    <x v="3"/>
    <x v="1"/>
    <x v="1"/>
    <s v="Order Cancelled"/>
    <x v="1"/>
    <x v="1"/>
    <s v="Customer_82"/>
    <x v="30"/>
    <s v="D"/>
  </r>
  <r>
    <s v="ORD10903"/>
    <s v="CUST1199"/>
    <s v="PROD132"/>
    <d v="2025-02-13T00:00:00"/>
    <d v="2025-02-14T00:00:00"/>
    <m/>
    <x v="1"/>
    <x v="2"/>
    <x v="2"/>
    <s v="Returned"/>
    <n v="2998.6"/>
    <x v="1"/>
    <x v="2"/>
    <x v="0"/>
    <n v="1"/>
    <x v="0"/>
    <x v="0"/>
    <s v="Customer_259"/>
    <x v="29"/>
    <s v="A"/>
  </r>
  <r>
    <s v="ORD10904"/>
    <s v="CUST1037"/>
    <s v="PROD113"/>
    <d v="2025-02-04T00:00:00"/>
    <m/>
    <d v="2025-02-06T00:00:00"/>
    <x v="3"/>
    <x v="2"/>
    <x v="1"/>
    <s v="Cancelled"/>
    <n v="2222.84"/>
    <x v="1"/>
    <x v="1"/>
    <x v="1"/>
    <s v="Order Cancelled"/>
    <x v="1"/>
    <x v="1"/>
    <s v="Customer_222"/>
    <x v="3"/>
    <s v="C"/>
  </r>
  <r>
    <s v="ORD10905"/>
    <s v="CUST1212"/>
    <s v="PROD135"/>
    <d v="2025-04-05T00:00:00"/>
    <d v="2025-04-09T00:00:00"/>
    <m/>
    <x v="1"/>
    <x v="3"/>
    <x v="0"/>
    <s v="Returned"/>
    <n v="4484.82"/>
    <x v="0"/>
    <x v="0"/>
    <x v="0"/>
    <n v="4"/>
    <x v="0"/>
    <x v="2"/>
    <s v="Customer_279"/>
    <x v="32"/>
    <s v="A"/>
  </r>
  <r>
    <s v="ORD10906"/>
    <s v="CUST1015"/>
    <s v="PROD127"/>
    <d v="2025-02-10T00:00:00"/>
    <d v="2025-02-12T00:00:00"/>
    <m/>
    <x v="0"/>
    <x v="1"/>
    <x v="4"/>
    <s v="Returned"/>
    <n v="4123.7299999999996"/>
    <x v="1"/>
    <x v="2"/>
    <x v="0"/>
    <n v="2"/>
    <x v="0"/>
    <x v="0"/>
    <s v="Customer_122"/>
    <x v="36"/>
    <s v="D"/>
  </r>
  <r>
    <s v="ORD10907"/>
    <s v="CUST1229"/>
    <s v="PROD134"/>
    <d v="2025-01-28T00:00:00"/>
    <m/>
    <d v="2025-01-30T00:00:00"/>
    <x v="0"/>
    <x v="2"/>
    <x v="0"/>
    <s v="Cancelled"/>
    <n v="1840.72"/>
    <x v="2"/>
    <x v="1"/>
    <x v="1"/>
    <s v="Order Cancelled"/>
    <x v="1"/>
    <x v="1"/>
    <s v="Customer_278"/>
    <x v="37"/>
    <s v="D"/>
  </r>
  <r>
    <s v="ORD10908"/>
    <s v="CUST1068"/>
    <s v="PROD132"/>
    <d v="2025-01-26T00:00:00"/>
    <d v="2025-01-28T00:00:00"/>
    <m/>
    <x v="3"/>
    <x v="2"/>
    <x v="4"/>
    <s v="Delivered"/>
    <n v="1445.23"/>
    <x v="2"/>
    <x v="3"/>
    <x v="0"/>
    <n v="2"/>
    <x v="0"/>
    <x v="0"/>
    <s v="Customer_213"/>
    <x v="29"/>
    <s v="C"/>
  </r>
  <r>
    <s v="ORD10909"/>
    <s v="CUST1037"/>
    <s v="PROD134"/>
    <d v="2025-03-16T00:00:00"/>
    <m/>
    <d v="2025-03-16T00:00:00"/>
    <x v="1"/>
    <x v="4"/>
    <x v="2"/>
    <s v="Returned"/>
    <n v="2022.52"/>
    <x v="3"/>
    <x v="1"/>
    <x v="1"/>
    <s v="Order Cancelled"/>
    <x v="1"/>
    <x v="1"/>
    <s v="Customer_222"/>
    <x v="37"/>
    <s v="A"/>
  </r>
  <r>
    <s v="ORD10910"/>
    <s v="CUST1247"/>
    <s v="PROD105"/>
    <d v="2025-01-03T00:00:00"/>
    <m/>
    <d v="2025-01-03T00:00:00"/>
    <x v="3"/>
    <x v="3"/>
    <x v="1"/>
    <s v="Cancelled"/>
    <n v="3033.42"/>
    <x v="2"/>
    <x v="1"/>
    <x v="1"/>
    <s v="Order Cancelled"/>
    <x v="1"/>
    <x v="1"/>
    <s v="Customer_20"/>
    <x v="17"/>
    <s v="C"/>
  </r>
  <r>
    <s v="ORD10911"/>
    <s v="CUST1060"/>
    <s v="PROD113"/>
    <d v="2025-03-26T00:00:00"/>
    <d v="2025-03-31T00:00:00"/>
    <m/>
    <x v="1"/>
    <x v="4"/>
    <x v="2"/>
    <s v="Returned"/>
    <n v="1486.71"/>
    <x v="3"/>
    <x v="4"/>
    <x v="0"/>
    <n v="5"/>
    <x v="0"/>
    <x v="2"/>
    <s v="Customer_243"/>
    <x v="3"/>
    <s v="A"/>
  </r>
  <r>
    <s v="ORD10912"/>
    <s v="CUST1043"/>
    <s v="PROD127"/>
    <d v="2025-02-12T00:00:00"/>
    <d v="2025-02-17T00:00:00"/>
    <m/>
    <x v="1"/>
    <x v="3"/>
    <x v="4"/>
    <s v="Returned"/>
    <n v="3195.91"/>
    <x v="1"/>
    <x v="2"/>
    <x v="0"/>
    <n v="5"/>
    <x v="0"/>
    <x v="2"/>
    <s v="Customer_234"/>
    <x v="36"/>
    <s v="A"/>
  </r>
  <r>
    <s v="ORD10913"/>
    <s v="CUST1010"/>
    <s v="PROD138"/>
    <d v="2025-04-20T00:00:00"/>
    <m/>
    <d v="2025-04-20T00:00:00"/>
    <x v="2"/>
    <x v="3"/>
    <x v="3"/>
    <s v="Delivered"/>
    <n v="2165.1799999999998"/>
    <x v="0"/>
    <x v="1"/>
    <x v="1"/>
    <s v="Order Cancelled"/>
    <x v="1"/>
    <x v="1"/>
    <s v="Customer_236"/>
    <x v="21"/>
    <s v="B"/>
  </r>
  <r>
    <s v="ORD10914"/>
    <s v="CUST1141"/>
    <s v="PROD119"/>
    <d v="2025-03-27T00:00:00"/>
    <m/>
    <d v="2025-03-28T00:00:00"/>
    <x v="1"/>
    <x v="4"/>
    <x v="1"/>
    <s v="Cancelled"/>
    <n v="2849.83"/>
    <x v="3"/>
    <x v="1"/>
    <x v="1"/>
    <s v="Order Cancelled"/>
    <x v="1"/>
    <x v="1"/>
    <s v="Customer_157"/>
    <x v="45"/>
    <s v="A"/>
  </r>
  <r>
    <s v="ORD10915"/>
    <s v="CUST1152"/>
    <s v="PROD135"/>
    <d v="2025-03-08T00:00:00"/>
    <d v="2025-03-11T00:00:00"/>
    <m/>
    <x v="1"/>
    <x v="3"/>
    <x v="1"/>
    <s v="Returned"/>
    <n v="2293.41"/>
    <x v="3"/>
    <x v="4"/>
    <x v="0"/>
    <n v="3"/>
    <x v="0"/>
    <x v="2"/>
    <s v="Customer_42"/>
    <x v="32"/>
    <s v="A"/>
  </r>
  <r>
    <s v="ORD10916"/>
    <s v="CUST1264"/>
    <s v="PROD119"/>
    <d v="2025-01-31T00:00:00"/>
    <d v="2025-02-02T00:00:00"/>
    <m/>
    <x v="2"/>
    <x v="3"/>
    <x v="0"/>
    <s v="Returned"/>
    <n v="1613.44"/>
    <x v="2"/>
    <x v="2"/>
    <x v="0"/>
    <n v="2"/>
    <x v="0"/>
    <x v="0"/>
    <s v="Customer_173"/>
    <x v="45"/>
    <s v="B"/>
  </r>
  <r>
    <s v="ORD10917"/>
    <s v="CUST1068"/>
    <s v="PROD132"/>
    <d v="2025-03-10T00:00:00"/>
    <m/>
    <d v="2025-03-11T00:00:00"/>
    <x v="1"/>
    <x v="4"/>
    <x v="0"/>
    <s v="Cancelled"/>
    <n v="4752.58"/>
    <x v="3"/>
    <x v="1"/>
    <x v="1"/>
    <s v="Order Cancelled"/>
    <x v="1"/>
    <x v="1"/>
    <s v="Customer_213"/>
    <x v="29"/>
    <s v="A"/>
  </r>
  <r>
    <s v="ORD10918"/>
    <s v="CUST1049"/>
    <s v="PROD148"/>
    <d v="2025-04-08T00:00:00"/>
    <m/>
    <d v="2025-04-10T00:00:00"/>
    <x v="1"/>
    <x v="4"/>
    <x v="3"/>
    <s v="Cancelled"/>
    <n v="3865.31"/>
    <x v="0"/>
    <x v="1"/>
    <x v="1"/>
    <s v="Order Cancelled"/>
    <x v="1"/>
    <x v="1"/>
    <s v="Customer_244"/>
    <x v="47"/>
    <s v="A"/>
  </r>
  <r>
    <s v="ORD10919"/>
    <s v="CUST1043"/>
    <s v="PROD127"/>
    <d v="2025-04-02T00:00:00"/>
    <d v="2025-04-07T00:00:00"/>
    <m/>
    <x v="2"/>
    <x v="2"/>
    <x v="4"/>
    <s v="Delivered"/>
    <n v="872.54"/>
    <x v="0"/>
    <x v="0"/>
    <x v="0"/>
    <n v="5"/>
    <x v="0"/>
    <x v="2"/>
    <s v="Customer_234"/>
    <x v="36"/>
    <s v="B"/>
  </r>
  <r>
    <s v="ORD10920"/>
    <s v="CUST1273"/>
    <s v="PROD137"/>
    <d v="2025-04-15T00:00:00"/>
    <d v="2025-04-19T00:00:00"/>
    <m/>
    <x v="2"/>
    <x v="3"/>
    <x v="4"/>
    <s v="Returned"/>
    <n v="4368.6499999999996"/>
    <x v="0"/>
    <x v="0"/>
    <x v="0"/>
    <n v="4"/>
    <x v="0"/>
    <x v="2"/>
    <s v="Customer_96"/>
    <x v="33"/>
    <s v="B"/>
  </r>
  <r>
    <s v="ORD10921"/>
    <s v="CUST1001"/>
    <s v="PROD105"/>
    <d v="2025-02-12T00:00:00"/>
    <d v="2025-02-14T00:00:00"/>
    <m/>
    <x v="1"/>
    <x v="4"/>
    <x v="3"/>
    <s v="Cancelled"/>
    <n v="2539.67"/>
    <x v="1"/>
    <x v="2"/>
    <x v="0"/>
    <n v="2"/>
    <x v="0"/>
    <x v="0"/>
    <s v="Customer_284"/>
    <x v="17"/>
    <s v="A"/>
  </r>
  <r>
    <s v="ORD10922"/>
    <s v="CUST1133"/>
    <s v="PROD148"/>
    <d v="2025-02-08T00:00:00"/>
    <d v="2025-02-13T00:00:00"/>
    <m/>
    <x v="3"/>
    <x v="2"/>
    <x v="1"/>
    <s v="Cancelled"/>
    <n v="4493.8500000000004"/>
    <x v="1"/>
    <x v="2"/>
    <x v="0"/>
    <n v="5"/>
    <x v="0"/>
    <x v="2"/>
    <s v="Customer_275"/>
    <x v="47"/>
    <s v="C"/>
  </r>
  <r>
    <s v="ORD10923"/>
    <s v="CUST1154"/>
    <s v="PROD102"/>
    <d v="2025-03-25T00:00:00"/>
    <d v="2025-03-26T00:00:00"/>
    <m/>
    <x v="2"/>
    <x v="2"/>
    <x v="0"/>
    <s v="Cancelled"/>
    <n v="4039.31"/>
    <x v="3"/>
    <x v="4"/>
    <x v="0"/>
    <n v="1"/>
    <x v="0"/>
    <x v="0"/>
    <s v="Customer_176"/>
    <x v="16"/>
    <s v="B"/>
  </r>
  <r>
    <s v="ORD10924"/>
    <s v="CUST1241"/>
    <s v="PROD146"/>
    <d v="2025-01-23T00:00:00"/>
    <d v="2025-01-24T00:00:00"/>
    <m/>
    <x v="2"/>
    <x v="2"/>
    <x v="3"/>
    <s v="Cancelled"/>
    <n v="2241.02"/>
    <x v="2"/>
    <x v="3"/>
    <x v="0"/>
    <n v="1"/>
    <x v="0"/>
    <x v="0"/>
    <s v="Customer_205"/>
    <x v="31"/>
    <s v="B"/>
  </r>
  <r>
    <s v="ORD10925"/>
    <s v="CUST1067"/>
    <s v="PROD134"/>
    <d v="2025-02-02T00:00:00"/>
    <d v="2025-02-06T00:00:00"/>
    <m/>
    <x v="0"/>
    <x v="3"/>
    <x v="1"/>
    <s v="Cancelled"/>
    <n v="307.85000000000002"/>
    <x v="1"/>
    <x v="2"/>
    <x v="0"/>
    <n v="4"/>
    <x v="0"/>
    <x v="2"/>
    <s v="Customer_46"/>
    <x v="37"/>
    <s v="D"/>
  </r>
  <r>
    <s v="ORD10926"/>
    <s v="CUST1300"/>
    <s v="PROD113"/>
    <d v="2025-04-17T00:00:00"/>
    <d v="2025-04-18T00:00:00"/>
    <m/>
    <x v="0"/>
    <x v="1"/>
    <x v="4"/>
    <s v="Cancelled"/>
    <n v="1489.65"/>
    <x v="0"/>
    <x v="0"/>
    <x v="0"/>
    <n v="1"/>
    <x v="0"/>
    <x v="0"/>
    <s v="Customer_9"/>
    <x v="3"/>
    <s v="D"/>
  </r>
  <r>
    <s v="ORD10927"/>
    <s v="CUST1068"/>
    <s v="PROD134"/>
    <d v="2025-04-07T00:00:00"/>
    <d v="2025-04-12T00:00:00"/>
    <m/>
    <x v="2"/>
    <x v="1"/>
    <x v="2"/>
    <s v="Returned"/>
    <n v="2799.84"/>
    <x v="0"/>
    <x v="0"/>
    <x v="0"/>
    <n v="5"/>
    <x v="0"/>
    <x v="2"/>
    <s v="Customer_213"/>
    <x v="37"/>
    <s v="B"/>
  </r>
  <r>
    <s v="ORD10928"/>
    <s v="CUST1208"/>
    <s v="PROD138"/>
    <d v="2025-04-24T00:00:00"/>
    <m/>
    <d v="2025-04-26T00:00:00"/>
    <x v="0"/>
    <x v="3"/>
    <x v="3"/>
    <s v="Returned"/>
    <n v="3240.7"/>
    <x v="0"/>
    <x v="1"/>
    <x v="1"/>
    <s v="Order Cancelled"/>
    <x v="1"/>
    <x v="1"/>
    <s v="Customer_79"/>
    <x v="21"/>
    <s v="D"/>
  </r>
  <r>
    <s v="ORD10929"/>
    <s v="CUST1118"/>
    <s v="PROD137"/>
    <d v="2025-02-24T00:00:00"/>
    <d v="2025-02-25T00:00:00"/>
    <m/>
    <x v="1"/>
    <x v="1"/>
    <x v="2"/>
    <s v="Delivered"/>
    <n v="1437.86"/>
    <x v="1"/>
    <x v="2"/>
    <x v="0"/>
    <n v="1"/>
    <x v="0"/>
    <x v="0"/>
    <s v="Customer_214"/>
    <x v="33"/>
    <s v="A"/>
  </r>
  <r>
    <s v="ORD10930"/>
    <s v="CUST1011"/>
    <s v="PROD114"/>
    <d v="2025-04-03T00:00:00"/>
    <d v="2025-04-06T00:00:00"/>
    <m/>
    <x v="1"/>
    <x v="1"/>
    <x v="2"/>
    <s v="Returned"/>
    <n v="868.91"/>
    <x v="0"/>
    <x v="0"/>
    <x v="0"/>
    <n v="3"/>
    <x v="0"/>
    <x v="2"/>
    <s v="Customer_174"/>
    <x v="18"/>
    <s v="A"/>
  </r>
  <r>
    <s v="ORD10931"/>
    <s v="CUST1008"/>
    <s v="PROD123"/>
    <d v="2025-03-07T00:00:00"/>
    <d v="2025-03-12T00:00:00"/>
    <m/>
    <x v="3"/>
    <x v="2"/>
    <x v="3"/>
    <s v="Delivered"/>
    <n v="4207.67"/>
    <x v="3"/>
    <x v="4"/>
    <x v="0"/>
    <n v="5"/>
    <x v="0"/>
    <x v="2"/>
    <s v="Customer_128"/>
    <x v="49"/>
    <s v="C"/>
  </r>
  <r>
    <s v="ORD10932"/>
    <s v="CUST1240"/>
    <s v="PROD106"/>
    <d v="2025-04-13T00:00:00"/>
    <d v="2025-04-18T00:00:00"/>
    <m/>
    <x v="3"/>
    <x v="4"/>
    <x v="1"/>
    <s v="Delivered"/>
    <n v="4925.13"/>
    <x v="0"/>
    <x v="0"/>
    <x v="0"/>
    <n v="5"/>
    <x v="0"/>
    <x v="2"/>
    <s v="Customer_78"/>
    <x v="43"/>
    <s v="C"/>
  </r>
  <r>
    <s v="ORD10933"/>
    <s v="CUST1178"/>
    <s v="PROD136"/>
    <d v="2025-04-26T00:00:00"/>
    <d v="2025-05-02T00:00:00"/>
    <m/>
    <x v="3"/>
    <x v="2"/>
    <x v="2"/>
    <s v="Returned"/>
    <n v="2723.31"/>
    <x v="0"/>
    <x v="5"/>
    <x v="0"/>
    <n v="6"/>
    <x v="0"/>
    <x v="2"/>
    <s v="Customer_134"/>
    <x v="38"/>
    <s v="C"/>
  </r>
  <r>
    <s v="ORD10934"/>
    <s v="CUST1095"/>
    <s v="PROD148"/>
    <d v="2025-04-02T00:00:00"/>
    <d v="2025-04-08T00:00:00"/>
    <m/>
    <x v="3"/>
    <x v="4"/>
    <x v="1"/>
    <s v="Returned"/>
    <n v="1024.06"/>
    <x v="0"/>
    <x v="0"/>
    <x v="0"/>
    <n v="6"/>
    <x v="0"/>
    <x v="2"/>
    <s v="Customer_162"/>
    <x v="47"/>
    <s v="C"/>
  </r>
  <r>
    <s v="ORD10935"/>
    <s v="CUST1206"/>
    <s v="PROD124"/>
    <d v="2025-03-08T00:00:00"/>
    <d v="2025-03-12T00:00:00"/>
    <m/>
    <x v="1"/>
    <x v="4"/>
    <x v="4"/>
    <s v="Delivered"/>
    <n v="1507.08"/>
    <x v="3"/>
    <x v="4"/>
    <x v="0"/>
    <n v="4"/>
    <x v="0"/>
    <x v="2"/>
    <s v="Customer_30"/>
    <x v="0"/>
    <s v="A"/>
  </r>
  <r>
    <s v="ORD10936"/>
    <s v="CUST1151"/>
    <s v="PROD125"/>
    <d v="2025-02-05T00:00:00"/>
    <d v="2025-02-08T00:00:00"/>
    <m/>
    <x v="0"/>
    <x v="0"/>
    <x v="4"/>
    <s v="Returned"/>
    <n v="288.27999999999997"/>
    <x v="1"/>
    <x v="2"/>
    <x v="0"/>
    <n v="3"/>
    <x v="0"/>
    <x v="2"/>
    <s v="Customer_206"/>
    <x v="26"/>
    <s v="D"/>
  </r>
  <r>
    <s v="ORD10937"/>
    <s v="CUST1002"/>
    <s v="PROD112"/>
    <d v="2025-02-12T00:00:00"/>
    <m/>
    <d v="2025-02-13T00:00:00"/>
    <x v="3"/>
    <x v="2"/>
    <x v="4"/>
    <s v="Returned"/>
    <n v="4588.63"/>
    <x v="1"/>
    <x v="1"/>
    <x v="1"/>
    <s v="Order Cancelled"/>
    <x v="1"/>
    <x v="1"/>
    <s v="Customer_209"/>
    <x v="7"/>
    <s v="C"/>
  </r>
  <r>
    <s v="ORD10938"/>
    <s v="CUST1262"/>
    <s v="PROD123"/>
    <d v="2025-04-03T00:00:00"/>
    <d v="2025-04-04T00:00:00"/>
    <m/>
    <x v="1"/>
    <x v="1"/>
    <x v="4"/>
    <s v="Returned"/>
    <n v="765.21"/>
    <x v="0"/>
    <x v="0"/>
    <x v="0"/>
    <n v="1"/>
    <x v="0"/>
    <x v="0"/>
    <s v="Customer_190"/>
    <x v="49"/>
    <s v="A"/>
  </r>
  <r>
    <s v="ORD10939"/>
    <s v="CUST1151"/>
    <s v="PROD137"/>
    <d v="2025-04-13T00:00:00"/>
    <d v="2025-04-17T00:00:00"/>
    <m/>
    <x v="2"/>
    <x v="4"/>
    <x v="4"/>
    <s v="Returned"/>
    <n v="2967.28"/>
    <x v="0"/>
    <x v="0"/>
    <x v="0"/>
    <n v="4"/>
    <x v="0"/>
    <x v="2"/>
    <s v="Customer_206"/>
    <x v="33"/>
    <s v="B"/>
  </r>
  <r>
    <s v="ORD10940"/>
    <s v="CUST1189"/>
    <s v="PROD143"/>
    <d v="2025-04-10T00:00:00"/>
    <d v="2025-04-14T00:00:00"/>
    <m/>
    <x v="0"/>
    <x v="4"/>
    <x v="0"/>
    <s v="Cancelled"/>
    <n v="1515.47"/>
    <x v="0"/>
    <x v="0"/>
    <x v="0"/>
    <n v="4"/>
    <x v="0"/>
    <x v="2"/>
    <s v="Customer_32"/>
    <x v="22"/>
    <s v="D"/>
  </r>
  <r>
    <s v="ORD10941"/>
    <s v="CUST1297"/>
    <s v="PROD108"/>
    <d v="2025-03-28T00:00:00"/>
    <d v="2025-04-02T00:00:00"/>
    <m/>
    <x v="2"/>
    <x v="2"/>
    <x v="2"/>
    <s v="Returned"/>
    <n v="2860.05"/>
    <x v="3"/>
    <x v="0"/>
    <x v="0"/>
    <n v="5"/>
    <x v="0"/>
    <x v="2"/>
    <s v="Customer_140"/>
    <x v="14"/>
    <s v="B"/>
  </r>
  <r>
    <s v="ORD10942"/>
    <s v="CUST1071"/>
    <s v="PROD107"/>
    <d v="2025-01-30T00:00:00"/>
    <m/>
    <d v="2025-01-30T00:00:00"/>
    <x v="0"/>
    <x v="2"/>
    <x v="3"/>
    <s v="Delivered"/>
    <n v="3326.82"/>
    <x v="2"/>
    <x v="1"/>
    <x v="1"/>
    <s v="Order Cancelled"/>
    <x v="1"/>
    <x v="1"/>
    <s v="Customer_132"/>
    <x v="8"/>
    <s v="D"/>
  </r>
  <r>
    <s v="ORD10943"/>
    <s v="CUST1167"/>
    <s v="PROD138"/>
    <d v="2025-02-16T00:00:00"/>
    <d v="2025-02-18T00:00:00"/>
    <m/>
    <x v="2"/>
    <x v="4"/>
    <x v="2"/>
    <s v="Cancelled"/>
    <n v="4182.76"/>
    <x v="1"/>
    <x v="2"/>
    <x v="0"/>
    <n v="2"/>
    <x v="0"/>
    <x v="0"/>
    <s v="Customer_160"/>
    <x v="21"/>
    <s v="B"/>
  </r>
  <r>
    <s v="ORD10944"/>
    <s v="CUST1243"/>
    <s v="PROD138"/>
    <d v="2025-03-18T00:00:00"/>
    <d v="2025-03-20T00:00:00"/>
    <m/>
    <x v="3"/>
    <x v="4"/>
    <x v="4"/>
    <s v="Returned"/>
    <n v="1190.82"/>
    <x v="3"/>
    <x v="4"/>
    <x v="0"/>
    <n v="2"/>
    <x v="0"/>
    <x v="0"/>
    <s v="Customer_156"/>
    <x v="21"/>
    <s v="C"/>
  </r>
  <r>
    <s v="ORD10945"/>
    <s v="CUST1038"/>
    <s v="PROD141"/>
    <d v="2025-01-21T00:00:00"/>
    <m/>
    <d v="2025-01-23T00:00:00"/>
    <x v="0"/>
    <x v="0"/>
    <x v="4"/>
    <s v="Returned"/>
    <n v="252.78"/>
    <x v="2"/>
    <x v="1"/>
    <x v="1"/>
    <s v="Order Cancelled"/>
    <x v="1"/>
    <x v="1"/>
    <s v="Customer_153"/>
    <x v="13"/>
    <s v="D"/>
  </r>
  <r>
    <s v="ORD10946"/>
    <s v="CUST1194"/>
    <s v="PROD111"/>
    <d v="2025-01-04T00:00:00"/>
    <d v="2025-01-06T00:00:00"/>
    <m/>
    <x v="2"/>
    <x v="0"/>
    <x v="2"/>
    <s v="Delivered"/>
    <n v="857.05"/>
    <x v="2"/>
    <x v="3"/>
    <x v="0"/>
    <n v="2"/>
    <x v="0"/>
    <x v="0"/>
    <s v="Customer_14"/>
    <x v="44"/>
    <s v="B"/>
  </r>
  <r>
    <s v="ORD10947"/>
    <s v="CUST1148"/>
    <s v="PROD107"/>
    <d v="2025-02-13T00:00:00"/>
    <d v="2025-02-14T00:00:00"/>
    <m/>
    <x v="1"/>
    <x v="4"/>
    <x v="2"/>
    <s v="Delivered"/>
    <n v="4520.09"/>
    <x v="1"/>
    <x v="2"/>
    <x v="0"/>
    <n v="1"/>
    <x v="0"/>
    <x v="0"/>
    <s v="Customer_99"/>
    <x v="8"/>
    <s v="A"/>
  </r>
  <r>
    <s v="ORD10948"/>
    <s v="CUST1240"/>
    <s v="PROD136"/>
    <d v="2025-01-18T00:00:00"/>
    <m/>
    <d v="2025-01-19T00:00:00"/>
    <x v="2"/>
    <x v="0"/>
    <x v="2"/>
    <s v="Delivered"/>
    <n v="4394.67"/>
    <x v="2"/>
    <x v="1"/>
    <x v="1"/>
    <s v="Order Cancelled"/>
    <x v="1"/>
    <x v="1"/>
    <s v="Customer_78"/>
    <x v="38"/>
    <s v="B"/>
  </r>
  <r>
    <s v="ORD10949"/>
    <s v="CUST1022"/>
    <s v="PROD129"/>
    <d v="2025-02-07T00:00:00"/>
    <d v="2025-02-11T00:00:00"/>
    <m/>
    <x v="2"/>
    <x v="1"/>
    <x v="3"/>
    <s v="Cancelled"/>
    <n v="3067.58"/>
    <x v="1"/>
    <x v="2"/>
    <x v="0"/>
    <n v="4"/>
    <x v="0"/>
    <x v="2"/>
    <s v="Customer_217"/>
    <x v="4"/>
    <s v="B"/>
  </r>
  <r>
    <s v="ORD10950"/>
    <s v="CUST1082"/>
    <s v="PROD107"/>
    <d v="2025-01-12T00:00:00"/>
    <d v="2025-01-16T00:00:00"/>
    <m/>
    <x v="1"/>
    <x v="2"/>
    <x v="1"/>
    <s v="Returned"/>
    <n v="3082.48"/>
    <x v="2"/>
    <x v="3"/>
    <x v="0"/>
    <n v="4"/>
    <x v="0"/>
    <x v="2"/>
    <s v="Customer_38"/>
    <x v="8"/>
    <s v="A"/>
  </r>
  <r>
    <s v="ORD10951"/>
    <s v="CUST1198"/>
    <s v="PROD139"/>
    <d v="2025-03-11T00:00:00"/>
    <m/>
    <d v="2025-03-13T00:00:00"/>
    <x v="2"/>
    <x v="0"/>
    <x v="4"/>
    <s v="Cancelled"/>
    <n v="3392.18"/>
    <x v="3"/>
    <x v="1"/>
    <x v="1"/>
    <s v="Order Cancelled"/>
    <x v="1"/>
    <x v="1"/>
    <s v="Customer_107"/>
    <x v="10"/>
    <s v="B"/>
  </r>
  <r>
    <s v="ORD10952"/>
    <s v="CUST1038"/>
    <s v="PROD149"/>
    <d v="2025-02-26T00:00:00"/>
    <d v="2025-03-04T00:00:00"/>
    <m/>
    <x v="1"/>
    <x v="4"/>
    <x v="0"/>
    <s v="Returned"/>
    <n v="1041.78"/>
    <x v="1"/>
    <x v="4"/>
    <x v="0"/>
    <n v="6"/>
    <x v="0"/>
    <x v="2"/>
    <s v="Customer_153"/>
    <x v="30"/>
    <s v="A"/>
  </r>
  <r>
    <s v="ORD10953"/>
    <s v="CUST1083"/>
    <s v="PROD137"/>
    <d v="2025-01-23T00:00:00"/>
    <m/>
    <d v="2025-01-24T00:00:00"/>
    <x v="2"/>
    <x v="4"/>
    <x v="0"/>
    <s v="Delivered"/>
    <n v="4589.18"/>
    <x v="2"/>
    <x v="1"/>
    <x v="1"/>
    <s v="Order Cancelled"/>
    <x v="1"/>
    <x v="1"/>
    <s v="Customer_189"/>
    <x v="33"/>
    <s v="B"/>
  </r>
  <r>
    <s v="ORD10954"/>
    <s v="CUST1199"/>
    <s v="PROD123"/>
    <d v="2025-02-08T00:00:00"/>
    <d v="2025-02-14T00:00:00"/>
    <m/>
    <x v="3"/>
    <x v="0"/>
    <x v="0"/>
    <s v="Delivered"/>
    <n v="2210.1"/>
    <x v="1"/>
    <x v="2"/>
    <x v="0"/>
    <n v="6"/>
    <x v="0"/>
    <x v="2"/>
    <s v="Customer_259"/>
    <x v="49"/>
    <s v="C"/>
  </r>
  <r>
    <s v="ORD10955"/>
    <s v="CUST1143"/>
    <s v="PROD124"/>
    <d v="2025-03-31T00:00:00"/>
    <d v="2025-04-03T00:00:00"/>
    <m/>
    <x v="1"/>
    <x v="0"/>
    <x v="1"/>
    <s v="Cancelled"/>
    <n v="2039.06"/>
    <x v="3"/>
    <x v="0"/>
    <x v="0"/>
    <n v="3"/>
    <x v="0"/>
    <x v="2"/>
    <s v="Customer_5"/>
    <x v="0"/>
    <s v="A"/>
  </r>
  <r>
    <s v="ORD10956"/>
    <s v="CUST1012"/>
    <s v="PROD111"/>
    <d v="2025-02-06T00:00:00"/>
    <m/>
    <d v="2025-02-07T00:00:00"/>
    <x v="2"/>
    <x v="0"/>
    <x v="2"/>
    <s v="Delivered"/>
    <n v="2690.8"/>
    <x v="1"/>
    <x v="1"/>
    <x v="1"/>
    <s v="Order Cancelled"/>
    <x v="1"/>
    <x v="1"/>
    <s v="Customer_216"/>
    <x v="44"/>
    <s v="B"/>
  </r>
  <r>
    <s v="ORD10957"/>
    <s v="CUST1227"/>
    <s v="PROD129"/>
    <d v="2025-02-24T00:00:00"/>
    <d v="2025-02-25T00:00:00"/>
    <m/>
    <x v="3"/>
    <x v="3"/>
    <x v="4"/>
    <s v="Cancelled"/>
    <n v="425.44"/>
    <x v="1"/>
    <x v="2"/>
    <x v="0"/>
    <n v="1"/>
    <x v="0"/>
    <x v="0"/>
    <s v="Customer_68"/>
    <x v="4"/>
    <s v="C"/>
  </r>
  <r>
    <s v="ORD10958"/>
    <s v="CUST1104"/>
    <s v="PROD136"/>
    <d v="2025-03-08T00:00:00"/>
    <d v="2025-03-11T00:00:00"/>
    <m/>
    <x v="2"/>
    <x v="0"/>
    <x v="1"/>
    <s v="Returned"/>
    <n v="998.16"/>
    <x v="3"/>
    <x v="4"/>
    <x v="0"/>
    <n v="3"/>
    <x v="0"/>
    <x v="2"/>
    <s v="Customer_179"/>
    <x v="38"/>
    <s v="B"/>
  </r>
  <r>
    <s v="ORD10959"/>
    <s v="CUST1242"/>
    <s v="PROD121"/>
    <d v="2025-02-13T00:00:00"/>
    <d v="2025-02-16T00:00:00"/>
    <m/>
    <x v="3"/>
    <x v="4"/>
    <x v="4"/>
    <s v="Returned"/>
    <n v="3742.56"/>
    <x v="1"/>
    <x v="2"/>
    <x v="0"/>
    <n v="3"/>
    <x v="0"/>
    <x v="2"/>
    <s v="Customer_94"/>
    <x v="20"/>
    <s v="C"/>
  </r>
  <r>
    <s v="ORD10960"/>
    <s v="CUST1268"/>
    <s v="PROD142"/>
    <d v="2025-03-17T00:00:00"/>
    <d v="2025-03-19T00:00:00"/>
    <m/>
    <x v="2"/>
    <x v="4"/>
    <x v="4"/>
    <s v="Returned"/>
    <n v="597.42999999999995"/>
    <x v="3"/>
    <x v="4"/>
    <x v="0"/>
    <n v="2"/>
    <x v="0"/>
    <x v="0"/>
    <s v="Customer_201"/>
    <x v="25"/>
    <s v="B"/>
  </r>
  <r>
    <s v="ORD10961"/>
    <s v="CUST1199"/>
    <s v="PROD117"/>
    <d v="2025-03-23T00:00:00"/>
    <m/>
    <d v="2025-03-23T00:00:00"/>
    <x v="1"/>
    <x v="0"/>
    <x v="2"/>
    <s v="Delivered"/>
    <n v="3095.13"/>
    <x v="3"/>
    <x v="1"/>
    <x v="1"/>
    <s v="Order Cancelled"/>
    <x v="1"/>
    <x v="1"/>
    <s v="Customer_259"/>
    <x v="28"/>
    <s v="A"/>
  </r>
  <r>
    <s v="ORD10962"/>
    <s v="CUST1026"/>
    <s v="PROD110"/>
    <d v="2025-05-01T00:00:00"/>
    <d v="2025-05-06T00:00:00"/>
    <m/>
    <x v="0"/>
    <x v="3"/>
    <x v="1"/>
    <s v="Returned"/>
    <n v="1377.68"/>
    <x v="4"/>
    <x v="5"/>
    <x v="0"/>
    <n v="5"/>
    <x v="0"/>
    <x v="2"/>
    <s v="Customer_89"/>
    <x v="11"/>
    <s v="D"/>
  </r>
  <r>
    <s v="ORD10963"/>
    <s v="CUST1254"/>
    <s v="PROD119"/>
    <d v="2025-01-14T00:00:00"/>
    <m/>
    <d v="2025-01-16T00:00:00"/>
    <x v="1"/>
    <x v="0"/>
    <x v="1"/>
    <s v="Cancelled"/>
    <n v="2068.62"/>
    <x v="2"/>
    <x v="1"/>
    <x v="1"/>
    <s v="Order Cancelled"/>
    <x v="1"/>
    <x v="1"/>
    <s v="Customer_85"/>
    <x v="45"/>
    <s v="A"/>
  </r>
  <r>
    <s v="ORD10964"/>
    <s v="CUST1132"/>
    <s v="PROD139"/>
    <d v="2025-02-22T00:00:00"/>
    <m/>
    <d v="2025-02-23T00:00:00"/>
    <x v="0"/>
    <x v="0"/>
    <x v="1"/>
    <s v="Cancelled"/>
    <n v="1585.73"/>
    <x v="1"/>
    <x v="1"/>
    <x v="1"/>
    <s v="Order Cancelled"/>
    <x v="1"/>
    <x v="1"/>
    <s v="Customer_44"/>
    <x v="10"/>
    <s v="D"/>
  </r>
  <r>
    <s v="ORD10965"/>
    <s v="CUST1055"/>
    <s v="PROD141"/>
    <d v="2025-02-11T00:00:00"/>
    <d v="2025-02-14T00:00:00"/>
    <m/>
    <x v="2"/>
    <x v="2"/>
    <x v="4"/>
    <s v="Delivered"/>
    <n v="1907.23"/>
    <x v="1"/>
    <x v="2"/>
    <x v="0"/>
    <n v="3"/>
    <x v="0"/>
    <x v="2"/>
    <s v="Customer_113"/>
    <x v="13"/>
    <s v="B"/>
  </r>
  <r>
    <s v="ORD10966"/>
    <s v="CUST1085"/>
    <s v="PROD150"/>
    <d v="2025-01-27T00:00:00"/>
    <d v="2025-01-29T00:00:00"/>
    <m/>
    <x v="3"/>
    <x v="2"/>
    <x v="1"/>
    <s v="Cancelled"/>
    <n v="3651.42"/>
    <x v="2"/>
    <x v="3"/>
    <x v="0"/>
    <n v="2"/>
    <x v="0"/>
    <x v="0"/>
    <s v="Customer_151"/>
    <x v="23"/>
    <s v="C"/>
  </r>
  <r>
    <s v="ORD10967"/>
    <s v="CUST1009"/>
    <s v="PROD115"/>
    <d v="2025-01-02T00:00:00"/>
    <d v="2025-01-04T00:00:00"/>
    <m/>
    <x v="1"/>
    <x v="3"/>
    <x v="0"/>
    <s v="Cancelled"/>
    <n v="1626.18"/>
    <x v="2"/>
    <x v="3"/>
    <x v="0"/>
    <n v="2"/>
    <x v="0"/>
    <x v="0"/>
    <s v="Customer_254"/>
    <x v="12"/>
    <s v="A"/>
  </r>
  <r>
    <s v="ORD10968"/>
    <s v="CUST1241"/>
    <s v="PROD141"/>
    <d v="2025-01-25T00:00:00"/>
    <d v="2025-01-28T00:00:00"/>
    <m/>
    <x v="3"/>
    <x v="0"/>
    <x v="1"/>
    <s v="Cancelled"/>
    <n v="2918.74"/>
    <x v="2"/>
    <x v="3"/>
    <x v="0"/>
    <n v="3"/>
    <x v="0"/>
    <x v="2"/>
    <s v="Customer_205"/>
    <x v="13"/>
    <s v="C"/>
  </r>
  <r>
    <s v="ORD10969"/>
    <s v="CUST1164"/>
    <s v="PROD106"/>
    <d v="2025-03-17T00:00:00"/>
    <m/>
    <d v="2025-03-17T00:00:00"/>
    <x v="0"/>
    <x v="0"/>
    <x v="3"/>
    <s v="Returned"/>
    <n v="2485.04"/>
    <x v="3"/>
    <x v="1"/>
    <x v="1"/>
    <s v="Order Cancelled"/>
    <x v="1"/>
    <x v="1"/>
    <s v="Customer_2"/>
    <x v="43"/>
    <s v="D"/>
  </r>
  <r>
    <s v="ORD10970"/>
    <s v="CUST1267"/>
    <s v="PROD104"/>
    <d v="2025-01-14T00:00:00"/>
    <m/>
    <d v="2025-01-15T00:00:00"/>
    <x v="3"/>
    <x v="0"/>
    <x v="2"/>
    <s v="Returned"/>
    <n v="3385.62"/>
    <x v="2"/>
    <x v="1"/>
    <x v="1"/>
    <s v="Order Cancelled"/>
    <x v="1"/>
    <x v="1"/>
    <s v="Customer_98"/>
    <x v="24"/>
    <s v="C"/>
  </r>
  <r>
    <s v="ORD10971"/>
    <s v="CUST1151"/>
    <s v="PROD118"/>
    <d v="2025-04-07T00:00:00"/>
    <d v="2025-04-11T00:00:00"/>
    <m/>
    <x v="0"/>
    <x v="0"/>
    <x v="2"/>
    <s v="Delivered"/>
    <n v="4696.78"/>
    <x v="0"/>
    <x v="0"/>
    <x v="0"/>
    <n v="4"/>
    <x v="0"/>
    <x v="2"/>
    <s v="Customer_206"/>
    <x v="5"/>
    <s v="D"/>
  </r>
  <r>
    <s v="ORD10972"/>
    <s v="CUST1079"/>
    <s v="PROD146"/>
    <d v="2025-04-29T00:00:00"/>
    <d v="2025-05-01T00:00:00"/>
    <m/>
    <x v="1"/>
    <x v="0"/>
    <x v="0"/>
    <s v="Returned"/>
    <n v="3716.35"/>
    <x v="0"/>
    <x v="5"/>
    <x v="0"/>
    <n v="2"/>
    <x v="0"/>
    <x v="0"/>
    <s v="Customer_285"/>
    <x v="31"/>
    <s v="A"/>
  </r>
  <r>
    <s v="ORD10973"/>
    <s v="CUST1276"/>
    <s v="PROD144"/>
    <d v="2025-02-24T00:00:00"/>
    <m/>
    <d v="2025-02-26T00:00:00"/>
    <x v="0"/>
    <x v="1"/>
    <x v="3"/>
    <s v="Cancelled"/>
    <n v="1231.71"/>
    <x v="1"/>
    <x v="1"/>
    <x v="1"/>
    <s v="Order Cancelled"/>
    <x v="1"/>
    <x v="1"/>
    <s v="Customer_10"/>
    <x v="39"/>
    <s v="D"/>
  </r>
  <r>
    <s v="ORD10974"/>
    <s v="CUST1215"/>
    <s v="PROD134"/>
    <d v="2025-04-21T00:00:00"/>
    <d v="2025-04-24T00:00:00"/>
    <m/>
    <x v="2"/>
    <x v="2"/>
    <x v="0"/>
    <s v="Returned"/>
    <n v="349.68"/>
    <x v="0"/>
    <x v="0"/>
    <x v="0"/>
    <n v="3"/>
    <x v="0"/>
    <x v="2"/>
    <s v="Customer_37"/>
    <x v="37"/>
    <s v="B"/>
  </r>
  <r>
    <s v="ORD10975"/>
    <s v="CUST1180"/>
    <s v="PROD133"/>
    <d v="2025-04-04T00:00:00"/>
    <d v="2025-04-08T00:00:00"/>
    <m/>
    <x v="0"/>
    <x v="1"/>
    <x v="2"/>
    <s v="Returned"/>
    <n v="1458.87"/>
    <x v="0"/>
    <x v="0"/>
    <x v="0"/>
    <n v="4"/>
    <x v="0"/>
    <x v="2"/>
    <s v="Customer_164"/>
    <x v="41"/>
    <s v="D"/>
  </r>
  <r>
    <s v="ORD10976"/>
    <s v="CUST1148"/>
    <s v="PROD113"/>
    <d v="2025-04-03T00:00:00"/>
    <d v="2025-04-06T00:00:00"/>
    <m/>
    <x v="0"/>
    <x v="3"/>
    <x v="0"/>
    <s v="Cancelled"/>
    <n v="3056.37"/>
    <x v="0"/>
    <x v="0"/>
    <x v="0"/>
    <n v="3"/>
    <x v="0"/>
    <x v="2"/>
    <s v="Customer_99"/>
    <x v="3"/>
    <s v="D"/>
  </r>
  <r>
    <s v="ORD10977"/>
    <s v="CUST1293"/>
    <s v="PROD146"/>
    <d v="2025-01-23T00:00:00"/>
    <d v="2025-01-27T00:00:00"/>
    <m/>
    <x v="0"/>
    <x v="0"/>
    <x v="1"/>
    <s v="Returned"/>
    <n v="446.84"/>
    <x v="2"/>
    <x v="3"/>
    <x v="0"/>
    <n v="4"/>
    <x v="0"/>
    <x v="2"/>
    <s v="Customer_60"/>
    <x v="31"/>
    <s v="D"/>
  </r>
  <r>
    <s v="ORD10978"/>
    <s v="CUST1042"/>
    <s v="PROD132"/>
    <d v="2025-01-16T00:00:00"/>
    <m/>
    <d v="2025-01-16T00:00:00"/>
    <x v="2"/>
    <x v="4"/>
    <x v="0"/>
    <s v="Cancelled"/>
    <n v="2582.56"/>
    <x v="2"/>
    <x v="1"/>
    <x v="1"/>
    <s v="Order Cancelled"/>
    <x v="1"/>
    <x v="1"/>
    <s v="Customer_135"/>
    <x v="29"/>
    <s v="B"/>
  </r>
  <r>
    <s v="ORD10979"/>
    <s v="CUST1193"/>
    <s v="PROD121"/>
    <d v="2025-01-16T00:00:00"/>
    <m/>
    <d v="2025-01-17T00:00:00"/>
    <x v="1"/>
    <x v="0"/>
    <x v="4"/>
    <s v="Returned"/>
    <n v="3064.85"/>
    <x v="2"/>
    <x v="1"/>
    <x v="1"/>
    <s v="Order Cancelled"/>
    <x v="1"/>
    <x v="1"/>
    <s v="Customer_265"/>
    <x v="20"/>
    <s v="A"/>
  </r>
  <r>
    <s v="ORD10980"/>
    <s v="CUST1271"/>
    <s v="PROD142"/>
    <d v="2025-03-13T00:00:00"/>
    <d v="2025-03-16T00:00:00"/>
    <m/>
    <x v="1"/>
    <x v="3"/>
    <x v="1"/>
    <s v="Delivered"/>
    <n v="1804.37"/>
    <x v="3"/>
    <x v="4"/>
    <x v="0"/>
    <n v="3"/>
    <x v="0"/>
    <x v="2"/>
    <s v="Customer_13"/>
    <x v="25"/>
    <s v="A"/>
  </r>
  <r>
    <s v="ORD10981"/>
    <s v="CUST1254"/>
    <s v="PROD129"/>
    <d v="2025-01-05T00:00:00"/>
    <d v="2025-01-08T00:00:00"/>
    <m/>
    <x v="1"/>
    <x v="3"/>
    <x v="0"/>
    <s v="Cancelled"/>
    <n v="3900.38"/>
    <x v="2"/>
    <x v="3"/>
    <x v="0"/>
    <n v="3"/>
    <x v="0"/>
    <x v="2"/>
    <s v="Customer_85"/>
    <x v="4"/>
    <s v="A"/>
  </r>
  <r>
    <s v="ORD10982"/>
    <s v="CUST1065"/>
    <s v="PROD120"/>
    <d v="2025-02-13T00:00:00"/>
    <d v="2025-02-18T00:00:00"/>
    <m/>
    <x v="3"/>
    <x v="0"/>
    <x v="4"/>
    <s v="Cancelled"/>
    <n v="711.67"/>
    <x v="1"/>
    <x v="2"/>
    <x v="0"/>
    <n v="5"/>
    <x v="0"/>
    <x v="2"/>
    <s v="Customer_204"/>
    <x v="9"/>
    <s v="C"/>
  </r>
  <r>
    <s v="ORD10983"/>
    <s v="CUST1153"/>
    <s v="PROD135"/>
    <d v="2025-03-05T00:00:00"/>
    <m/>
    <d v="2025-03-07T00:00:00"/>
    <x v="3"/>
    <x v="4"/>
    <x v="1"/>
    <s v="Returned"/>
    <n v="560.66"/>
    <x v="3"/>
    <x v="1"/>
    <x v="1"/>
    <s v="Order Cancelled"/>
    <x v="1"/>
    <x v="1"/>
    <s v="Customer_242"/>
    <x v="32"/>
    <s v="C"/>
  </r>
  <r>
    <s v="ORD10984"/>
    <s v="CUST1099"/>
    <s v="PROD120"/>
    <d v="2025-02-14T00:00:00"/>
    <d v="2025-02-18T00:00:00"/>
    <m/>
    <x v="1"/>
    <x v="2"/>
    <x v="1"/>
    <s v="Cancelled"/>
    <n v="3695.31"/>
    <x v="1"/>
    <x v="2"/>
    <x v="0"/>
    <n v="4"/>
    <x v="0"/>
    <x v="2"/>
    <s v="Customer_280"/>
    <x v="9"/>
    <s v="A"/>
  </r>
  <r>
    <s v="ORD10985"/>
    <s v="CUST1026"/>
    <s v="PROD110"/>
    <d v="2025-03-03T00:00:00"/>
    <d v="2025-03-06T00:00:00"/>
    <m/>
    <x v="2"/>
    <x v="4"/>
    <x v="4"/>
    <s v="Cancelled"/>
    <n v="2578.36"/>
    <x v="3"/>
    <x v="4"/>
    <x v="0"/>
    <n v="3"/>
    <x v="0"/>
    <x v="2"/>
    <s v="Customer_89"/>
    <x v="11"/>
    <s v="B"/>
  </r>
  <r>
    <s v="ORD10986"/>
    <s v="CUST1214"/>
    <s v="PROD115"/>
    <d v="2025-04-04T00:00:00"/>
    <d v="2025-04-10T00:00:00"/>
    <m/>
    <x v="3"/>
    <x v="4"/>
    <x v="2"/>
    <s v="Cancelled"/>
    <n v="3504.33"/>
    <x v="0"/>
    <x v="0"/>
    <x v="0"/>
    <n v="6"/>
    <x v="0"/>
    <x v="2"/>
    <s v="Customer_19"/>
    <x v="12"/>
    <s v="C"/>
  </r>
  <r>
    <s v="ORD10987"/>
    <s v="CUST1185"/>
    <s v="PROD125"/>
    <d v="2025-04-29T00:00:00"/>
    <m/>
    <d v="2025-04-29T00:00:00"/>
    <x v="0"/>
    <x v="3"/>
    <x v="4"/>
    <s v="Delivered"/>
    <n v="2287.17"/>
    <x v="0"/>
    <x v="1"/>
    <x v="1"/>
    <s v="Order Cancelled"/>
    <x v="1"/>
    <x v="1"/>
    <s v="Customer_225"/>
    <x v="26"/>
    <s v="D"/>
  </r>
  <r>
    <s v="ORD10988"/>
    <s v="CUST1249"/>
    <s v="PROD121"/>
    <d v="2025-04-29T00:00:00"/>
    <d v="2025-04-30T00:00:00"/>
    <m/>
    <x v="1"/>
    <x v="4"/>
    <x v="3"/>
    <s v="Returned"/>
    <n v="1382.73"/>
    <x v="0"/>
    <x v="0"/>
    <x v="0"/>
    <n v="1"/>
    <x v="0"/>
    <x v="0"/>
    <s v="Customer_271"/>
    <x v="20"/>
    <s v="A"/>
  </r>
  <r>
    <s v="ORD10989"/>
    <s v="CUST1252"/>
    <s v="PROD137"/>
    <d v="2025-04-06T00:00:00"/>
    <m/>
    <d v="2025-04-06T00:00:00"/>
    <x v="0"/>
    <x v="1"/>
    <x v="3"/>
    <s v="Delivered"/>
    <n v="4131.6899999999996"/>
    <x v="0"/>
    <x v="1"/>
    <x v="1"/>
    <s v="Order Cancelled"/>
    <x v="1"/>
    <x v="1"/>
    <s v="Customer_41"/>
    <x v="33"/>
    <s v="D"/>
  </r>
  <r>
    <s v="ORD10990"/>
    <s v="CUST1163"/>
    <s v="PROD106"/>
    <d v="2025-02-23T00:00:00"/>
    <d v="2025-02-27T00:00:00"/>
    <m/>
    <x v="1"/>
    <x v="4"/>
    <x v="3"/>
    <s v="Cancelled"/>
    <n v="4037.2"/>
    <x v="1"/>
    <x v="2"/>
    <x v="0"/>
    <n v="4"/>
    <x v="0"/>
    <x v="2"/>
    <s v="Customer_129"/>
    <x v="43"/>
    <s v="A"/>
  </r>
  <r>
    <s v="ORD10991"/>
    <s v="CUST1018"/>
    <s v="PROD132"/>
    <d v="2025-04-12T00:00:00"/>
    <d v="2025-04-16T00:00:00"/>
    <m/>
    <x v="0"/>
    <x v="4"/>
    <x v="2"/>
    <s v="Returned"/>
    <n v="3534.54"/>
    <x v="0"/>
    <x v="0"/>
    <x v="0"/>
    <n v="4"/>
    <x v="0"/>
    <x v="2"/>
    <s v="Customer_184"/>
    <x v="29"/>
    <s v="D"/>
  </r>
  <r>
    <s v="ORD10992"/>
    <s v="CUST1235"/>
    <s v="PROD135"/>
    <d v="2025-04-24T00:00:00"/>
    <d v="2025-04-26T00:00:00"/>
    <m/>
    <x v="0"/>
    <x v="0"/>
    <x v="4"/>
    <s v="Cancelled"/>
    <n v="1506.3"/>
    <x v="0"/>
    <x v="0"/>
    <x v="0"/>
    <n v="2"/>
    <x v="0"/>
    <x v="0"/>
    <s v="Customer_267"/>
    <x v="32"/>
    <s v="D"/>
  </r>
  <r>
    <s v="ORD10993"/>
    <s v="CUST1092"/>
    <s v="PROD119"/>
    <d v="2025-01-08T00:00:00"/>
    <d v="2025-01-11T00:00:00"/>
    <m/>
    <x v="2"/>
    <x v="4"/>
    <x v="2"/>
    <s v="Delivered"/>
    <n v="3033.11"/>
    <x v="2"/>
    <x v="3"/>
    <x v="0"/>
    <n v="3"/>
    <x v="0"/>
    <x v="2"/>
    <s v="Customer_112"/>
    <x v="45"/>
    <s v="B"/>
  </r>
  <r>
    <s v="ORD10994"/>
    <s v="CUST1049"/>
    <s v="PROD105"/>
    <d v="2025-03-08T00:00:00"/>
    <d v="2025-03-11T00:00:00"/>
    <m/>
    <x v="2"/>
    <x v="1"/>
    <x v="2"/>
    <s v="Returned"/>
    <n v="1932.67"/>
    <x v="3"/>
    <x v="4"/>
    <x v="0"/>
    <n v="3"/>
    <x v="0"/>
    <x v="2"/>
    <s v="Customer_244"/>
    <x v="17"/>
    <s v="B"/>
  </r>
  <r>
    <s v="ORD10995"/>
    <s v="CUST1132"/>
    <s v="PROD111"/>
    <d v="2025-02-14T00:00:00"/>
    <m/>
    <d v="2025-02-16T00:00:00"/>
    <x v="2"/>
    <x v="1"/>
    <x v="4"/>
    <s v="Cancelled"/>
    <n v="639.59"/>
    <x v="1"/>
    <x v="1"/>
    <x v="1"/>
    <s v="Order Cancelled"/>
    <x v="1"/>
    <x v="1"/>
    <s v="Customer_44"/>
    <x v="44"/>
    <s v="B"/>
  </r>
  <r>
    <s v="ORD10996"/>
    <s v="CUST1059"/>
    <s v="PROD117"/>
    <d v="2025-02-21T00:00:00"/>
    <d v="2025-02-22T00:00:00"/>
    <m/>
    <x v="0"/>
    <x v="1"/>
    <x v="3"/>
    <s v="Cancelled"/>
    <n v="4603.1099999999997"/>
    <x v="1"/>
    <x v="2"/>
    <x v="0"/>
    <n v="1"/>
    <x v="0"/>
    <x v="0"/>
    <s v="Customer_114"/>
    <x v="28"/>
    <s v="D"/>
  </r>
  <r>
    <s v="ORD10997"/>
    <s v="CUST1190"/>
    <s v="PROD140"/>
    <d v="2025-03-16T00:00:00"/>
    <m/>
    <d v="2025-03-18T00:00:00"/>
    <x v="1"/>
    <x v="3"/>
    <x v="1"/>
    <s v="Cancelled"/>
    <n v="856.73"/>
    <x v="3"/>
    <x v="1"/>
    <x v="1"/>
    <s v="Order Cancelled"/>
    <x v="1"/>
    <x v="1"/>
    <s v="Customer_238"/>
    <x v="42"/>
    <s v="A"/>
  </r>
  <r>
    <s v="ORD10998"/>
    <s v="CUST1116"/>
    <s v="PROD114"/>
    <d v="2025-04-23T00:00:00"/>
    <d v="2025-04-28T00:00:00"/>
    <m/>
    <x v="3"/>
    <x v="3"/>
    <x v="3"/>
    <s v="Returned"/>
    <n v="4761.1400000000003"/>
    <x v="0"/>
    <x v="0"/>
    <x v="0"/>
    <n v="5"/>
    <x v="0"/>
    <x v="2"/>
    <s v="Customer_223"/>
    <x v="18"/>
    <s v="C"/>
  </r>
  <r>
    <s v="ORD10999"/>
    <s v="CUST1184"/>
    <s v="PROD132"/>
    <d v="2025-04-26T00:00:00"/>
    <d v="2025-04-27T00:00:00"/>
    <m/>
    <x v="0"/>
    <x v="0"/>
    <x v="0"/>
    <s v="Returned"/>
    <n v="2340.83"/>
    <x v="0"/>
    <x v="0"/>
    <x v="0"/>
    <n v="1"/>
    <x v="0"/>
    <x v="0"/>
    <s v="Customer_50"/>
    <x v="29"/>
    <s v="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4092D-F679-4159-8927-89626053E7C4}" name="PivotTable1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69:J75" firstHeaderRow="1" firstDataRow="1" firstDataCol="1"/>
  <pivotFields count="20">
    <pivotField dataField="1"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showAll="0"/>
    <pivotField axis="axisRow" showAll="0">
      <items count="6">
        <item x="2"/>
        <item x="1"/>
        <item x="3"/>
        <item x="0"/>
        <item x="4"/>
        <item t="default"/>
      </items>
    </pivotField>
    <pivotField showAll="0">
      <items count="7">
        <item x="3"/>
        <item x="2"/>
        <item x="4"/>
        <item x="0"/>
        <item x="5"/>
        <item x="1"/>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Count of OrderID" fld="0"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94E62C-C21E-4316-8C5B-4A93966678AA}" name="PivotTable14"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7:J63" firstHeaderRow="1" firstDataRow="1" firstDataCol="1"/>
  <pivotFields count="20">
    <pivotField showAll="0"/>
    <pivotField showAll="0"/>
    <pivotField showAll="0"/>
    <pivotField numFmtId="14" showAll="0"/>
    <pivotField showAll="0"/>
    <pivotField showAll="0"/>
    <pivotField showAll="0">
      <items count="5">
        <item x="3"/>
        <item x="1"/>
        <item x="2"/>
        <item x="0"/>
        <item t="default"/>
      </items>
    </pivotField>
    <pivotField axis="axisRow" showAll="0">
      <items count="6">
        <item x="0"/>
        <item x="4"/>
        <item x="3"/>
        <item x="1"/>
        <item x="2"/>
        <item t="default"/>
      </items>
    </pivotField>
    <pivotField showAll="0">
      <items count="6">
        <item x="2"/>
        <item x="0"/>
        <item x="1"/>
        <item x="3"/>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Average of Delivery Days" fld="14" subtotal="average" baseField="7"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07AFBF-D2B4-43FB-8271-A38222C56D91}" name="PivotTable1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62:D68" firstHeaderRow="1" firstDataRow="1" firstDataCol="1" rowPageCount="1" colPageCount="1"/>
  <pivotFields count="20">
    <pivotField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dataField="1" showAll="0"/>
    <pivotField showAll="0"/>
    <pivotField showAll="0"/>
    <pivotField showAll="0"/>
    <pivotField showAll="0"/>
    <pivotField axis="axisPage" multipleItemSelectionAllowed="1" showAll="0">
      <items count="3">
        <item h="1" x="1"/>
        <item x="0"/>
        <item t="default"/>
      </items>
    </pivotField>
    <pivotField showAll="0"/>
    <pivotField showAll="0"/>
    <pivotField axis="axisRow" showAll="0" measureFilter="1" sortType="descending">
      <items count="51">
        <item x="23"/>
        <item x="44"/>
        <item x="7"/>
        <item x="17"/>
        <item x="18"/>
        <item x="0"/>
        <item x="20"/>
        <item x="10"/>
        <item x="38"/>
        <item x="37"/>
        <item x="28"/>
        <item x="11"/>
        <item x="30"/>
        <item x="2"/>
        <item x="5"/>
        <item x="47"/>
        <item x="33"/>
        <item x="35"/>
        <item x="19"/>
        <item x="40"/>
        <item x="1"/>
        <item x="36"/>
        <item x="13"/>
        <item x="24"/>
        <item x="42"/>
        <item x="22"/>
        <item x="26"/>
        <item x="49"/>
        <item x="43"/>
        <item x="32"/>
        <item x="27"/>
        <item x="39"/>
        <item x="21"/>
        <item x="6"/>
        <item x="29"/>
        <item x="12"/>
        <item x="34"/>
        <item x="4"/>
        <item x="8"/>
        <item x="15"/>
        <item x="25"/>
        <item x="31"/>
        <item x="41"/>
        <item x="45"/>
        <item x="48"/>
        <item x="14"/>
        <item x="16"/>
        <item x="46"/>
        <item x="9"/>
        <item x="3"/>
        <item t="default"/>
      </items>
      <autoSortScope>
        <pivotArea dataOnly="0" outline="0" fieldPosition="0">
          <references count="1">
            <reference field="4294967294" count="1" selected="0">
              <x v="0"/>
            </reference>
          </references>
        </pivotArea>
      </autoSortScope>
    </pivotField>
    <pivotField showAll="0"/>
  </pivotFields>
  <rowFields count="1">
    <field x="18"/>
  </rowFields>
  <rowItems count="6">
    <i>
      <x v="29"/>
    </i>
    <i>
      <x v="21"/>
    </i>
    <i>
      <x v="41"/>
    </i>
    <i>
      <x v="7"/>
    </i>
    <i>
      <x v="5"/>
    </i>
    <i t="grand">
      <x/>
    </i>
  </rowItems>
  <colItems count="1">
    <i/>
  </colItems>
  <pageFields count="1">
    <pageField fld="15" hier="-1"/>
  </pageFields>
  <dataFields count="1">
    <dataField name="Sum of SalesAmoun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7C2C4-9BB7-45F7-B1A8-0989E532011D}" name="PivotTable1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9:F56" firstHeaderRow="1" firstDataRow="2" firstDataCol="1"/>
  <pivotFields count="20">
    <pivotField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showAll="0"/>
    <pivotField showAll="0"/>
    <pivotField axis="axisRow" showAll="0">
      <items count="7">
        <item x="3"/>
        <item x="2"/>
        <item x="4"/>
        <item x="0"/>
        <item x="5"/>
        <item h="1" x="1"/>
        <item t="default"/>
      </items>
    </pivotField>
    <pivotField showAll="0"/>
    <pivotField showAll="0"/>
    <pivotField showAll="0"/>
    <pivotField axis="axisCol" dataField="1" showAll="0">
      <items count="4">
        <item x="1"/>
        <item x="0"/>
        <item x="2"/>
        <item t="default"/>
      </items>
    </pivotField>
    <pivotField showAll="0"/>
    <pivotField showAll="0"/>
    <pivotField showAll="0"/>
  </pivotFields>
  <rowFields count="1">
    <field x="12"/>
  </rowFields>
  <rowItems count="6">
    <i>
      <x/>
    </i>
    <i>
      <x v="1"/>
    </i>
    <i>
      <x v="2"/>
    </i>
    <i>
      <x v="3"/>
    </i>
    <i>
      <x v="4"/>
    </i>
    <i t="grand">
      <x/>
    </i>
  </rowItems>
  <colFields count="1">
    <field x="16"/>
  </colFields>
  <colItems count="3">
    <i>
      <x v="1"/>
    </i>
    <i>
      <x v="2"/>
    </i>
    <i t="grand">
      <x/>
    </i>
  </colItems>
  <dataFields count="1">
    <dataField name="Count of Order performance" fld="16" subtotal="count" showDataAs="percentOfTotal" baseField="0" baseItem="0" numFmtId="10"/>
  </dataFields>
  <chartFormats count="2">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9D7662-BB6B-4A16-AFC5-47042D6EC826}" name="PivotTable1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9:D44" firstHeaderRow="1" firstDataRow="1" firstDataCol="1" rowPageCount="1" colPageCount="1"/>
  <pivotFields count="20">
    <pivotField showAll="0"/>
    <pivotField showAll="0"/>
    <pivotField showAll="0"/>
    <pivotField numFmtId="14" showAll="0"/>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6">
        <item x="0"/>
        <item x="4"/>
        <item x="3"/>
        <item x="1"/>
        <item x="2"/>
        <item t="default"/>
      </items>
    </pivotField>
    <pivotField showAll="0">
      <items count="6">
        <item x="2"/>
        <item x="0"/>
        <item x="1"/>
        <item x="3"/>
        <item x="4"/>
        <item t="default"/>
      </items>
    </pivotField>
    <pivotField showAll="0"/>
    <pivotField dataField="1"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s>
  <rowFields count="1">
    <field x="6"/>
  </rowFields>
  <rowItems count="5">
    <i>
      <x v="3"/>
    </i>
    <i>
      <x/>
    </i>
    <i>
      <x v="1"/>
    </i>
    <i>
      <x v="2"/>
    </i>
    <i t="grand">
      <x/>
    </i>
  </rowItems>
  <colItems count="1">
    <i/>
  </colItems>
  <pageFields count="1">
    <pageField fld="15" hier="-1"/>
  </pageFields>
  <dataFields count="1">
    <dataField name="Sum of SalesAmount"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DC3AFB-18E9-448C-AD05-F61D734BEEF0}" name="PivotTable10"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8:I34" firstHeaderRow="1" firstDataRow="1" firstDataCol="1" rowPageCount="1" colPageCount="1"/>
  <pivotFields count="20">
    <pivotField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dataField="1" multipleItemSelectionAllowed="1" showAll="0">
      <items count="3">
        <item x="1"/>
        <item h="1" x="0"/>
        <item t="default"/>
      </items>
    </pivotField>
    <pivotField showAll="0"/>
    <pivotField showAll="0"/>
    <pivotField showAll="0"/>
    <pivotField showAll="0"/>
  </pivotFields>
  <rowFields count="1">
    <field x="8"/>
  </rowFields>
  <rowItems count="6">
    <i>
      <x v="4"/>
    </i>
    <i>
      <x v="2"/>
    </i>
    <i>
      <x v="1"/>
    </i>
    <i>
      <x v="3"/>
    </i>
    <i>
      <x/>
    </i>
    <i t="grand">
      <x/>
    </i>
  </rowItems>
  <colItems count="1">
    <i/>
  </colItems>
  <pageFields count="1">
    <pageField fld="15" hier="-1"/>
  </pageFields>
  <dataFields count="1">
    <dataField name="Count of Order Flag" fld="15" subtotal="count" showDataAs="percentOfTotal" baseField="0" baseItem="0" numFmtId="1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4"/>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 chart="6" format="11">
      <pivotArea type="data" outline="0" fieldPosition="0">
        <references count="2">
          <reference field="4294967294" count="1" selected="0">
            <x v="0"/>
          </reference>
          <reference field="8" count="1" selected="0">
            <x v="3"/>
          </reference>
        </references>
      </pivotArea>
    </chartFormat>
    <chartFormat chart="6" format="1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D6C365-CF75-4AFF-841A-5E7578608341}" name="PivotTable9"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5:Q28" firstHeaderRow="1" firstDataRow="1" firstDataCol="1" rowPageCount="1" colPageCount="1"/>
  <pivotFields count="20">
    <pivotField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showAll="0"/>
    <pivotField showAll="0"/>
    <pivotField showAll="0"/>
    <pivotField showAll="0"/>
    <pivotField showAll="0"/>
    <pivotField axis="axisPage" multipleItemSelectionAllowed="1" showAll="0">
      <items count="3">
        <item h="1" x="1"/>
        <item x="0"/>
        <item t="default"/>
      </items>
    </pivotField>
    <pivotField axis="axisRow" dataField="1" showAll="0">
      <items count="4">
        <item x="1"/>
        <item x="0"/>
        <item x="2"/>
        <item t="default"/>
      </items>
    </pivotField>
    <pivotField showAll="0"/>
    <pivotField showAll="0"/>
    <pivotField showAll="0"/>
  </pivotFields>
  <rowFields count="1">
    <field x="16"/>
  </rowFields>
  <rowItems count="3">
    <i>
      <x v="1"/>
    </i>
    <i>
      <x v="2"/>
    </i>
    <i t="grand">
      <x/>
    </i>
  </rowItems>
  <colItems count="1">
    <i/>
  </colItems>
  <pageFields count="1">
    <pageField fld="15" hier="-1"/>
  </pageFields>
  <dataFields count="1">
    <dataField name="Count of Order performance" fld="1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907CCE-9587-439C-9F81-C9FD264A9DBF}" name="PivotTable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8:Q21" firstHeaderRow="1" firstDataRow="1" firstDataCol="1"/>
  <pivotFields count="20">
    <pivotField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Delivery Category"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123603-595C-4F3A-BDCB-DC0F0DDDA040}" name="PivotTable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P13" firstHeaderRow="1" firstDataRow="1" firstDataCol="0"/>
  <pivotFields count="20">
    <pivotField showAll="0"/>
    <pivotField dataField="1"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85A502-2768-4B68-8E3A-F356BA50347B}" name="PivotTable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P10" firstHeaderRow="1" firstDataRow="1" firstDataCol="0"/>
  <pivotFields count="20">
    <pivotField dataField="1"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903F72-A75E-429C-8DB9-DEBD6903E3E2}"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P7" firstHeaderRow="1" firstDataRow="1" firstDataCol="0" rowPageCount="1" colPageCount="1"/>
  <pivotFields count="20">
    <pivotField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dataField="1"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s>
  <rowItems count="1">
    <i/>
  </rowItems>
  <colItems count="1">
    <i/>
  </colItems>
  <pageFields count="1">
    <pageField fld="15" hier="-1"/>
  </pageFields>
  <dataFields count="1">
    <dataField name="Sum of Sales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0ACA67-A54A-495B-B8BB-A2A2261BD604}" name="PivotTable4"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7:I23" firstHeaderRow="1" firstDataRow="1" firstDataCol="1" rowPageCount="1" colPageCount="1"/>
  <pivotFields count="20">
    <pivotField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s>
  <rowFields count="1">
    <field x="8"/>
  </rowFields>
  <rowItems count="6">
    <i>
      <x v="3"/>
    </i>
    <i>
      <x/>
    </i>
    <i>
      <x v="2"/>
    </i>
    <i>
      <x v="1"/>
    </i>
    <i>
      <x v="4"/>
    </i>
    <i t="grand">
      <x/>
    </i>
  </rowItems>
  <colItems count="1">
    <i/>
  </colItems>
  <pageFields count="1">
    <pageField fld="15" hier="-1"/>
  </pageFields>
  <dataFields count="1">
    <dataField name="Sum of Sales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0852F1-BA52-44E8-BD92-559F236C6E9A}" name="PivotTable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C35" firstHeaderRow="1" firstDataRow="1" firstDataCol="1"/>
  <pivotFields count="20">
    <pivotField showAll="0"/>
    <pivotField showAll="0"/>
    <pivotField showAll="0"/>
    <pivotField numFmtId="14"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6">
        <item x="0"/>
        <item x="4"/>
        <item x="3"/>
        <item x="1"/>
        <item x="2"/>
        <item t="default"/>
      </items>
    </pivotField>
    <pivotField showAll="0">
      <items count="6">
        <item x="2"/>
        <item x="0"/>
        <item x="1"/>
        <item x="3"/>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Average of Delivery Days" fld="14" subtotal="average" baseField="6"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9D5369-DC44-4C50-ABDF-9081ADEC424D}"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C21" firstHeaderRow="1" firstDataRow="1" firstDataCol="1"/>
  <pivotFields count="20">
    <pivotField dataField="1" showAll="0"/>
    <pivotField showAll="0"/>
    <pivotField showAll="0"/>
    <pivotField numFmtId="14" showAll="0"/>
    <pivotField showAll="0"/>
    <pivotField showAll="0"/>
    <pivotField showAll="0">
      <items count="5">
        <item x="3"/>
        <item x="1"/>
        <item x="2"/>
        <item x="0"/>
        <item t="default"/>
      </items>
    </pivotField>
    <pivotField showAll="0">
      <items count="6">
        <item x="0"/>
        <item x="4"/>
        <item x="3"/>
        <item x="1"/>
        <item x="2"/>
        <item t="default"/>
      </items>
    </pivotField>
    <pivotField showAll="0">
      <items count="6">
        <item x="2"/>
        <item x="0"/>
        <item x="1"/>
        <item x="3"/>
        <item x="4"/>
        <item t="default"/>
      </items>
    </pivotField>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3"/>
  </rowFields>
  <rowItems count="3">
    <i>
      <x v="1"/>
    </i>
    <i>
      <x/>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9C0A89-BC67-48C3-B5BC-2366574701F1}"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5:H11" firstHeaderRow="1" firstDataRow="2" firstDataCol="1" rowPageCount="1" colPageCount="1"/>
  <pivotFields count="20">
    <pivotField showAll="0"/>
    <pivotField showAll="0"/>
    <pivotField showAll="0"/>
    <pivotField numFmtId="14" showAll="0"/>
    <pivotField showAll="0"/>
    <pivotField showAll="0"/>
    <pivotField axis="axisRow" showAll="0">
      <items count="5">
        <item x="3"/>
        <item x="1"/>
        <item x="2"/>
        <item x="0"/>
        <item t="default"/>
      </items>
    </pivotField>
    <pivotField axis="axisCol" showAll="0">
      <items count="6">
        <item x="0"/>
        <item x="4"/>
        <item x="3"/>
        <item x="1"/>
        <item x="2"/>
        <item t="default"/>
      </items>
    </pivotField>
    <pivotField showAll="0">
      <items count="6">
        <item x="2"/>
        <item x="0"/>
        <item x="1"/>
        <item x="3"/>
        <item x="4"/>
        <item t="default"/>
      </items>
    </pivotField>
    <pivotField showAll="0"/>
    <pivotField dataField="1"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s>
  <rowFields count="1">
    <field x="6"/>
  </rowFields>
  <rowItems count="5">
    <i>
      <x/>
    </i>
    <i>
      <x v="1"/>
    </i>
    <i>
      <x v="2"/>
    </i>
    <i>
      <x v="3"/>
    </i>
    <i t="grand">
      <x/>
    </i>
  </rowItems>
  <colFields count="1">
    <field x="7"/>
  </colFields>
  <colItems count="6">
    <i>
      <x/>
    </i>
    <i>
      <x v="1"/>
    </i>
    <i>
      <x v="2"/>
    </i>
    <i>
      <x v="3"/>
    </i>
    <i>
      <x v="4"/>
    </i>
    <i t="grand">
      <x/>
    </i>
  </colItems>
  <pageFields count="1">
    <pageField fld="15" hier="-1"/>
  </pageFields>
  <dataFields count="1">
    <dataField name="Sum of SalesAmount" fld="10" baseField="0" baseItem="0"/>
  </dataFields>
  <formats count="1">
    <format dxfId="2">
      <pivotArea collapsedLevelsAreSubtotals="1" fieldPosition="0">
        <references count="2">
          <reference field="6" count="1">
            <x v="1"/>
          </reference>
          <reference field="7" count="1" selected="0">
            <x v="0"/>
          </reference>
        </references>
      </pivotArea>
    </format>
  </formats>
  <chartFormats count="5">
    <chartFormat chart="4" format="10" series="1">
      <pivotArea type="data" outline="0" fieldPosition="0">
        <references count="2">
          <reference field="4294967294" count="1" selected="0">
            <x v="0"/>
          </reference>
          <reference field="7" count="1" selected="0">
            <x v="0"/>
          </reference>
        </references>
      </pivotArea>
    </chartFormat>
    <chartFormat chart="4" format="11" series="1">
      <pivotArea type="data" outline="0" fieldPosition="0">
        <references count="2">
          <reference field="4294967294" count="1" selected="0">
            <x v="0"/>
          </reference>
          <reference field="7" count="1" selected="0">
            <x v="1"/>
          </reference>
        </references>
      </pivotArea>
    </chartFormat>
    <chartFormat chart="4" format="12" series="1">
      <pivotArea type="data" outline="0" fieldPosition="0">
        <references count="2">
          <reference field="4294967294" count="1" selected="0">
            <x v="0"/>
          </reference>
          <reference field="7" count="1" selected="0">
            <x v="2"/>
          </reference>
        </references>
      </pivotArea>
    </chartFormat>
    <chartFormat chart="4" format="13" series="1">
      <pivotArea type="data" outline="0" fieldPosition="0">
        <references count="2">
          <reference field="4294967294" count="1" selected="0">
            <x v="0"/>
          </reference>
          <reference field="7" count="1" selected="0">
            <x v="3"/>
          </reference>
        </references>
      </pivotArea>
    </chartFormat>
    <chartFormat chart="4"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7B45BD-0781-4107-BB46-526E6D8A2605}" sourceName="Region">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37130056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CB563F-CA28-4CF7-9A28-CD8E0503C5EE}" sourceName="Category">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371300566">
      <items count="5">
        <i x="0" s="1"/>
        <i x="4"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424F664-258E-438F-86AC-CC3DB71164B9}" sourceName="PaymentMethod">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371300566">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1039971-BC47-4139-88EA-E2ACC11F25E6}" cache="Slicer_Region" caption="Region" style="SlicerStyleOther2" rowHeight="234950"/>
  <slicer name="Category" xr10:uid="{5E2371FF-C2E1-4593-AF0C-DD94B2C7A89C}" cache="Slicer_Category" caption="Category" style="SlicerStyleOther2" rowHeight="234950"/>
  <slicer name="PaymentMethod" xr10:uid="{8EC8BB16-AF7C-4538-8248-CE64F960B96C}" cache="Slicer_PaymentMethod" caption="PaymentMethod" style="SlicerStyleOther2" rowHeight="234950"/>
</slicers>
</file>

<file path=xl/theme/theme1.xml><?xml version="1.0" encoding="utf-8"?>
<a:theme xmlns:a="http://schemas.openxmlformats.org/drawingml/2006/main" name="Sheets">
  <a:themeElements>
    <a:clrScheme name="Custom 3">
      <a:dk1>
        <a:srgbClr val="000000"/>
      </a:dk1>
      <a:lt1>
        <a:srgbClr val="FFFFFF"/>
      </a:lt1>
      <a:dk2>
        <a:srgbClr val="000000"/>
      </a:dk2>
      <a:lt2>
        <a:srgbClr val="FFFFFF"/>
      </a:lt2>
      <a:accent1>
        <a:srgbClr val="2874F0"/>
      </a:accent1>
      <a:accent2>
        <a:srgbClr val="E85D5D"/>
      </a:accent2>
      <a:accent3>
        <a:srgbClr val="2AA9D2"/>
      </a:accent3>
      <a:accent4>
        <a:srgbClr val="20A464"/>
      </a:accent4>
      <a:accent5>
        <a:srgbClr val="FFCC00"/>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topLeftCell="B263" workbookViewId="0"/>
  </sheetViews>
  <sheetFormatPr defaultColWidth="14.44140625" defaultRowHeight="15" customHeight="1"/>
  <cols>
    <col min="1" max="1" width="10.88671875" bestFit="1" customWidth="1"/>
    <col min="2" max="2" width="14.21875" bestFit="1" customWidth="1"/>
    <col min="3" max="26" width="8.6640625" customWidth="1"/>
  </cols>
  <sheetData>
    <row r="1" spans="1:3" ht="14.4">
      <c r="A1" s="1" t="s">
        <v>1</v>
      </c>
      <c r="B1" s="1" t="s">
        <v>8</v>
      </c>
      <c r="C1" s="1" t="s">
        <v>10</v>
      </c>
    </row>
    <row r="2" spans="1:3" ht="14.4">
      <c r="A2" s="2" t="s">
        <v>11</v>
      </c>
      <c r="B2" s="2" t="s">
        <v>15</v>
      </c>
      <c r="C2" s="2" t="s">
        <v>19</v>
      </c>
    </row>
    <row r="3" spans="1:3" ht="14.4">
      <c r="A3" s="2" t="s">
        <v>24</v>
      </c>
      <c r="B3" s="2" t="s">
        <v>26</v>
      </c>
      <c r="C3" s="2" t="s">
        <v>28</v>
      </c>
    </row>
    <row r="4" spans="1:3" ht="14.4">
      <c r="A4" s="2" t="s">
        <v>31</v>
      </c>
      <c r="B4" s="2" t="s">
        <v>33</v>
      </c>
      <c r="C4" s="2" t="s">
        <v>35</v>
      </c>
    </row>
    <row r="5" spans="1:3" ht="14.4">
      <c r="A5" s="2" t="s">
        <v>38</v>
      </c>
      <c r="B5" s="2" t="s">
        <v>41</v>
      </c>
      <c r="C5" s="2" t="s">
        <v>28</v>
      </c>
    </row>
    <row r="6" spans="1:3" ht="14.4">
      <c r="A6" s="2" t="s">
        <v>44</v>
      </c>
      <c r="B6" s="2" t="s">
        <v>47</v>
      </c>
      <c r="C6" s="2" t="s">
        <v>28</v>
      </c>
    </row>
    <row r="7" spans="1:3" ht="14.4">
      <c r="A7" s="2" t="s">
        <v>51</v>
      </c>
      <c r="B7" s="2" t="s">
        <v>53</v>
      </c>
      <c r="C7" s="2" t="s">
        <v>35</v>
      </c>
    </row>
    <row r="8" spans="1:3" ht="14.4">
      <c r="A8" s="2" t="s">
        <v>57</v>
      </c>
      <c r="B8" s="2" t="s">
        <v>60</v>
      </c>
      <c r="C8" s="2" t="s">
        <v>61</v>
      </c>
    </row>
    <row r="9" spans="1:3" ht="14.4">
      <c r="A9" s="2" t="s">
        <v>64</v>
      </c>
      <c r="B9" s="2" t="s">
        <v>67</v>
      </c>
      <c r="C9" s="2" t="s">
        <v>61</v>
      </c>
    </row>
    <row r="10" spans="1:3" ht="14.4">
      <c r="A10" s="2" t="s">
        <v>71</v>
      </c>
      <c r="B10" s="2" t="s">
        <v>73</v>
      </c>
      <c r="C10" s="2" t="s">
        <v>19</v>
      </c>
    </row>
    <row r="11" spans="1:3" ht="14.4">
      <c r="A11" s="2" t="s">
        <v>76</v>
      </c>
      <c r="B11" s="2" t="s">
        <v>78</v>
      </c>
      <c r="C11" s="2" t="s">
        <v>35</v>
      </c>
    </row>
    <row r="12" spans="1:3" ht="14.4">
      <c r="A12" s="2" t="s">
        <v>65</v>
      </c>
      <c r="B12" s="2" t="s">
        <v>81</v>
      </c>
      <c r="C12" s="2" t="s">
        <v>61</v>
      </c>
    </row>
    <row r="13" spans="1:3" ht="14.4">
      <c r="A13" s="2" t="s">
        <v>85</v>
      </c>
      <c r="B13" s="2" t="s">
        <v>86</v>
      </c>
      <c r="C13" s="2" t="s">
        <v>19</v>
      </c>
    </row>
    <row r="14" spans="1:3" ht="14.4">
      <c r="A14" s="2" t="s">
        <v>89</v>
      </c>
      <c r="B14" s="2" t="s">
        <v>92</v>
      </c>
      <c r="C14" s="2" t="s">
        <v>19</v>
      </c>
    </row>
    <row r="15" spans="1:3" ht="14.4">
      <c r="A15" s="2" t="s">
        <v>97</v>
      </c>
      <c r="B15" s="2" t="s">
        <v>100</v>
      </c>
      <c r="C15" s="2" t="s">
        <v>28</v>
      </c>
    </row>
    <row r="16" spans="1:3" ht="14.4">
      <c r="A16" s="2" t="s">
        <v>108</v>
      </c>
      <c r="B16" s="2" t="s">
        <v>110</v>
      </c>
      <c r="C16" s="2" t="s">
        <v>19</v>
      </c>
    </row>
    <row r="17" spans="1:3" ht="14.4">
      <c r="A17" s="2" t="s">
        <v>115</v>
      </c>
      <c r="B17" s="2" t="s">
        <v>117</v>
      </c>
      <c r="C17" s="2" t="s">
        <v>61</v>
      </c>
    </row>
    <row r="18" spans="1:3" ht="14.4">
      <c r="A18" s="2" t="s">
        <v>120</v>
      </c>
      <c r="B18" s="2" t="s">
        <v>132</v>
      </c>
      <c r="C18" s="2" t="s">
        <v>19</v>
      </c>
    </row>
    <row r="19" spans="1:3" ht="14.4">
      <c r="A19" s="2" t="s">
        <v>135</v>
      </c>
      <c r="B19" s="2" t="s">
        <v>137</v>
      </c>
      <c r="C19" s="2" t="s">
        <v>35</v>
      </c>
    </row>
    <row r="20" spans="1:3" ht="14.4">
      <c r="A20" s="2" t="s">
        <v>143</v>
      </c>
      <c r="B20" s="2" t="s">
        <v>145</v>
      </c>
      <c r="C20" s="2" t="s">
        <v>19</v>
      </c>
    </row>
    <row r="21" spans="1:3" ht="15.75" customHeight="1">
      <c r="A21" s="2" t="s">
        <v>149</v>
      </c>
      <c r="B21" s="2" t="s">
        <v>151</v>
      </c>
      <c r="C21" s="2" t="s">
        <v>28</v>
      </c>
    </row>
    <row r="22" spans="1:3" ht="15.75" customHeight="1">
      <c r="A22" s="2" t="s">
        <v>156</v>
      </c>
      <c r="B22" s="2" t="s">
        <v>159</v>
      </c>
      <c r="C22" s="2" t="s">
        <v>61</v>
      </c>
    </row>
    <row r="23" spans="1:3" ht="15.75" customHeight="1">
      <c r="A23" s="2" t="s">
        <v>166</v>
      </c>
      <c r="B23" s="2" t="s">
        <v>170</v>
      </c>
      <c r="C23" s="2" t="s">
        <v>28</v>
      </c>
    </row>
    <row r="24" spans="1:3" ht="15.75" customHeight="1">
      <c r="A24" s="2" t="s">
        <v>175</v>
      </c>
      <c r="B24" s="2" t="s">
        <v>176</v>
      </c>
      <c r="C24" s="2" t="s">
        <v>28</v>
      </c>
    </row>
    <row r="25" spans="1:3" ht="15.75" customHeight="1">
      <c r="A25" s="2" t="s">
        <v>179</v>
      </c>
      <c r="B25" s="2" t="s">
        <v>182</v>
      </c>
      <c r="C25" s="2" t="s">
        <v>35</v>
      </c>
    </row>
    <row r="26" spans="1:3" ht="15.75" customHeight="1">
      <c r="A26" s="2" t="s">
        <v>186</v>
      </c>
      <c r="B26" s="2" t="s">
        <v>188</v>
      </c>
      <c r="C26" s="2" t="s">
        <v>28</v>
      </c>
    </row>
    <row r="27" spans="1:3" ht="15.75" customHeight="1">
      <c r="A27" s="2" t="s">
        <v>190</v>
      </c>
      <c r="B27" s="2" t="s">
        <v>192</v>
      </c>
      <c r="C27" s="2" t="s">
        <v>61</v>
      </c>
    </row>
    <row r="28" spans="1:3" ht="15.75" customHeight="1">
      <c r="A28" s="2" t="s">
        <v>197</v>
      </c>
      <c r="B28" s="2" t="s">
        <v>198</v>
      </c>
      <c r="C28" s="2" t="s">
        <v>61</v>
      </c>
    </row>
    <row r="29" spans="1:3" ht="15.75" customHeight="1">
      <c r="A29" s="2" t="s">
        <v>202</v>
      </c>
      <c r="B29" s="2" t="s">
        <v>206</v>
      </c>
      <c r="C29" s="2" t="s">
        <v>28</v>
      </c>
    </row>
    <row r="30" spans="1:3" ht="15.75" customHeight="1">
      <c r="A30" s="2" t="s">
        <v>209</v>
      </c>
      <c r="B30" s="2" t="s">
        <v>212</v>
      </c>
      <c r="C30" s="2" t="s">
        <v>28</v>
      </c>
    </row>
    <row r="31" spans="1:3" ht="15.75" customHeight="1">
      <c r="A31" s="2" t="s">
        <v>216</v>
      </c>
      <c r="B31" s="2" t="s">
        <v>217</v>
      </c>
      <c r="C31" s="2" t="s">
        <v>28</v>
      </c>
    </row>
    <row r="32" spans="1:3" ht="15.75" customHeight="1">
      <c r="A32" s="2" t="s">
        <v>218</v>
      </c>
      <c r="B32" s="2" t="s">
        <v>219</v>
      </c>
      <c r="C32" s="2" t="s">
        <v>61</v>
      </c>
    </row>
    <row r="33" spans="1:3" ht="15.75" customHeight="1">
      <c r="A33" s="2" t="s">
        <v>224</v>
      </c>
      <c r="B33" s="2" t="s">
        <v>225</v>
      </c>
      <c r="C33" s="2" t="s">
        <v>28</v>
      </c>
    </row>
    <row r="34" spans="1:3" ht="15.75" customHeight="1">
      <c r="A34" s="2" t="s">
        <v>226</v>
      </c>
      <c r="B34" s="2" t="s">
        <v>227</v>
      </c>
      <c r="C34" s="2" t="s">
        <v>61</v>
      </c>
    </row>
    <row r="35" spans="1:3" ht="15.75" customHeight="1">
      <c r="A35" s="2" t="s">
        <v>229</v>
      </c>
      <c r="B35" s="2" t="s">
        <v>230</v>
      </c>
      <c r="C35" s="2" t="s">
        <v>19</v>
      </c>
    </row>
    <row r="36" spans="1:3" ht="15.75" customHeight="1">
      <c r="A36" s="2" t="s">
        <v>231</v>
      </c>
      <c r="B36" s="2" t="s">
        <v>232</v>
      </c>
      <c r="C36" s="2" t="s">
        <v>35</v>
      </c>
    </row>
    <row r="37" spans="1:3" ht="15.75" customHeight="1">
      <c r="A37" s="2" t="s">
        <v>233</v>
      </c>
      <c r="B37" s="2" t="s">
        <v>234</v>
      </c>
      <c r="C37" s="2" t="s">
        <v>19</v>
      </c>
    </row>
    <row r="38" spans="1:3" ht="15.75" customHeight="1">
      <c r="A38" s="2" t="s">
        <v>235</v>
      </c>
      <c r="B38" s="2" t="s">
        <v>236</v>
      </c>
      <c r="C38" s="2" t="s">
        <v>61</v>
      </c>
    </row>
    <row r="39" spans="1:3" ht="15.75" customHeight="1">
      <c r="A39" s="2" t="s">
        <v>238</v>
      </c>
      <c r="B39" s="2" t="s">
        <v>240</v>
      </c>
      <c r="C39" s="2" t="s">
        <v>19</v>
      </c>
    </row>
    <row r="40" spans="1:3" ht="15.75" customHeight="1">
      <c r="A40" s="2" t="s">
        <v>241</v>
      </c>
      <c r="B40" s="2" t="s">
        <v>242</v>
      </c>
      <c r="C40" s="2" t="s">
        <v>19</v>
      </c>
    </row>
    <row r="41" spans="1:3" ht="15.75" customHeight="1">
      <c r="A41" s="2" t="s">
        <v>243</v>
      </c>
      <c r="B41" s="2" t="s">
        <v>244</v>
      </c>
      <c r="C41" s="2" t="s">
        <v>28</v>
      </c>
    </row>
    <row r="42" spans="1:3" ht="15.75" customHeight="1">
      <c r="A42" s="2" t="s">
        <v>247</v>
      </c>
      <c r="B42" s="2" t="s">
        <v>248</v>
      </c>
      <c r="C42" s="2" t="s">
        <v>35</v>
      </c>
    </row>
    <row r="43" spans="1:3" ht="15.75" customHeight="1">
      <c r="A43" s="2" t="s">
        <v>249</v>
      </c>
      <c r="B43" s="2" t="s">
        <v>250</v>
      </c>
      <c r="C43" s="2" t="s">
        <v>35</v>
      </c>
    </row>
    <row r="44" spans="1:3" ht="15.75" customHeight="1">
      <c r="A44" s="2" t="s">
        <v>251</v>
      </c>
      <c r="B44" s="2" t="s">
        <v>252</v>
      </c>
      <c r="C44" s="2" t="s">
        <v>19</v>
      </c>
    </row>
    <row r="45" spans="1:3" ht="15.75" customHeight="1">
      <c r="A45" s="2" t="s">
        <v>255</v>
      </c>
      <c r="B45" s="2" t="s">
        <v>256</v>
      </c>
      <c r="C45" s="2" t="s">
        <v>35</v>
      </c>
    </row>
    <row r="46" spans="1:3" ht="15.75" customHeight="1">
      <c r="A46" s="2" t="s">
        <v>223</v>
      </c>
      <c r="B46" s="2" t="s">
        <v>257</v>
      </c>
      <c r="C46" s="2" t="s">
        <v>61</v>
      </c>
    </row>
    <row r="47" spans="1:3" ht="15.75" customHeight="1">
      <c r="A47" s="2" t="s">
        <v>259</v>
      </c>
      <c r="B47" s="2" t="s">
        <v>260</v>
      </c>
      <c r="C47" s="2" t="s">
        <v>61</v>
      </c>
    </row>
    <row r="48" spans="1:3" ht="15.75" customHeight="1">
      <c r="A48" s="2" t="s">
        <v>262</v>
      </c>
      <c r="B48" s="2" t="s">
        <v>263</v>
      </c>
      <c r="C48" s="2" t="s">
        <v>28</v>
      </c>
    </row>
    <row r="49" spans="1:3" ht="15.75" customHeight="1">
      <c r="A49" s="2" t="s">
        <v>264</v>
      </c>
      <c r="B49" s="2" t="s">
        <v>265</v>
      </c>
      <c r="C49" s="2" t="s">
        <v>35</v>
      </c>
    </row>
    <row r="50" spans="1:3" ht="15.75" customHeight="1">
      <c r="A50" s="2" t="s">
        <v>268</v>
      </c>
      <c r="B50" s="2" t="s">
        <v>269</v>
      </c>
      <c r="C50" s="2" t="s">
        <v>19</v>
      </c>
    </row>
    <row r="51" spans="1:3" ht="15.75" customHeight="1">
      <c r="A51" s="2" t="s">
        <v>270</v>
      </c>
      <c r="B51" s="2" t="s">
        <v>271</v>
      </c>
      <c r="C51" s="2" t="s">
        <v>28</v>
      </c>
    </row>
    <row r="52" spans="1:3" ht="15.75" customHeight="1">
      <c r="A52" s="2" t="s">
        <v>272</v>
      </c>
      <c r="B52" s="2" t="s">
        <v>273</v>
      </c>
      <c r="C52" s="2" t="s">
        <v>61</v>
      </c>
    </row>
    <row r="53" spans="1:3" ht="15.75" customHeight="1">
      <c r="A53" s="2" t="s">
        <v>276</v>
      </c>
      <c r="B53" s="2" t="s">
        <v>277</v>
      </c>
      <c r="C53" s="2" t="s">
        <v>35</v>
      </c>
    </row>
    <row r="54" spans="1:3" ht="15.75" customHeight="1">
      <c r="A54" s="2" t="s">
        <v>278</v>
      </c>
      <c r="B54" s="2" t="s">
        <v>279</v>
      </c>
      <c r="C54" s="2" t="s">
        <v>28</v>
      </c>
    </row>
    <row r="55" spans="1:3" ht="15.75" customHeight="1">
      <c r="A55" s="2" t="s">
        <v>281</v>
      </c>
      <c r="B55" s="2" t="s">
        <v>283</v>
      </c>
      <c r="C55" s="2" t="s">
        <v>35</v>
      </c>
    </row>
    <row r="56" spans="1:3" ht="15.75" customHeight="1">
      <c r="A56" s="2" t="s">
        <v>284</v>
      </c>
      <c r="B56" s="2" t="s">
        <v>285</v>
      </c>
      <c r="C56" s="2" t="s">
        <v>28</v>
      </c>
    </row>
    <row r="57" spans="1:3" ht="15.75" customHeight="1">
      <c r="A57" s="2" t="s">
        <v>286</v>
      </c>
      <c r="B57" s="2" t="s">
        <v>287</v>
      </c>
      <c r="C57" s="2" t="s">
        <v>61</v>
      </c>
    </row>
    <row r="58" spans="1:3" ht="15.75" customHeight="1">
      <c r="A58" s="2" t="s">
        <v>290</v>
      </c>
      <c r="B58" s="2" t="s">
        <v>291</v>
      </c>
      <c r="C58" s="2" t="s">
        <v>28</v>
      </c>
    </row>
    <row r="59" spans="1:3" ht="15.75" customHeight="1">
      <c r="A59" s="2" t="s">
        <v>292</v>
      </c>
      <c r="B59" s="2" t="s">
        <v>293</v>
      </c>
      <c r="C59" s="2" t="s">
        <v>61</v>
      </c>
    </row>
    <row r="60" spans="1:3" ht="15.75" customHeight="1">
      <c r="A60" s="2" t="s">
        <v>294</v>
      </c>
      <c r="B60" s="2" t="s">
        <v>296</v>
      </c>
      <c r="C60" s="2" t="s">
        <v>61</v>
      </c>
    </row>
    <row r="61" spans="1:3" ht="15.75" customHeight="1">
      <c r="A61" s="2" t="s">
        <v>297</v>
      </c>
      <c r="B61" s="2" t="s">
        <v>298</v>
      </c>
      <c r="C61" s="2" t="s">
        <v>28</v>
      </c>
    </row>
    <row r="62" spans="1:3" ht="15.75" customHeight="1">
      <c r="A62" s="2" t="s">
        <v>187</v>
      </c>
      <c r="B62" s="2" t="s">
        <v>299</v>
      </c>
      <c r="C62" s="2" t="s">
        <v>28</v>
      </c>
    </row>
    <row r="63" spans="1:3" ht="15.75" customHeight="1">
      <c r="A63" s="2" t="s">
        <v>246</v>
      </c>
      <c r="B63" s="2" t="s">
        <v>301</v>
      </c>
      <c r="C63" s="2" t="s">
        <v>61</v>
      </c>
    </row>
    <row r="64" spans="1:3" ht="15.75" customHeight="1">
      <c r="A64" s="2" t="s">
        <v>303</v>
      </c>
      <c r="B64" s="2" t="s">
        <v>304</v>
      </c>
      <c r="C64" s="2" t="s">
        <v>35</v>
      </c>
    </row>
    <row r="65" spans="1:3" ht="15.75" customHeight="1">
      <c r="A65" s="2" t="s">
        <v>305</v>
      </c>
      <c r="B65" s="2" t="s">
        <v>306</v>
      </c>
      <c r="C65" s="2" t="s">
        <v>61</v>
      </c>
    </row>
    <row r="66" spans="1:3" ht="15.75" customHeight="1">
      <c r="A66" s="2" t="s">
        <v>307</v>
      </c>
      <c r="B66" s="2" t="s">
        <v>308</v>
      </c>
      <c r="C66" s="2" t="s">
        <v>28</v>
      </c>
    </row>
    <row r="67" spans="1:3" ht="15.75" customHeight="1">
      <c r="A67" s="2" t="s">
        <v>309</v>
      </c>
      <c r="B67" s="2" t="s">
        <v>310</v>
      </c>
      <c r="C67" s="2" t="s">
        <v>61</v>
      </c>
    </row>
    <row r="68" spans="1:3" ht="15.75" customHeight="1">
      <c r="A68" s="2" t="s">
        <v>313</v>
      </c>
      <c r="B68" s="2" t="s">
        <v>314</v>
      </c>
      <c r="C68" s="2" t="s">
        <v>61</v>
      </c>
    </row>
    <row r="69" spans="1:3" ht="15.75" customHeight="1">
      <c r="A69" s="2" t="s">
        <v>315</v>
      </c>
      <c r="B69" s="2" t="s">
        <v>316</v>
      </c>
      <c r="C69" s="2" t="s">
        <v>35</v>
      </c>
    </row>
    <row r="70" spans="1:3" ht="15.75" customHeight="1">
      <c r="A70" s="2" t="s">
        <v>221</v>
      </c>
      <c r="B70" s="2" t="s">
        <v>317</v>
      </c>
      <c r="C70" s="2" t="s">
        <v>61</v>
      </c>
    </row>
    <row r="71" spans="1:3" ht="15.75" customHeight="1">
      <c r="A71" s="2" t="s">
        <v>318</v>
      </c>
      <c r="B71" s="2" t="s">
        <v>319</v>
      </c>
      <c r="C71" s="2" t="s">
        <v>61</v>
      </c>
    </row>
    <row r="72" spans="1:3" ht="15.75" customHeight="1">
      <c r="A72" s="2" t="s">
        <v>320</v>
      </c>
      <c r="B72" s="2" t="s">
        <v>321</v>
      </c>
      <c r="C72" s="2" t="s">
        <v>61</v>
      </c>
    </row>
    <row r="73" spans="1:3" ht="15.75" customHeight="1">
      <c r="A73" s="2" t="s">
        <v>323</v>
      </c>
      <c r="B73" s="2" t="s">
        <v>325</v>
      </c>
      <c r="C73" s="2" t="s">
        <v>28</v>
      </c>
    </row>
    <row r="74" spans="1:3" ht="15.75" customHeight="1">
      <c r="A74" s="2" t="s">
        <v>326</v>
      </c>
      <c r="B74" s="2" t="s">
        <v>327</v>
      </c>
      <c r="C74" s="2" t="s">
        <v>28</v>
      </c>
    </row>
    <row r="75" spans="1:3" ht="15.75" customHeight="1">
      <c r="A75" s="2" t="s">
        <v>328</v>
      </c>
      <c r="B75" s="2" t="s">
        <v>329</v>
      </c>
      <c r="C75" s="2" t="s">
        <v>19</v>
      </c>
    </row>
    <row r="76" spans="1:3" ht="15.75" customHeight="1">
      <c r="A76" s="2" t="s">
        <v>330</v>
      </c>
      <c r="B76" s="2" t="s">
        <v>331</v>
      </c>
      <c r="C76" s="2" t="s">
        <v>61</v>
      </c>
    </row>
    <row r="77" spans="1:3" ht="15.75" customHeight="1">
      <c r="A77" s="2" t="s">
        <v>332</v>
      </c>
      <c r="B77" s="2" t="s">
        <v>333</v>
      </c>
      <c r="C77" s="2" t="s">
        <v>28</v>
      </c>
    </row>
    <row r="78" spans="1:3" ht="15.75" customHeight="1">
      <c r="A78" s="2" t="s">
        <v>334</v>
      </c>
      <c r="B78" s="2" t="s">
        <v>336</v>
      </c>
      <c r="C78" s="2" t="s">
        <v>19</v>
      </c>
    </row>
    <row r="79" spans="1:3" ht="15.75" customHeight="1">
      <c r="A79" s="2" t="s">
        <v>338</v>
      </c>
      <c r="B79" s="2" t="s">
        <v>339</v>
      </c>
      <c r="C79" s="2" t="s">
        <v>35</v>
      </c>
    </row>
    <row r="80" spans="1:3" ht="15.75" customHeight="1">
      <c r="A80" s="2" t="s">
        <v>340</v>
      </c>
      <c r="B80" s="2" t="s">
        <v>341</v>
      </c>
      <c r="C80" s="2" t="s">
        <v>35</v>
      </c>
    </row>
    <row r="81" spans="1:3" ht="15.75" customHeight="1">
      <c r="A81" s="2" t="s">
        <v>342</v>
      </c>
      <c r="B81" s="2" t="s">
        <v>343</v>
      </c>
      <c r="C81" s="2" t="s">
        <v>28</v>
      </c>
    </row>
    <row r="82" spans="1:3" ht="15.75" customHeight="1">
      <c r="A82" s="2" t="s">
        <v>344</v>
      </c>
      <c r="B82" s="2" t="s">
        <v>345</v>
      </c>
      <c r="C82" s="2" t="s">
        <v>35</v>
      </c>
    </row>
    <row r="83" spans="1:3" ht="15.75" customHeight="1">
      <c r="A83" s="2" t="s">
        <v>346</v>
      </c>
      <c r="B83" s="2" t="s">
        <v>347</v>
      </c>
      <c r="C83" s="2" t="s">
        <v>35</v>
      </c>
    </row>
    <row r="84" spans="1:3" ht="15.75" customHeight="1">
      <c r="A84" s="2" t="s">
        <v>349</v>
      </c>
      <c r="B84" s="2" t="s">
        <v>350</v>
      </c>
      <c r="C84" s="2" t="s">
        <v>61</v>
      </c>
    </row>
    <row r="85" spans="1:3" ht="15.75" customHeight="1">
      <c r="A85" s="2" t="s">
        <v>351</v>
      </c>
      <c r="B85" s="2" t="s">
        <v>352</v>
      </c>
      <c r="C85" s="2" t="s">
        <v>19</v>
      </c>
    </row>
    <row r="86" spans="1:3" ht="15.75" customHeight="1">
      <c r="A86" s="2" t="s">
        <v>353</v>
      </c>
      <c r="B86" s="2" t="s">
        <v>354</v>
      </c>
      <c r="C86" s="2" t="s">
        <v>61</v>
      </c>
    </row>
    <row r="87" spans="1:3" ht="15.75" customHeight="1">
      <c r="A87" s="2" t="s">
        <v>355</v>
      </c>
      <c r="B87" s="2" t="s">
        <v>356</v>
      </c>
      <c r="C87" s="2" t="s">
        <v>61</v>
      </c>
    </row>
    <row r="88" spans="1:3" ht="15.75" customHeight="1">
      <c r="A88" s="2" t="s">
        <v>126</v>
      </c>
      <c r="B88" s="2" t="s">
        <v>358</v>
      </c>
      <c r="C88" s="2" t="s">
        <v>19</v>
      </c>
    </row>
    <row r="89" spans="1:3" ht="15.75" customHeight="1">
      <c r="A89" s="2" t="s">
        <v>359</v>
      </c>
      <c r="B89" s="2" t="s">
        <v>360</v>
      </c>
      <c r="C89" s="2" t="s">
        <v>61</v>
      </c>
    </row>
    <row r="90" spans="1:3" ht="15.75" customHeight="1">
      <c r="A90" s="2" t="s">
        <v>361</v>
      </c>
      <c r="B90" s="2" t="s">
        <v>362</v>
      </c>
      <c r="C90" s="2" t="s">
        <v>28</v>
      </c>
    </row>
    <row r="91" spans="1:3" ht="15.75" customHeight="1">
      <c r="A91" s="2" t="s">
        <v>363</v>
      </c>
      <c r="B91" s="2" t="s">
        <v>364</v>
      </c>
      <c r="C91" s="2" t="s">
        <v>28</v>
      </c>
    </row>
    <row r="92" spans="1:3" ht="15.75" customHeight="1">
      <c r="A92" s="2" t="s">
        <v>365</v>
      </c>
      <c r="B92" s="2" t="s">
        <v>366</v>
      </c>
      <c r="C92" s="2" t="s">
        <v>61</v>
      </c>
    </row>
    <row r="93" spans="1:3" ht="15.75" customHeight="1">
      <c r="A93" s="2" t="s">
        <v>203</v>
      </c>
      <c r="B93" s="2" t="s">
        <v>368</v>
      </c>
      <c r="C93" s="2" t="s">
        <v>19</v>
      </c>
    </row>
    <row r="94" spans="1:3" ht="15.75" customHeight="1">
      <c r="A94" s="2" t="s">
        <v>369</v>
      </c>
      <c r="B94" s="2" t="s">
        <v>370</v>
      </c>
      <c r="C94" s="2" t="s">
        <v>61</v>
      </c>
    </row>
    <row r="95" spans="1:3" ht="15.75" customHeight="1">
      <c r="A95" s="2" t="s">
        <v>371</v>
      </c>
      <c r="B95" s="2" t="s">
        <v>372</v>
      </c>
      <c r="C95" s="2" t="s">
        <v>28</v>
      </c>
    </row>
    <row r="96" spans="1:3" ht="15.75" customHeight="1">
      <c r="A96" s="2" t="s">
        <v>373</v>
      </c>
      <c r="B96" s="2" t="s">
        <v>374</v>
      </c>
      <c r="C96" s="2" t="s">
        <v>61</v>
      </c>
    </row>
    <row r="97" spans="1:3" ht="15.75" customHeight="1">
      <c r="A97" s="2" t="s">
        <v>282</v>
      </c>
      <c r="B97" s="2" t="s">
        <v>376</v>
      </c>
      <c r="C97" s="2" t="s">
        <v>61</v>
      </c>
    </row>
    <row r="98" spans="1:3" ht="15.75" customHeight="1">
      <c r="A98" s="2" t="s">
        <v>378</v>
      </c>
      <c r="B98" s="2" t="s">
        <v>379</v>
      </c>
      <c r="C98" s="2" t="s">
        <v>35</v>
      </c>
    </row>
    <row r="99" spans="1:3" ht="15.75" customHeight="1">
      <c r="A99" s="2" t="s">
        <v>380</v>
      </c>
      <c r="B99" s="2" t="s">
        <v>381</v>
      </c>
      <c r="C99" s="2" t="s">
        <v>19</v>
      </c>
    </row>
    <row r="100" spans="1:3" ht="15.75" customHeight="1">
      <c r="A100" s="2" t="s">
        <v>382</v>
      </c>
      <c r="B100" s="2" t="s">
        <v>383</v>
      </c>
      <c r="C100" s="2" t="s">
        <v>61</v>
      </c>
    </row>
    <row r="101" spans="1:3" ht="15.75" customHeight="1">
      <c r="A101" s="2" t="s">
        <v>386</v>
      </c>
      <c r="B101" s="2" t="s">
        <v>387</v>
      </c>
      <c r="C101" s="2" t="s">
        <v>35</v>
      </c>
    </row>
    <row r="102" spans="1:3" ht="15.75" customHeight="1">
      <c r="A102" s="2" t="s">
        <v>388</v>
      </c>
      <c r="B102" s="2" t="s">
        <v>389</v>
      </c>
      <c r="C102" s="2" t="s">
        <v>35</v>
      </c>
    </row>
    <row r="103" spans="1:3" ht="15.75" customHeight="1">
      <c r="A103" s="2" t="s">
        <v>392</v>
      </c>
      <c r="B103" s="2" t="s">
        <v>393</v>
      </c>
      <c r="C103" s="2" t="s">
        <v>35</v>
      </c>
    </row>
    <row r="104" spans="1:3" ht="15.75" customHeight="1">
      <c r="A104" s="2" t="s">
        <v>394</v>
      </c>
      <c r="B104" s="2" t="s">
        <v>395</v>
      </c>
      <c r="C104" s="2" t="s">
        <v>61</v>
      </c>
    </row>
    <row r="105" spans="1:3" ht="15.75" customHeight="1">
      <c r="A105" s="2" t="s">
        <v>396</v>
      </c>
      <c r="B105" s="2" t="s">
        <v>397</v>
      </c>
      <c r="C105" s="2" t="s">
        <v>28</v>
      </c>
    </row>
    <row r="106" spans="1:3" ht="15.75" customHeight="1">
      <c r="A106" s="2" t="s">
        <v>399</v>
      </c>
      <c r="B106" s="2" t="s">
        <v>400</v>
      </c>
      <c r="C106" s="2" t="s">
        <v>35</v>
      </c>
    </row>
    <row r="107" spans="1:3" ht="15.75" customHeight="1">
      <c r="A107" s="2" t="s">
        <v>401</v>
      </c>
      <c r="B107" s="2" t="s">
        <v>402</v>
      </c>
      <c r="C107" s="2" t="s">
        <v>61</v>
      </c>
    </row>
    <row r="108" spans="1:3" ht="15.75" customHeight="1">
      <c r="A108" s="2" t="s">
        <v>403</v>
      </c>
      <c r="B108" s="2" t="s">
        <v>404</v>
      </c>
      <c r="C108" s="2" t="s">
        <v>35</v>
      </c>
    </row>
    <row r="109" spans="1:3" ht="15.75" customHeight="1">
      <c r="A109" s="2" t="s">
        <v>337</v>
      </c>
      <c r="B109" s="2" t="s">
        <v>406</v>
      </c>
      <c r="C109" s="2" t="s">
        <v>19</v>
      </c>
    </row>
    <row r="110" spans="1:3" ht="15.75" customHeight="1">
      <c r="A110" s="2" t="s">
        <v>408</v>
      </c>
      <c r="B110" s="2" t="s">
        <v>409</v>
      </c>
      <c r="C110" s="2" t="s">
        <v>28</v>
      </c>
    </row>
    <row r="111" spans="1:3" ht="15.75" customHeight="1">
      <c r="A111" s="2" t="s">
        <v>410</v>
      </c>
      <c r="B111" s="2" t="s">
        <v>411</v>
      </c>
      <c r="C111" s="2" t="s">
        <v>35</v>
      </c>
    </row>
    <row r="112" spans="1:3" ht="15.75" customHeight="1">
      <c r="A112" s="2" t="s">
        <v>412</v>
      </c>
      <c r="B112" s="2" t="s">
        <v>413</v>
      </c>
      <c r="C112" s="2" t="s">
        <v>19</v>
      </c>
    </row>
    <row r="113" spans="1:3" ht="15.75" customHeight="1">
      <c r="A113" s="2" t="s">
        <v>415</v>
      </c>
      <c r="B113" s="2" t="s">
        <v>416</v>
      </c>
      <c r="C113" s="2" t="s">
        <v>61</v>
      </c>
    </row>
    <row r="114" spans="1:3" ht="15.75" customHeight="1">
      <c r="A114" s="2" t="s">
        <v>417</v>
      </c>
      <c r="B114" s="2" t="s">
        <v>418</v>
      </c>
      <c r="C114" s="2" t="s">
        <v>35</v>
      </c>
    </row>
    <row r="115" spans="1:3" ht="15.75" customHeight="1">
      <c r="A115" s="2" t="s">
        <v>419</v>
      </c>
      <c r="B115" s="2" t="s">
        <v>420</v>
      </c>
      <c r="C115" s="2" t="s">
        <v>28</v>
      </c>
    </row>
    <row r="116" spans="1:3" ht="15.75" customHeight="1">
      <c r="A116" s="2" t="s">
        <v>421</v>
      </c>
      <c r="B116" s="2" t="s">
        <v>422</v>
      </c>
      <c r="C116" s="2" t="s">
        <v>19</v>
      </c>
    </row>
    <row r="117" spans="1:3" ht="15.75" customHeight="1">
      <c r="A117" s="2" t="s">
        <v>423</v>
      </c>
      <c r="B117" s="2" t="s">
        <v>425</v>
      </c>
      <c r="C117" s="2" t="s">
        <v>19</v>
      </c>
    </row>
    <row r="118" spans="1:3" ht="15.75" customHeight="1">
      <c r="A118" s="2" t="s">
        <v>426</v>
      </c>
      <c r="B118" s="2" t="s">
        <v>427</v>
      </c>
      <c r="C118" s="2" t="s">
        <v>35</v>
      </c>
    </row>
    <row r="119" spans="1:3" ht="15.75" customHeight="1">
      <c r="A119" s="2" t="s">
        <v>428</v>
      </c>
      <c r="B119" s="2" t="s">
        <v>429</v>
      </c>
      <c r="C119" s="2" t="s">
        <v>19</v>
      </c>
    </row>
    <row r="120" spans="1:3" ht="15.75" customHeight="1">
      <c r="A120" s="2" t="s">
        <v>430</v>
      </c>
      <c r="B120" s="2" t="s">
        <v>431</v>
      </c>
      <c r="C120" s="2" t="s">
        <v>28</v>
      </c>
    </row>
    <row r="121" spans="1:3" ht="15.75" customHeight="1">
      <c r="A121" s="2" t="s">
        <v>434</v>
      </c>
      <c r="B121" s="2" t="s">
        <v>435</v>
      </c>
      <c r="C121" s="2" t="s">
        <v>28</v>
      </c>
    </row>
    <row r="122" spans="1:3" ht="15.75" customHeight="1">
      <c r="A122" s="2" t="s">
        <v>436</v>
      </c>
      <c r="B122" s="2" t="s">
        <v>437</v>
      </c>
      <c r="C122" s="2" t="s">
        <v>61</v>
      </c>
    </row>
    <row r="123" spans="1:3" ht="15.75" customHeight="1">
      <c r="A123" s="2" t="s">
        <v>438</v>
      </c>
      <c r="B123" s="2" t="s">
        <v>440</v>
      </c>
      <c r="C123" s="2" t="s">
        <v>19</v>
      </c>
    </row>
    <row r="124" spans="1:3" ht="15.75" customHeight="1">
      <c r="A124" s="2" t="s">
        <v>441</v>
      </c>
      <c r="B124" s="2" t="s">
        <v>442</v>
      </c>
      <c r="C124" s="2" t="s">
        <v>19</v>
      </c>
    </row>
    <row r="125" spans="1:3" ht="15.75" customHeight="1">
      <c r="A125" s="2" t="s">
        <v>443</v>
      </c>
      <c r="B125" s="2" t="s">
        <v>444</v>
      </c>
      <c r="C125" s="2" t="s">
        <v>61</v>
      </c>
    </row>
    <row r="126" spans="1:3" ht="15.75" customHeight="1">
      <c r="A126" s="2" t="s">
        <v>446</v>
      </c>
      <c r="B126" s="2" t="s">
        <v>448</v>
      </c>
      <c r="C126" s="2" t="s">
        <v>28</v>
      </c>
    </row>
    <row r="127" spans="1:3" ht="15.75" customHeight="1">
      <c r="A127" s="2" t="s">
        <v>449</v>
      </c>
      <c r="B127" s="2" t="s">
        <v>450</v>
      </c>
      <c r="C127" s="2" t="s">
        <v>35</v>
      </c>
    </row>
    <row r="128" spans="1:3" ht="15.75" customHeight="1">
      <c r="A128" s="2" t="s">
        <v>451</v>
      </c>
      <c r="B128" s="2" t="s">
        <v>452</v>
      </c>
      <c r="C128" s="2" t="s">
        <v>19</v>
      </c>
    </row>
    <row r="129" spans="1:3" ht="15.75" customHeight="1">
      <c r="A129" s="2" t="s">
        <v>455</v>
      </c>
      <c r="B129" s="2" t="s">
        <v>456</v>
      </c>
      <c r="C129" s="2" t="s">
        <v>61</v>
      </c>
    </row>
    <row r="130" spans="1:3" ht="15.75" customHeight="1">
      <c r="A130" s="2" t="s">
        <v>457</v>
      </c>
      <c r="B130" s="2" t="s">
        <v>458</v>
      </c>
      <c r="C130" s="2" t="s">
        <v>35</v>
      </c>
    </row>
    <row r="131" spans="1:3" ht="15.75" customHeight="1">
      <c r="A131" s="2" t="s">
        <v>459</v>
      </c>
      <c r="B131" s="2" t="s">
        <v>460</v>
      </c>
      <c r="C131" s="2" t="s">
        <v>61</v>
      </c>
    </row>
    <row r="132" spans="1:3" ht="15.75" customHeight="1">
      <c r="A132" s="2" t="s">
        <v>462</v>
      </c>
      <c r="B132" s="2" t="s">
        <v>463</v>
      </c>
      <c r="C132" s="2" t="s">
        <v>19</v>
      </c>
    </row>
    <row r="133" spans="1:3" ht="15.75" customHeight="1">
      <c r="A133" s="2" t="s">
        <v>464</v>
      </c>
      <c r="B133" s="2" t="s">
        <v>465</v>
      </c>
      <c r="C133" s="2" t="s">
        <v>35</v>
      </c>
    </row>
    <row r="134" spans="1:3" ht="15.75" customHeight="1">
      <c r="A134" s="2" t="s">
        <v>466</v>
      </c>
      <c r="B134" s="2" t="s">
        <v>467</v>
      </c>
      <c r="C134" s="2" t="s">
        <v>19</v>
      </c>
    </row>
    <row r="135" spans="1:3" ht="15.75" customHeight="1">
      <c r="A135" s="2" t="s">
        <v>469</v>
      </c>
      <c r="B135" s="2" t="s">
        <v>470</v>
      </c>
      <c r="C135" s="2" t="s">
        <v>35</v>
      </c>
    </row>
    <row r="136" spans="1:3" ht="15.75" customHeight="1">
      <c r="A136" s="2" t="s">
        <v>471</v>
      </c>
      <c r="B136" s="2" t="s">
        <v>472</v>
      </c>
      <c r="C136" s="2" t="s">
        <v>35</v>
      </c>
    </row>
    <row r="137" spans="1:3" ht="15.75" customHeight="1">
      <c r="A137" s="2" t="s">
        <v>473</v>
      </c>
      <c r="B137" s="2" t="s">
        <v>474</v>
      </c>
      <c r="C137" s="2" t="s">
        <v>28</v>
      </c>
    </row>
    <row r="138" spans="1:3" ht="15.75" customHeight="1">
      <c r="A138" s="2" t="s">
        <v>113</v>
      </c>
      <c r="B138" s="2" t="s">
        <v>477</v>
      </c>
      <c r="C138" s="2" t="s">
        <v>19</v>
      </c>
    </row>
    <row r="139" spans="1:3" ht="15.75" customHeight="1">
      <c r="A139" s="2" t="s">
        <v>478</v>
      </c>
      <c r="B139" s="2" t="s">
        <v>479</v>
      </c>
      <c r="C139" s="2" t="s">
        <v>35</v>
      </c>
    </row>
    <row r="140" spans="1:3" ht="15.75" customHeight="1">
      <c r="A140" s="2" t="s">
        <v>480</v>
      </c>
      <c r="B140" s="2" t="s">
        <v>481</v>
      </c>
      <c r="C140" s="2" t="s">
        <v>19</v>
      </c>
    </row>
    <row r="141" spans="1:3" ht="15.75" customHeight="1">
      <c r="A141" s="2" t="s">
        <v>483</v>
      </c>
      <c r="B141" s="2" t="s">
        <v>484</v>
      </c>
      <c r="C141" s="2" t="s">
        <v>19</v>
      </c>
    </row>
    <row r="142" spans="1:3" ht="15.75" customHeight="1">
      <c r="A142" s="2" t="s">
        <v>99</v>
      </c>
      <c r="B142" s="2" t="s">
        <v>485</v>
      </c>
      <c r="C142" s="2" t="s">
        <v>61</v>
      </c>
    </row>
    <row r="143" spans="1:3" ht="15.75" customHeight="1">
      <c r="A143" s="2" t="s">
        <v>486</v>
      </c>
      <c r="B143" s="2" t="s">
        <v>487</v>
      </c>
      <c r="C143" s="2" t="s">
        <v>35</v>
      </c>
    </row>
    <row r="144" spans="1:3" ht="15.75" customHeight="1">
      <c r="A144" s="2" t="s">
        <v>489</v>
      </c>
      <c r="B144" s="2" t="s">
        <v>490</v>
      </c>
      <c r="C144" s="2" t="s">
        <v>61</v>
      </c>
    </row>
    <row r="145" spans="1:3" ht="15.75" customHeight="1">
      <c r="A145" s="2" t="s">
        <v>491</v>
      </c>
      <c r="B145" s="2" t="s">
        <v>492</v>
      </c>
      <c r="C145" s="2" t="s">
        <v>61</v>
      </c>
    </row>
    <row r="146" spans="1:3" ht="15.75" customHeight="1">
      <c r="A146" s="2" t="s">
        <v>494</v>
      </c>
      <c r="B146" s="2" t="s">
        <v>495</v>
      </c>
      <c r="C146" s="2" t="s">
        <v>61</v>
      </c>
    </row>
    <row r="147" spans="1:3" ht="15.75" customHeight="1">
      <c r="A147" s="2" t="s">
        <v>496</v>
      </c>
      <c r="B147" s="2" t="s">
        <v>497</v>
      </c>
      <c r="C147" s="2" t="s">
        <v>35</v>
      </c>
    </row>
    <row r="148" spans="1:3" ht="15.75" customHeight="1">
      <c r="A148" s="2" t="s">
        <v>499</v>
      </c>
      <c r="B148" s="2" t="s">
        <v>501</v>
      </c>
      <c r="C148" s="2" t="s">
        <v>35</v>
      </c>
    </row>
    <row r="149" spans="1:3" ht="15.75" customHeight="1">
      <c r="A149" s="2" t="s">
        <v>502</v>
      </c>
      <c r="B149" s="2" t="s">
        <v>503</v>
      </c>
      <c r="C149" s="2" t="s">
        <v>35</v>
      </c>
    </row>
    <row r="150" spans="1:3" ht="15.75" customHeight="1">
      <c r="A150" s="2" t="s">
        <v>504</v>
      </c>
      <c r="B150" s="2" t="s">
        <v>505</v>
      </c>
      <c r="C150" s="2" t="s">
        <v>28</v>
      </c>
    </row>
    <row r="151" spans="1:3" ht="15.75" customHeight="1">
      <c r="A151" s="2" t="s">
        <v>508</v>
      </c>
      <c r="B151" s="2" t="s">
        <v>509</v>
      </c>
      <c r="C151" s="2" t="s">
        <v>61</v>
      </c>
    </row>
    <row r="152" spans="1:3" ht="15.75" customHeight="1">
      <c r="A152" s="2" t="s">
        <v>510</v>
      </c>
      <c r="B152" s="2" t="s">
        <v>511</v>
      </c>
      <c r="C152" s="2" t="s">
        <v>61</v>
      </c>
    </row>
    <row r="153" spans="1:3" ht="15.75" customHeight="1">
      <c r="A153" s="2" t="s">
        <v>512</v>
      </c>
      <c r="B153" s="2" t="s">
        <v>514</v>
      </c>
      <c r="C153" s="2" t="s">
        <v>19</v>
      </c>
    </row>
    <row r="154" spans="1:3" ht="15.75" customHeight="1">
      <c r="A154" s="2" t="s">
        <v>515</v>
      </c>
      <c r="B154" s="2" t="s">
        <v>516</v>
      </c>
      <c r="C154" s="2" t="s">
        <v>28</v>
      </c>
    </row>
    <row r="155" spans="1:3" ht="15.75" customHeight="1">
      <c r="A155" s="2" t="s">
        <v>517</v>
      </c>
      <c r="B155" s="2" t="s">
        <v>518</v>
      </c>
      <c r="C155" s="2" t="s">
        <v>19</v>
      </c>
    </row>
    <row r="156" spans="1:3" ht="15.75" customHeight="1">
      <c r="A156" s="2" t="s">
        <v>520</v>
      </c>
      <c r="B156" s="2" t="s">
        <v>521</v>
      </c>
      <c r="C156" s="2" t="s">
        <v>61</v>
      </c>
    </row>
    <row r="157" spans="1:3" ht="15.75" customHeight="1">
      <c r="A157" s="2" t="s">
        <v>239</v>
      </c>
      <c r="B157" s="2" t="s">
        <v>524</v>
      </c>
      <c r="C157" s="2" t="s">
        <v>61</v>
      </c>
    </row>
    <row r="158" spans="1:3" ht="15.75" customHeight="1">
      <c r="A158" s="2" t="s">
        <v>525</v>
      </c>
      <c r="B158" s="2" t="s">
        <v>527</v>
      </c>
      <c r="C158" s="2" t="s">
        <v>28</v>
      </c>
    </row>
    <row r="159" spans="1:3" ht="15.75" customHeight="1">
      <c r="A159" s="2" t="s">
        <v>528</v>
      </c>
      <c r="B159" s="2" t="s">
        <v>529</v>
      </c>
      <c r="C159" s="2" t="s">
        <v>28</v>
      </c>
    </row>
    <row r="160" spans="1:3" ht="15.75" customHeight="1">
      <c r="A160" s="2" t="s">
        <v>530</v>
      </c>
      <c r="B160" s="2" t="s">
        <v>531</v>
      </c>
      <c r="C160" s="2" t="s">
        <v>19</v>
      </c>
    </row>
    <row r="161" spans="1:3" ht="15.75" customHeight="1">
      <c r="A161" s="2" t="s">
        <v>534</v>
      </c>
      <c r="B161" s="2" t="s">
        <v>535</v>
      </c>
      <c r="C161" s="2" t="s">
        <v>19</v>
      </c>
    </row>
    <row r="162" spans="1:3" ht="15.75" customHeight="1">
      <c r="A162" s="2" t="s">
        <v>536</v>
      </c>
      <c r="B162" s="2" t="s">
        <v>537</v>
      </c>
      <c r="C162" s="2" t="s">
        <v>28</v>
      </c>
    </row>
    <row r="163" spans="1:3" ht="15.75" customHeight="1">
      <c r="A163" s="2" t="s">
        <v>538</v>
      </c>
      <c r="B163" s="2" t="s">
        <v>540</v>
      </c>
      <c r="C163" s="2" t="s">
        <v>35</v>
      </c>
    </row>
    <row r="164" spans="1:3" ht="15.75" customHeight="1">
      <c r="A164" s="2" t="s">
        <v>542</v>
      </c>
      <c r="B164" s="2" t="s">
        <v>543</v>
      </c>
      <c r="C164" s="2" t="s">
        <v>19</v>
      </c>
    </row>
    <row r="165" spans="1:3" ht="15.75" customHeight="1">
      <c r="A165" s="2" t="s">
        <v>544</v>
      </c>
      <c r="B165" s="2" t="s">
        <v>545</v>
      </c>
      <c r="C165" s="2" t="s">
        <v>61</v>
      </c>
    </row>
    <row r="166" spans="1:3" ht="15.75" customHeight="1">
      <c r="A166" s="2" t="s">
        <v>547</v>
      </c>
      <c r="B166" s="2" t="s">
        <v>548</v>
      </c>
      <c r="C166" s="2" t="s">
        <v>61</v>
      </c>
    </row>
    <row r="167" spans="1:3" ht="15.75" customHeight="1">
      <c r="A167" s="2" t="s">
        <v>549</v>
      </c>
      <c r="B167" s="2" t="s">
        <v>550</v>
      </c>
      <c r="C167" s="2" t="s">
        <v>19</v>
      </c>
    </row>
    <row r="168" spans="1:3" ht="15.75" customHeight="1">
      <c r="A168" s="2" t="s">
        <v>551</v>
      </c>
      <c r="B168" s="2" t="s">
        <v>552</v>
      </c>
      <c r="C168" s="2" t="s">
        <v>28</v>
      </c>
    </row>
    <row r="169" spans="1:3" ht="15.75" customHeight="1">
      <c r="A169" s="2" t="s">
        <v>554</v>
      </c>
      <c r="B169" s="2" t="s">
        <v>555</v>
      </c>
      <c r="C169" s="2" t="s">
        <v>19</v>
      </c>
    </row>
    <row r="170" spans="1:3" ht="15.75" customHeight="1">
      <c r="A170" s="2" t="s">
        <v>556</v>
      </c>
      <c r="B170" s="2" t="s">
        <v>557</v>
      </c>
      <c r="C170" s="2" t="s">
        <v>35</v>
      </c>
    </row>
    <row r="171" spans="1:3" ht="15.75" customHeight="1">
      <c r="A171" s="2" t="s">
        <v>541</v>
      </c>
      <c r="B171" s="2" t="s">
        <v>558</v>
      </c>
      <c r="C171" s="2" t="s">
        <v>19</v>
      </c>
    </row>
    <row r="172" spans="1:3" ht="15.75" customHeight="1">
      <c r="A172" s="2" t="s">
        <v>476</v>
      </c>
      <c r="B172" s="2" t="s">
        <v>560</v>
      </c>
      <c r="C172" s="2" t="s">
        <v>19</v>
      </c>
    </row>
    <row r="173" spans="1:3" ht="15.75" customHeight="1">
      <c r="A173" s="2" t="s">
        <v>561</v>
      </c>
      <c r="B173" s="2" t="s">
        <v>562</v>
      </c>
      <c r="C173" s="2" t="s">
        <v>35</v>
      </c>
    </row>
    <row r="174" spans="1:3" ht="15.75" customHeight="1">
      <c r="A174" s="2" t="s">
        <v>563</v>
      </c>
      <c r="B174" s="2" t="s">
        <v>564</v>
      </c>
      <c r="C174" s="2" t="s">
        <v>61</v>
      </c>
    </row>
    <row r="175" spans="1:3" ht="15.75" customHeight="1">
      <c r="A175" s="2" t="s">
        <v>565</v>
      </c>
      <c r="B175" s="2" t="s">
        <v>566</v>
      </c>
      <c r="C175" s="2" t="s">
        <v>61</v>
      </c>
    </row>
    <row r="176" spans="1:3" ht="15.75" customHeight="1">
      <c r="A176" s="2" t="s">
        <v>567</v>
      </c>
      <c r="B176" s="2" t="s">
        <v>569</v>
      </c>
      <c r="C176" s="2" t="s">
        <v>19</v>
      </c>
    </row>
    <row r="177" spans="1:3" ht="15.75" customHeight="1">
      <c r="A177" s="2" t="s">
        <v>570</v>
      </c>
      <c r="B177" s="2" t="s">
        <v>571</v>
      </c>
      <c r="C177" s="2" t="s">
        <v>61</v>
      </c>
    </row>
    <row r="178" spans="1:3" ht="15.75" customHeight="1">
      <c r="A178" s="2" t="s">
        <v>572</v>
      </c>
      <c r="B178" s="2" t="s">
        <v>574</v>
      </c>
      <c r="C178" s="2" t="s">
        <v>19</v>
      </c>
    </row>
    <row r="179" spans="1:3" ht="15.75" customHeight="1">
      <c r="A179" s="2" t="s">
        <v>576</v>
      </c>
      <c r="B179" s="2" t="s">
        <v>577</v>
      </c>
      <c r="C179" s="2" t="s">
        <v>28</v>
      </c>
    </row>
    <row r="180" spans="1:3" ht="15.75" customHeight="1">
      <c r="A180" s="2" t="s">
        <v>391</v>
      </c>
      <c r="B180" s="2" t="s">
        <v>579</v>
      </c>
      <c r="C180" s="2" t="s">
        <v>19</v>
      </c>
    </row>
    <row r="181" spans="1:3" ht="15.75" customHeight="1">
      <c r="A181" s="2" t="s">
        <v>581</v>
      </c>
      <c r="B181" s="2" t="s">
        <v>582</v>
      </c>
      <c r="C181" s="2" t="s">
        <v>28</v>
      </c>
    </row>
    <row r="182" spans="1:3" ht="15.75" customHeight="1">
      <c r="A182" s="2" t="s">
        <v>583</v>
      </c>
      <c r="B182" s="2" t="s">
        <v>584</v>
      </c>
      <c r="C182" s="2" t="s">
        <v>19</v>
      </c>
    </row>
    <row r="183" spans="1:3" ht="15.75" customHeight="1">
      <c r="A183" s="2" t="s">
        <v>585</v>
      </c>
      <c r="B183" s="2" t="s">
        <v>587</v>
      </c>
      <c r="C183" s="2" t="s">
        <v>35</v>
      </c>
    </row>
    <row r="184" spans="1:3" ht="15.75" customHeight="1">
      <c r="A184" s="2" t="s">
        <v>588</v>
      </c>
      <c r="B184" s="2" t="s">
        <v>589</v>
      </c>
      <c r="C184" s="2" t="s">
        <v>61</v>
      </c>
    </row>
    <row r="185" spans="1:3" ht="15.75" customHeight="1">
      <c r="A185" s="2" t="s">
        <v>590</v>
      </c>
      <c r="B185" s="2" t="s">
        <v>591</v>
      </c>
      <c r="C185" s="2" t="s">
        <v>28</v>
      </c>
    </row>
    <row r="186" spans="1:3" ht="15.75" customHeight="1">
      <c r="A186" s="2" t="s">
        <v>593</v>
      </c>
      <c r="B186" s="2" t="s">
        <v>594</v>
      </c>
      <c r="C186" s="2" t="s">
        <v>19</v>
      </c>
    </row>
    <row r="187" spans="1:3" ht="15.75" customHeight="1">
      <c r="A187" s="2" t="s">
        <v>595</v>
      </c>
      <c r="B187" s="2" t="s">
        <v>596</v>
      </c>
      <c r="C187" s="2" t="s">
        <v>28</v>
      </c>
    </row>
    <row r="188" spans="1:3" ht="15.75" customHeight="1">
      <c r="A188" s="2" t="s">
        <v>597</v>
      </c>
      <c r="B188" s="2" t="s">
        <v>599</v>
      </c>
      <c r="C188" s="2" t="s">
        <v>61</v>
      </c>
    </row>
    <row r="189" spans="1:3" ht="15.75" customHeight="1">
      <c r="A189" s="2" t="s">
        <v>601</v>
      </c>
      <c r="B189" s="2" t="s">
        <v>602</v>
      </c>
      <c r="C189" s="2" t="s">
        <v>35</v>
      </c>
    </row>
    <row r="190" spans="1:3" ht="15.75" customHeight="1">
      <c r="A190" s="2" t="s">
        <v>603</v>
      </c>
      <c r="B190" s="2" t="s">
        <v>604</v>
      </c>
      <c r="C190" s="2" t="s">
        <v>19</v>
      </c>
    </row>
    <row r="191" spans="1:3" ht="15.75" customHeight="1">
      <c r="A191" s="2" t="s">
        <v>606</v>
      </c>
      <c r="B191" s="2" t="s">
        <v>607</v>
      </c>
      <c r="C191" s="2" t="s">
        <v>19</v>
      </c>
    </row>
    <row r="192" spans="1:3" ht="15.75" customHeight="1">
      <c r="A192" s="2" t="s">
        <v>608</v>
      </c>
      <c r="B192" s="2" t="s">
        <v>609</v>
      </c>
      <c r="C192" s="2" t="s">
        <v>35</v>
      </c>
    </row>
    <row r="193" spans="1:3" ht="15.75" customHeight="1">
      <c r="A193" s="2" t="s">
        <v>610</v>
      </c>
      <c r="B193" s="2" t="s">
        <v>611</v>
      </c>
      <c r="C193" s="2" t="s">
        <v>35</v>
      </c>
    </row>
    <row r="194" spans="1:3" ht="15.75" customHeight="1">
      <c r="A194" s="2" t="s">
        <v>613</v>
      </c>
      <c r="B194" s="2" t="s">
        <v>614</v>
      </c>
      <c r="C194" s="2" t="s">
        <v>19</v>
      </c>
    </row>
    <row r="195" spans="1:3" ht="15.75" customHeight="1">
      <c r="A195" s="2" t="s">
        <v>615</v>
      </c>
      <c r="B195" s="2" t="s">
        <v>616</v>
      </c>
      <c r="C195" s="2" t="s">
        <v>35</v>
      </c>
    </row>
    <row r="196" spans="1:3" ht="15.75" customHeight="1">
      <c r="A196" s="2" t="s">
        <v>617</v>
      </c>
      <c r="B196" s="2" t="s">
        <v>618</v>
      </c>
      <c r="C196" s="2" t="s">
        <v>19</v>
      </c>
    </row>
    <row r="197" spans="1:3" ht="15.75" customHeight="1">
      <c r="A197" s="2" t="s">
        <v>324</v>
      </c>
      <c r="B197" s="2" t="s">
        <v>621</v>
      </c>
      <c r="C197" s="2" t="s">
        <v>19</v>
      </c>
    </row>
    <row r="198" spans="1:3" ht="15.75" customHeight="1">
      <c r="A198" s="2" t="s">
        <v>385</v>
      </c>
      <c r="B198" s="2" t="s">
        <v>622</v>
      </c>
      <c r="C198" s="2" t="s">
        <v>61</v>
      </c>
    </row>
    <row r="199" spans="1:3" ht="15.75" customHeight="1">
      <c r="A199" s="2" t="s">
        <v>454</v>
      </c>
      <c r="B199" s="2" t="s">
        <v>623</v>
      </c>
      <c r="C199" s="2" t="s">
        <v>35</v>
      </c>
    </row>
    <row r="200" spans="1:3" ht="15.75" customHeight="1">
      <c r="A200" s="2" t="s">
        <v>625</v>
      </c>
      <c r="B200" s="2" t="s">
        <v>626</v>
      </c>
      <c r="C200" s="2" t="s">
        <v>61</v>
      </c>
    </row>
    <row r="201" spans="1:3" ht="15.75" customHeight="1">
      <c r="A201" s="2" t="s">
        <v>275</v>
      </c>
      <c r="B201" s="2" t="s">
        <v>627</v>
      </c>
      <c r="C201" s="2" t="s">
        <v>19</v>
      </c>
    </row>
    <row r="202" spans="1:3" ht="15.75" customHeight="1">
      <c r="A202" s="2" t="s">
        <v>629</v>
      </c>
      <c r="B202" s="2" t="s">
        <v>630</v>
      </c>
      <c r="C202" s="2" t="s">
        <v>19</v>
      </c>
    </row>
    <row r="203" spans="1:3" ht="15.75" customHeight="1">
      <c r="A203" s="2" t="s">
        <v>631</v>
      </c>
      <c r="B203" s="2" t="s">
        <v>632</v>
      </c>
      <c r="C203" s="2" t="s">
        <v>19</v>
      </c>
    </row>
    <row r="204" spans="1:3" ht="15.75" customHeight="1">
      <c r="A204" s="2" t="s">
        <v>633</v>
      </c>
      <c r="B204" s="2" t="s">
        <v>634</v>
      </c>
      <c r="C204" s="2" t="s">
        <v>35</v>
      </c>
    </row>
    <row r="205" spans="1:3" ht="15.75" customHeight="1">
      <c r="A205" s="2" t="s">
        <v>637</v>
      </c>
      <c r="B205" s="2" t="s">
        <v>638</v>
      </c>
      <c r="C205" s="2" t="s">
        <v>35</v>
      </c>
    </row>
    <row r="206" spans="1:3" ht="15.75" customHeight="1">
      <c r="A206" s="2" t="s">
        <v>639</v>
      </c>
      <c r="B206" s="2" t="s">
        <v>640</v>
      </c>
      <c r="C206" s="2" t="s">
        <v>61</v>
      </c>
    </row>
    <row r="207" spans="1:3" ht="15.75" customHeight="1">
      <c r="A207" s="2" t="s">
        <v>267</v>
      </c>
      <c r="B207" s="2" t="s">
        <v>642</v>
      </c>
      <c r="C207" s="2" t="s">
        <v>28</v>
      </c>
    </row>
    <row r="208" spans="1:3" ht="15.75" customHeight="1">
      <c r="A208" s="2" t="s">
        <v>643</v>
      </c>
      <c r="B208" s="2" t="s">
        <v>644</v>
      </c>
      <c r="C208" s="2" t="s">
        <v>19</v>
      </c>
    </row>
    <row r="209" spans="1:3" ht="15.75" customHeight="1">
      <c r="A209" s="2" t="s">
        <v>645</v>
      </c>
      <c r="B209" s="2" t="s">
        <v>646</v>
      </c>
      <c r="C209" s="2" t="s">
        <v>19</v>
      </c>
    </row>
    <row r="210" spans="1:3" ht="15.75" customHeight="1">
      <c r="A210" s="2" t="s">
        <v>648</v>
      </c>
      <c r="B210" s="2" t="s">
        <v>650</v>
      </c>
      <c r="C210" s="2" t="s">
        <v>61</v>
      </c>
    </row>
    <row r="211" spans="1:3" ht="15.75" customHeight="1">
      <c r="A211" s="2" t="s">
        <v>651</v>
      </c>
      <c r="B211" s="2" t="s">
        <v>652</v>
      </c>
      <c r="C211" s="2" t="s">
        <v>35</v>
      </c>
    </row>
    <row r="212" spans="1:3" ht="15.75" customHeight="1">
      <c r="A212" s="2" t="s">
        <v>653</v>
      </c>
      <c r="B212" s="2" t="s">
        <v>655</v>
      </c>
      <c r="C212" s="2" t="s">
        <v>35</v>
      </c>
    </row>
    <row r="213" spans="1:3" ht="15.75" customHeight="1">
      <c r="A213" s="2" t="s">
        <v>657</v>
      </c>
      <c r="B213" s="2" t="s">
        <v>658</v>
      </c>
      <c r="C213" s="2" t="s">
        <v>19</v>
      </c>
    </row>
    <row r="214" spans="1:3" ht="15.75" customHeight="1">
      <c r="A214" s="2" t="s">
        <v>659</v>
      </c>
      <c r="B214" s="2" t="s">
        <v>660</v>
      </c>
      <c r="C214" s="2" t="s">
        <v>35</v>
      </c>
    </row>
    <row r="215" spans="1:3" ht="15.75" customHeight="1">
      <c r="A215" s="2" t="s">
        <v>662</v>
      </c>
      <c r="B215" s="2" t="s">
        <v>663</v>
      </c>
      <c r="C215" s="2" t="s">
        <v>28</v>
      </c>
    </row>
    <row r="216" spans="1:3" ht="15.75" customHeight="1">
      <c r="A216" s="2" t="s">
        <v>500</v>
      </c>
      <c r="B216" s="2" t="s">
        <v>665</v>
      </c>
      <c r="C216" s="2" t="s">
        <v>28</v>
      </c>
    </row>
    <row r="217" spans="1:3" ht="15.75" customHeight="1">
      <c r="A217" s="2" t="s">
        <v>407</v>
      </c>
      <c r="B217" s="2" t="s">
        <v>666</v>
      </c>
      <c r="C217" s="2" t="s">
        <v>35</v>
      </c>
    </row>
    <row r="218" spans="1:3" ht="15.75" customHeight="1">
      <c r="A218" s="2" t="s">
        <v>667</v>
      </c>
      <c r="B218" s="2" t="s">
        <v>669</v>
      </c>
      <c r="C218" s="2" t="s">
        <v>35</v>
      </c>
    </row>
    <row r="219" spans="1:3" ht="15.75" customHeight="1">
      <c r="A219" s="2" t="s">
        <v>670</v>
      </c>
      <c r="B219" s="2" t="s">
        <v>671</v>
      </c>
      <c r="C219" s="2" t="s">
        <v>19</v>
      </c>
    </row>
    <row r="220" spans="1:3" ht="15.75" customHeight="1">
      <c r="A220" s="2" t="s">
        <v>254</v>
      </c>
      <c r="B220" s="2" t="s">
        <v>672</v>
      </c>
      <c r="C220" s="2" t="s">
        <v>35</v>
      </c>
    </row>
    <row r="221" spans="1:3" ht="15.75" customHeight="1">
      <c r="A221" s="2" t="s">
        <v>673</v>
      </c>
      <c r="B221" s="2" t="s">
        <v>675</v>
      </c>
      <c r="C221" s="2" t="s">
        <v>35</v>
      </c>
    </row>
    <row r="222" spans="1:3" ht="15.75" customHeight="1">
      <c r="A222" s="2" t="s">
        <v>676</v>
      </c>
      <c r="B222" s="2" t="s">
        <v>677</v>
      </c>
      <c r="C222" s="2" t="s">
        <v>35</v>
      </c>
    </row>
    <row r="223" spans="1:3" ht="15.75" customHeight="1">
      <c r="A223" s="2" t="s">
        <v>678</v>
      </c>
      <c r="B223" s="2" t="s">
        <v>679</v>
      </c>
      <c r="C223" s="2" t="s">
        <v>61</v>
      </c>
    </row>
    <row r="224" spans="1:3" ht="15.75" customHeight="1">
      <c r="A224" s="2" t="s">
        <v>681</v>
      </c>
      <c r="B224" s="2" t="s">
        <v>682</v>
      </c>
      <c r="C224" s="2" t="s">
        <v>61</v>
      </c>
    </row>
    <row r="225" spans="1:3" ht="15.75" customHeight="1">
      <c r="A225" s="2" t="s">
        <v>636</v>
      </c>
      <c r="B225" s="2" t="s">
        <v>683</v>
      </c>
      <c r="C225" s="2" t="s">
        <v>61</v>
      </c>
    </row>
    <row r="226" spans="1:3" ht="15.75" customHeight="1">
      <c r="A226" s="2" t="s">
        <v>580</v>
      </c>
      <c r="B226" s="2" t="s">
        <v>684</v>
      </c>
      <c r="C226" s="2" t="s">
        <v>35</v>
      </c>
    </row>
    <row r="227" spans="1:3" ht="15.75" customHeight="1">
      <c r="A227" s="2" t="s">
        <v>686</v>
      </c>
      <c r="B227" s="2" t="s">
        <v>687</v>
      </c>
      <c r="C227" s="2" t="s">
        <v>61</v>
      </c>
    </row>
    <row r="228" spans="1:3" ht="15.75" customHeight="1">
      <c r="A228" s="2" t="s">
        <v>688</v>
      </c>
      <c r="B228" s="2" t="s">
        <v>689</v>
      </c>
      <c r="C228" s="2" t="s">
        <v>28</v>
      </c>
    </row>
    <row r="229" spans="1:3" ht="15.75" customHeight="1">
      <c r="A229" s="2" t="s">
        <v>690</v>
      </c>
      <c r="B229" s="2" t="s">
        <v>691</v>
      </c>
      <c r="C229" s="2" t="s">
        <v>35</v>
      </c>
    </row>
    <row r="230" spans="1:3" ht="15.75" customHeight="1">
      <c r="A230" s="2" t="s">
        <v>694</v>
      </c>
      <c r="B230" s="2" t="s">
        <v>695</v>
      </c>
      <c r="C230" s="2" t="s">
        <v>61</v>
      </c>
    </row>
    <row r="231" spans="1:3" ht="15.75" customHeight="1">
      <c r="A231" s="2" t="s">
        <v>523</v>
      </c>
      <c r="B231" s="2" t="s">
        <v>696</v>
      </c>
      <c r="C231" s="2" t="s">
        <v>35</v>
      </c>
    </row>
    <row r="232" spans="1:3" ht="15.75" customHeight="1">
      <c r="A232" s="2" t="s">
        <v>698</v>
      </c>
      <c r="B232" s="2" t="s">
        <v>699</v>
      </c>
      <c r="C232" s="2" t="s">
        <v>19</v>
      </c>
    </row>
    <row r="233" spans="1:3" ht="15.75" customHeight="1">
      <c r="A233" s="2" t="s">
        <v>700</v>
      </c>
      <c r="B233" s="2" t="s">
        <v>701</v>
      </c>
      <c r="C233" s="2" t="s">
        <v>35</v>
      </c>
    </row>
    <row r="234" spans="1:3" ht="15.75" customHeight="1">
      <c r="A234" s="2" t="s">
        <v>139</v>
      </c>
      <c r="B234" s="2" t="s">
        <v>702</v>
      </c>
      <c r="C234" s="2" t="s">
        <v>35</v>
      </c>
    </row>
    <row r="235" spans="1:3" ht="15.75" customHeight="1">
      <c r="A235" s="2" t="s">
        <v>600</v>
      </c>
      <c r="B235" s="2" t="s">
        <v>705</v>
      </c>
      <c r="C235" s="2" t="s">
        <v>28</v>
      </c>
    </row>
    <row r="236" spans="1:3" ht="15.75" customHeight="1">
      <c r="A236" s="2" t="s">
        <v>706</v>
      </c>
      <c r="B236" s="2" t="s">
        <v>707</v>
      </c>
      <c r="C236" s="2" t="s">
        <v>19</v>
      </c>
    </row>
    <row r="237" spans="1:3" ht="15.75" customHeight="1">
      <c r="A237" s="2" t="s">
        <v>708</v>
      </c>
      <c r="B237" s="2" t="s">
        <v>710</v>
      </c>
      <c r="C237" s="2" t="s">
        <v>35</v>
      </c>
    </row>
    <row r="238" spans="1:3" ht="15.75" customHeight="1">
      <c r="A238" s="2" t="s">
        <v>711</v>
      </c>
      <c r="B238" s="2" t="s">
        <v>712</v>
      </c>
      <c r="C238" s="2" t="s">
        <v>19</v>
      </c>
    </row>
    <row r="239" spans="1:3" ht="15.75" customHeight="1">
      <c r="A239" s="2" t="s">
        <v>713</v>
      </c>
      <c r="B239" s="2" t="s">
        <v>714</v>
      </c>
      <c r="C239" s="2" t="s">
        <v>28</v>
      </c>
    </row>
    <row r="240" spans="1:3" ht="15.75" customHeight="1">
      <c r="A240" s="2" t="s">
        <v>716</v>
      </c>
      <c r="B240" s="2" t="s">
        <v>717</v>
      </c>
      <c r="C240" s="2" t="s">
        <v>19</v>
      </c>
    </row>
    <row r="241" spans="1:3" ht="15.75" customHeight="1">
      <c r="A241" s="2" t="s">
        <v>718</v>
      </c>
      <c r="B241" s="2" t="s">
        <v>719</v>
      </c>
      <c r="C241" s="2" t="s">
        <v>35</v>
      </c>
    </row>
    <row r="242" spans="1:3" ht="15.75" customHeight="1">
      <c r="A242" s="2" t="s">
        <v>720</v>
      </c>
      <c r="B242" s="2" t="s">
        <v>721</v>
      </c>
      <c r="C242" s="2" t="s">
        <v>35</v>
      </c>
    </row>
    <row r="243" spans="1:3" ht="15.75" customHeight="1">
      <c r="A243" s="2" t="s">
        <v>722</v>
      </c>
      <c r="B243" s="2" t="s">
        <v>723</v>
      </c>
      <c r="C243" s="2" t="s">
        <v>35</v>
      </c>
    </row>
    <row r="244" spans="1:3" ht="15.75" customHeight="1">
      <c r="A244" s="2" t="s">
        <v>704</v>
      </c>
      <c r="B244" s="2" t="s">
        <v>725</v>
      </c>
      <c r="C244" s="2" t="s">
        <v>35</v>
      </c>
    </row>
    <row r="245" spans="1:3" ht="15.75" customHeight="1">
      <c r="A245" s="2" t="s">
        <v>726</v>
      </c>
      <c r="B245" s="2" t="s">
        <v>727</v>
      </c>
      <c r="C245" s="2" t="s">
        <v>28</v>
      </c>
    </row>
    <row r="246" spans="1:3" ht="15.75" customHeight="1">
      <c r="A246" s="2" t="s">
        <v>728</v>
      </c>
      <c r="B246" s="2" t="s">
        <v>729</v>
      </c>
      <c r="C246" s="2" t="s">
        <v>35</v>
      </c>
    </row>
    <row r="247" spans="1:3" ht="15.75" customHeight="1">
      <c r="A247" s="2" t="s">
        <v>693</v>
      </c>
      <c r="B247" s="2" t="s">
        <v>731</v>
      </c>
      <c r="C247" s="2" t="s">
        <v>28</v>
      </c>
    </row>
    <row r="248" spans="1:3" ht="15.75" customHeight="1">
      <c r="A248" s="2" t="s">
        <v>732</v>
      </c>
      <c r="B248" s="2" t="s">
        <v>733</v>
      </c>
      <c r="C248" s="2" t="s">
        <v>19</v>
      </c>
    </row>
    <row r="249" spans="1:3" ht="15.75" customHeight="1">
      <c r="A249" s="2" t="s">
        <v>734</v>
      </c>
      <c r="B249" s="2" t="s">
        <v>735</v>
      </c>
      <c r="C249" s="2" t="s">
        <v>35</v>
      </c>
    </row>
    <row r="250" spans="1:3" ht="15.75" customHeight="1">
      <c r="A250" s="2" t="s">
        <v>737</v>
      </c>
      <c r="B250" s="2" t="s">
        <v>738</v>
      </c>
      <c r="C250" s="2" t="s">
        <v>35</v>
      </c>
    </row>
    <row r="251" spans="1:3" ht="15.75" customHeight="1">
      <c r="A251" s="2" t="s">
        <v>739</v>
      </c>
      <c r="B251" s="2" t="s">
        <v>740</v>
      </c>
      <c r="C251" s="2" t="s">
        <v>28</v>
      </c>
    </row>
    <row r="252" spans="1:3" ht="15.75" customHeight="1">
      <c r="A252" s="2" t="s">
        <v>171</v>
      </c>
      <c r="B252" s="2" t="s">
        <v>742</v>
      </c>
      <c r="C252" s="2" t="s">
        <v>28</v>
      </c>
    </row>
    <row r="253" spans="1:3" ht="15.75" customHeight="1">
      <c r="A253" s="2" t="s">
        <v>743</v>
      </c>
      <c r="B253" s="2" t="s">
        <v>744</v>
      </c>
      <c r="C253" s="2" t="s">
        <v>35</v>
      </c>
    </row>
    <row r="254" spans="1:3" ht="15.75" customHeight="1">
      <c r="A254" s="2" t="s">
        <v>745</v>
      </c>
      <c r="B254" s="2" t="s">
        <v>746</v>
      </c>
      <c r="C254" s="2" t="s">
        <v>61</v>
      </c>
    </row>
    <row r="255" spans="1:3" ht="15.75" customHeight="1">
      <c r="A255" s="2" t="s">
        <v>748</v>
      </c>
      <c r="B255" s="2" t="s">
        <v>749</v>
      </c>
      <c r="C255" s="2" t="s">
        <v>35</v>
      </c>
    </row>
    <row r="256" spans="1:3" ht="15.75" customHeight="1">
      <c r="A256" s="2" t="s">
        <v>750</v>
      </c>
      <c r="B256" s="2" t="s">
        <v>751</v>
      </c>
      <c r="C256" s="2" t="s">
        <v>35</v>
      </c>
    </row>
    <row r="257" spans="1:3" ht="15.75" customHeight="1">
      <c r="A257" s="2" t="s">
        <v>261</v>
      </c>
      <c r="B257" s="2" t="s">
        <v>752</v>
      </c>
      <c r="C257" s="2" t="s">
        <v>19</v>
      </c>
    </row>
    <row r="258" spans="1:3" ht="15.75" customHeight="1">
      <c r="A258" s="2" t="s">
        <v>620</v>
      </c>
      <c r="B258" s="2" t="s">
        <v>753</v>
      </c>
      <c r="C258" s="2" t="s">
        <v>19</v>
      </c>
    </row>
    <row r="259" spans="1:3" ht="15.75" customHeight="1">
      <c r="A259" s="2" t="s">
        <v>649</v>
      </c>
      <c r="B259" s="2" t="s">
        <v>755</v>
      </c>
      <c r="C259" s="2" t="s">
        <v>19</v>
      </c>
    </row>
    <row r="260" spans="1:3" ht="15.75" customHeight="1">
      <c r="A260" s="2" t="s">
        <v>656</v>
      </c>
      <c r="B260" s="2" t="s">
        <v>756</v>
      </c>
      <c r="C260" s="2" t="s">
        <v>28</v>
      </c>
    </row>
    <row r="261" spans="1:3" ht="15.75" customHeight="1">
      <c r="A261" s="2" t="s">
        <v>758</v>
      </c>
      <c r="B261" s="2" t="s">
        <v>759</v>
      </c>
      <c r="C261" s="2" t="s">
        <v>35</v>
      </c>
    </row>
    <row r="262" spans="1:3" ht="15.75" customHeight="1">
      <c r="A262" s="2" t="s">
        <v>760</v>
      </c>
      <c r="B262" s="2" t="s">
        <v>761</v>
      </c>
      <c r="C262" s="2" t="s">
        <v>35</v>
      </c>
    </row>
    <row r="263" spans="1:3" ht="15.75" customHeight="1">
      <c r="A263" s="2" t="s">
        <v>762</v>
      </c>
      <c r="B263" s="2" t="s">
        <v>763</v>
      </c>
      <c r="C263" s="2" t="s">
        <v>35</v>
      </c>
    </row>
    <row r="264" spans="1:3" ht="15.75" customHeight="1">
      <c r="A264" s="2" t="s">
        <v>533</v>
      </c>
      <c r="B264" s="2" t="s">
        <v>765</v>
      </c>
      <c r="C264" s="2" t="s">
        <v>61</v>
      </c>
    </row>
    <row r="265" spans="1:3" ht="15.75" customHeight="1">
      <c r="A265" s="2" t="s">
        <v>766</v>
      </c>
      <c r="B265" s="2" t="s">
        <v>767</v>
      </c>
      <c r="C265" s="2" t="s">
        <v>28</v>
      </c>
    </row>
    <row r="266" spans="1:3" ht="15.75" customHeight="1">
      <c r="A266" s="2" t="s">
        <v>768</v>
      </c>
      <c r="B266" s="2" t="s">
        <v>769</v>
      </c>
      <c r="C266" s="2" t="s">
        <v>35</v>
      </c>
    </row>
    <row r="267" spans="1:3" ht="15.75" customHeight="1">
      <c r="A267" s="2" t="s">
        <v>155</v>
      </c>
      <c r="B267" s="2" t="s">
        <v>770</v>
      </c>
      <c r="C267" s="2" t="s">
        <v>61</v>
      </c>
    </row>
    <row r="268" spans="1:3" ht="15.75" customHeight="1">
      <c r="A268" s="2" t="s">
        <v>771</v>
      </c>
      <c r="B268" s="2" t="s">
        <v>772</v>
      </c>
      <c r="C268" s="2" t="s">
        <v>28</v>
      </c>
    </row>
    <row r="269" spans="1:3" ht="15.75" customHeight="1">
      <c r="A269" s="2" t="s">
        <v>302</v>
      </c>
      <c r="B269" s="2" t="s">
        <v>773</v>
      </c>
      <c r="C269" s="2" t="s">
        <v>28</v>
      </c>
    </row>
    <row r="270" spans="1:3" ht="15.75" customHeight="1">
      <c r="A270" s="2" t="s">
        <v>447</v>
      </c>
      <c r="B270" s="2" t="s">
        <v>774</v>
      </c>
      <c r="C270" s="2" t="s">
        <v>35</v>
      </c>
    </row>
    <row r="271" spans="1:3" ht="15.75" customHeight="1">
      <c r="A271" s="2" t="s">
        <v>507</v>
      </c>
      <c r="B271" s="2" t="s">
        <v>775</v>
      </c>
      <c r="C271" s="2" t="s">
        <v>61</v>
      </c>
    </row>
    <row r="272" spans="1:3" ht="15.75" customHeight="1">
      <c r="A272" s="2" t="s">
        <v>776</v>
      </c>
      <c r="B272" s="2" t="s">
        <v>777</v>
      </c>
      <c r="C272" s="2" t="s">
        <v>61</v>
      </c>
    </row>
    <row r="273" spans="1:3" ht="15.75" customHeight="1">
      <c r="A273" s="2" t="s">
        <v>377</v>
      </c>
      <c r="B273" s="2" t="s">
        <v>778</v>
      </c>
      <c r="C273" s="2" t="s">
        <v>35</v>
      </c>
    </row>
    <row r="274" spans="1:3" ht="15.75" customHeight="1">
      <c r="A274" s="2" t="s">
        <v>779</v>
      </c>
      <c r="B274" s="2" t="s">
        <v>780</v>
      </c>
      <c r="C274" s="2" t="s">
        <v>61</v>
      </c>
    </row>
    <row r="275" spans="1:3" ht="15.75" customHeight="1">
      <c r="A275" s="2" t="s">
        <v>781</v>
      </c>
      <c r="B275" s="2" t="s">
        <v>782</v>
      </c>
      <c r="C275" s="2" t="s">
        <v>61</v>
      </c>
    </row>
    <row r="276" spans="1:3" ht="15.75" customHeight="1">
      <c r="A276" s="2" t="s">
        <v>783</v>
      </c>
      <c r="B276" s="2" t="s">
        <v>784</v>
      </c>
      <c r="C276" s="2" t="s">
        <v>19</v>
      </c>
    </row>
    <row r="277" spans="1:3" ht="15.75" customHeight="1">
      <c r="A277" s="2" t="s">
        <v>785</v>
      </c>
      <c r="B277" s="2" t="s">
        <v>786</v>
      </c>
      <c r="C277" s="2" t="s">
        <v>61</v>
      </c>
    </row>
    <row r="278" spans="1:3" ht="15.75" customHeight="1">
      <c r="A278" s="2" t="s">
        <v>787</v>
      </c>
      <c r="B278" s="2" t="s">
        <v>788</v>
      </c>
      <c r="C278" s="2" t="s">
        <v>61</v>
      </c>
    </row>
    <row r="279" spans="1:3" ht="15.75" customHeight="1">
      <c r="A279" s="2" t="s">
        <v>789</v>
      </c>
      <c r="B279" s="2" t="s">
        <v>790</v>
      </c>
      <c r="C279" s="2" t="s">
        <v>35</v>
      </c>
    </row>
    <row r="280" spans="1:3" ht="15.75" customHeight="1">
      <c r="A280" s="2" t="s">
        <v>312</v>
      </c>
      <c r="B280" s="2" t="s">
        <v>791</v>
      </c>
      <c r="C280" s="2" t="s">
        <v>61</v>
      </c>
    </row>
    <row r="281" spans="1:3" ht="15.75" customHeight="1">
      <c r="A281" s="2" t="s">
        <v>792</v>
      </c>
      <c r="B281" s="2" t="s">
        <v>793</v>
      </c>
      <c r="C281" s="2" t="s">
        <v>19</v>
      </c>
    </row>
    <row r="282" spans="1:3" ht="15.75" customHeight="1">
      <c r="A282" s="2" t="s">
        <v>664</v>
      </c>
      <c r="B282" s="2" t="s">
        <v>794</v>
      </c>
      <c r="C282" s="2" t="s">
        <v>61</v>
      </c>
    </row>
    <row r="283" spans="1:3" ht="15.75" customHeight="1">
      <c r="A283" s="2" t="s">
        <v>433</v>
      </c>
      <c r="B283" s="2" t="s">
        <v>795</v>
      </c>
      <c r="C283" s="2" t="s">
        <v>61</v>
      </c>
    </row>
    <row r="284" spans="1:3" ht="15.75" customHeight="1">
      <c r="A284" s="2" t="s">
        <v>796</v>
      </c>
      <c r="B284" s="2" t="s">
        <v>797</v>
      </c>
      <c r="C284" s="2" t="s">
        <v>19</v>
      </c>
    </row>
    <row r="285" spans="1:3" ht="15.75" customHeight="1">
      <c r="A285" s="2" t="s">
        <v>289</v>
      </c>
      <c r="B285" s="2" t="s">
        <v>798</v>
      </c>
      <c r="C285" s="2" t="s">
        <v>35</v>
      </c>
    </row>
    <row r="286" spans="1:3" ht="15.75" customHeight="1">
      <c r="A286" s="2" t="s">
        <v>799</v>
      </c>
      <c r="B286" s="2" t="s">
        <v>800</v>
      </c>
      <c r="C286" s="2" t="s">
        <v>35</v>
      </c>
    </row>
    <row r="287" spans="1:3" ht="15.75" customHeight="1">
      <c r="A287" s="2" t="s">
        <v>801</v>
      </c>
      <c r="B287" s="2" t="s">
        <v>802</v>
      </c>
      <c r="C287" s="2" t="s">
        <v>19</v>
      </c>
    </row>
    <row r="288" spans="1: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opLeftCell="A13" workbookViewId="0"/>
  </sheetViews>
  <sheetFormatPr defaultColWidth="14.44140625" defaultRowHeight="15" customHeight="1"/>
  <cols>
    <col min="1" max="26" width="8.6640625" customWidth="1"/>
  </cols>
  <sheetData>
    <row r="1" spans="1:3" ht="14.4">
      <c r="A1" s="1" t="s">
        <v>0</v>
      </c>
      <c r="B1" s="1" t="s">
        <v>4</v>
      </c>
      <c r="C1" s="1" t="s">
        <v>6</v>
      </c>
    </row>
    <row r="2" spans="1:3" ht="14.4">
      <c r="A2" s="2" t="s">
        <v>9</v>
      </c>
      <c r="B2" s="2" t="s">
        <v>13</v>
      </c>
      <c r="C2" s="2" t="s">
        <v>16</v>
      </c>
    </row>
    <row r="3" spans="1:3" ht="14.4">
      <c r="A3" s="2" t="s">
        <v>20</v>
      </c>
      <c r="B3" s="2" t="s">
        <v>21</v>
      </c>
      <c r="C3" s="2" t="s">
        <v>27</v>
      </c>
    </row>
    <row r="4" spans="1:3" ht="14.4">
      <c r="A4" s="2" t="s">
        <v>29</v>
      </c>
      <c r="B4" s="2" t="s">
        <v>30</v>
      </c>
      <c r="C4" s="2" t="s">
        <v>16</v>
      </c>
    </row>
    <row r="5" spans="1:3" ht="14.4">
      <c r="A5" s="2" t="s">
        <v>32</v>
      </c>
      <c r="B5" s="2" t="s">
        <v>34</v>
      </c>
      <c r="C5" s="2" t="s">
        <v>37</v>
      </c>
    </row>
    <row r="6" spans="1:3" ht="14.4">
      <c r="A6" s="2" t="s">
        <v>39</v>
      </c>
      <c r="B6" s="2" t="s">
        <v>40</v>
      </c>
      <c r="C6" s="2" t="s">
        <v>16</v>
      </c>
    </row>
    <row r="7" spans="1:3" ht="14.4">
      <c r="A7" s="2" t="s">
        <v>43</v>
      </c>
      <c r="B7" s="2" t="s">
        <v>46</v>
      </c>
      <c r="C7" s="2" t="s">
        <v>27</v>
      </c>
    </row>
    <row r="8" spans="1:3" ht="14.4">
      <c r="A8" s="2" t="s">
        <v>50</v>
      </c>
      <c r="B8" s="2" t="s">
        <v>52</v>
      </c>
      <c r="C8" s="2" t="s">
        <v>54</v>
      </c>
    </row>
    <row r="9" spans="1:3" ht="14.4">
      <c r="A9" s="2" t="s">
        <v>56</v>
      </c>
      <c r="B9" s="2" t="s">
        <v>58</v>
      </c>
      <c r="C9" s="2" t="s">
        <v>59</v>
      </c>
    </row>
    <row r="10" spans="1:3" ht="14.4">
      <c r="A10" s="2" t="s">
        <v>63</v>
      </c>
      <c r="B10" s="2" t="s">
        <v>66</v>
      </c>
      <c r="C10" s="2" t="s">
        <v>59</v>
      </c>
    </row>
    <row r="11" spans="1:3" ht="14.4">
      <c r="A11" s="2" t="s">
        <v>69</v>
      </c>
      <c r="B11" s="2" t="s">
        <v>70</v>
      </c>
      <c r="C11" s="2" t="s">
        <v>54</v>
      </c>
    </row>
    <row r="12" spans="1:3" ht="14.4">
      <c r="A12" s="2" t="s">
        <v>72</v>
      </c>
      <c r="B12" s="2" t="s">
        <v>74</v>
      </c>
      <c r="C12" s="2" t="s">
        <v>59</v>
      </c>
    </row>
    <row r="13" spans="1:3" ht="14.4">
      <c r="A13" s="2" t="s">
        <v>75</v>
      </c>
      <c r="B13" s="2" t="s">
        <v>77</v>
      </c>
      <c r="C13" s="2" t="s">
        <v>54</v>
      </c>
    </row>
    <row r="14" spans="1:3" ht="14.4">
      <c r="A14" s="2" t="s">
        <v>79</v>
      </c>
      <c r="B14" s="2" t="s">
        <v>80</v>
      </c>
      <c r="C14" s="2" t="s">
        <v>16</v>
      </c>
    </row>
    <row r="15" spans="1:3" ht="14.4">
      <c r="A15" s="2" t="s">
        <v>68</v>
      </c>
      <c r="B15" s="2" t="s">
        <v>82</v>
      </c>
      <c r="C15" s="2" t="s">
        <v>27</v>
      </c>
    </row>
    <row r="16" spans="1:3" ht="14.4">
      <c r="A16" s="2" t="s">
        <v>83</v>
      </c>
      <c r="B16" s="2" t="s">
        <v>84</v>
      </c>
      <c r="C16" s="2" t="s">
        <v>54</v>
      </c>
    </row>
    <row r="17" spans="1:3" ht="14.4">
      <c r="A17" s="2" t="s">
        <v>87</v>
      </c>
      <c r="B17" s="2" t="s">
        <v>88</v>
      </c>
      <c r="C17" s="2" t="s">
        <v>16</v>
      </c>
    </row>
    <row r="18" spans="1:3" ht="14.4">
      <c r="A18" s="2" t="s">
        <v>91</v>
      </c>
      <c r="B18" s="2" t="s">
        <v>93</v>
      </c>
      <c r="C18" s="2" t="s">
        <v>37</v>
      </c>
    </row>
    <row r="19" spans="1:3" ht="14.4">
      <c r="A19" s="2" t="s">
        <v>95</v>
      </c>
      <c r="B19" s="2" t="s">
        <v>96</v>
      </c>
      <c r="C19" s="2" t="s">
        <v>27</v>
      </c>
    </row>
    <row r="20" spans="1:3" ht="14.4">
      <c r="A20" s="2" t="s">
        <v>102</v>
      </c>
      <c r="B20" s="2" t="s">
        <v>103</v>
      </c>
      <c r="C20" s="2" t="s">
        <v>54</v>
      </c>
    </row>
    <row r="21" spans="1:3" ht="15.75" customHeight="1">
      <c r="A21" s="2" t="s">
        <v>104</v>
      </c>
      <c r="B21" s="2" t="s">
        <v>105</v>
      </c>
      <c r="C21" s="2" t="s">
        <v>27</v>
      </c>
    </row>
    <row r="22" spans="1:3" ht="15.75" customHeight="1">
      <c r="A22" s="2" t="s">
        <v>109</v>
      </c>
      <c r="B22" s="2" t="s">
        <v>111</v>
      </c>
      <c r="C22" s="2" t="s">
        <v>54</v>
      </c>
    </row>
    <row r="23" spans="1:3" ht="15.75" customHeight="1">
      <c r="A23" s="2" t="s">
        <v>114</v>
      </c>
      <c r="B23" s="2" t="s">
        <v>116</v>
      </c>
      <c r="C23" s="2" t="s">
        <v>37</v>
      </c>
    </row>
    <row r="24" spans="1:3" ht="15.75" customHeight="1">
      <c r="A24" s="2" t="s">
        <v>118</v>
      </c>
      <c r="B24" s="2" t="s">
        <v>119</v>
      </c>
      <c r="C24" s="2" t="s">
        <v>27</v>
      </c>
    </row>
    <row r="25" spans="1:3" ht="15.75" customHeight="1">
      <c r="A25" s="2" t="s">
        <v>122</v>
      </c>
      <c r="B25" s="2" t="s">
        <v>123</v>
      </c>
      <c r="C25" s="2" t="s">
        <v>16</v>
      </c>
    </row>
    <row r="26" spans="1:3" ht="15.75" customHeight="1">
      <c r="A26" s="2" t="s">
        <v>125</v>
      </c>
      <c r="B26" s="2" t="s">
        <v>127</v>
      </c>
      <c r="C26" s="2" t="s">
        <v>59</v>
      </c>
    </row>
    <row r="27" spans="1:3" ht="15.75" customHeight="1">
      <c r="A27" s="2" t="s">
        <v>128</v>
      </c>
      <c r="B27" s="2" t="s">
        <v>129</v>
      </c>
      <c r="C27" s="2" t="s">
        <v>37</v>
      </c>
    </row>
    <row r="28" spans="1:3" ht="15.75" customHeight="1">
      <c r="A28" s="2" t="s">
        <v>130</v>
      </c>
      <c r="B28" s="2" t="s">
        <v>131</v>
      </c>
      <c r="C28" s="2" t="s">
        <v>16</v>
      </c>
    </row>
    <row r="29" spans="1:3" ht="15.75" customHeight="1">
      <c r="A29" s="2" t="s">
        <v>101</v>
      </c>
      <c r="B29" s="2" t="s">
        <v>134</v>
      </c>
      <c r="C29" s="2" t="s">
        <v>27</v>
      </c>
    </row>
    <row r="30" spans="1:3" ht="15.75" customHeight="1">
      <c r="A30" s="2" t="s">
        <v>138</v>
      </c>
      <c r="B30" s="2" t="s">
        <v>140</v>
      </c>
      <c r="C30" s="2" t="s">
        <v>27</v>
      </c>
    </row>
    <row r="31" spans="1:3" ht="15.75" customHeight="1">
      <c r="A31" s="2" t="s">
        <v>142</v>
      </c>
      <c r="B31" s="2" t="s">
        <v>144</v>
      </c>
      <c r="C31" s="2" t="s">
        <v>59</v>
      </c>
    </row>
    <row r="32" spans="1:3" ht="15.75" customHeight="1">
      <c r="A32" s="2" t="s">
        <v>146</v>
      </c>
      <c r="B32" s="2" t="s">
        <v>147</v>
      </c>
      <c r="C32" s="2" t="s">
        <v>59</v>
      </c>
    </row>
    <row r="33" spans="1:3" ht="15.75" customHeight="1">
      <c r="A33" s="2" t="s">
        <v>148</v>
      </c>
      <c r="B33" s="2" t="s">
        <v>150</v>
      </c>
      <c r="C33" s="2" t="s">
        <v>54</v>
      </c>
    </row>
    <row r="34" spans="1:3" ht="15.75" customHeight="1">
      <c r="A34" s="2" t="s">
        <v>153</v>
      </c>
      <c r="B34" s="2" t="s">
        <v>154</v>
      </c>
      <c r="C34" s="2" t="s">
        <v>16</v>
      </c>
    </row>
    <row r="35" spans="1:3" ht="15.75" customHeight="1">
      <c r="A35" s="2" t="s">
        <v>157</v>
      </c>
      <c r="B35" s="2" t="s">
        <v>158</v>
      </c>
      <c r="C35" s="2" t="s">
        <v>37</v>
      </c>
    </row>
    <row r="36" spans="1:3" ht="15.75" customHeight="1">
      <c r="A36" s="2" t="s">
        <v>160</v>
      </c>
      <c r="B36" s="2" t="s">
        <v>161</v>
      </c>
      <c r="C36" s="2" t="s">
        <v>54</v>
      </c>
    </row>
    <row r="37" spans="1:3" ht="15.75" customHeight="1">
      <c r="A37" s="2" t="s">
        <v>162</v>
      </c>
      <c r="B37" s="2" t="s">
        <v>163</v>
      </c>
      <c r="C37" s="2" t="s">
        <v>59</v>
      </c>
    </row>
    <row r="38" spans="1:3" ht="15.75" customHeight="1">
      <c r="A38" s="2" t="s">
        <v>164</v>
      </c>
      <c r="B38" s="2" t="s">
        <v>165</v>
      </c>
      <c r="C38" s="2" t="s">
        <v>37</v>
      </c>
    </row>
    <row r="39" spans="1:3" ht="15.75" customHeight="1">
      <c r="A39" s="2" t="s">
        <v>168</v>
      </c>
      <c r="B39" s="2" t="s">
        <v>169</v>
      </c>
      <c r="C39" s="2" t="s">
        <v>59</v>
      </c>
    </row>
    <row r="40" spans="1:3" ht="15.75" customHeight="1">
      <c r="A40" s="2" t="s">
        <v>173</v>
      </c>
      <c r="B40" s="2" t="s">
        <v>174</v>
      </c>
      <c r="C40" s="2" t="s">
        <v>59</v>
      </c>
    </row>
    <row r="41" spans="1:3" ht="15.75" customHeight="1">
      <c r="A41" s="2" t="s">
        <v>172</v>
      </c>
      <c r="B41" s="2" t="s">
        <v>177</v>
      </c>
      <c r="C41" s="2" t="s">
        <v>16</v>
      </c>
    </row>
    <row r="42" spans="1:3" ht="15.75" customHeight="1">
      <c r="A42" s="2" t="s">
        <v>180</v>
      </c>
      <c r="B42" s="2" t="s">
        <v>181</v>
      </c>
      <c r="C42" s="2" t="s">
        <v>37</v>
      </c>
    </row>
    <row r="43" spans="1:3" ht="15.75" customHeight="1">
      <c r="A43" s="2" t="s">
        <v>183</v>
      </c>
      <c r="B43" s="2" t="s">
        <v>185</v>
      </c>
      <c r="C43" s="2" t="s">
        <v>16</v>
      </c>
    </row>
    <row r="44" spans="1:3" ht="15.75" customHeight="1">
      <c r="A44" s="2" t="s">
        <v>141</v>
      </c>
      <c r="B44" s="2" t="s">
        <v>189</v>
      </c>
      <c r="C44" s="2" t="s">
        <v>16</v>
      </c>
    </row>
    <row r="45" spans="1:3" ht="15.75" customHeight="1">
      <c r="A45" s="2" t="s">
        <v>191</v>
      </c>
      <c r="B45" s="2" t="s">
        <v>193</v>
      </c>
      <c r="C45" s="2" t="s">
        <v>59</v>
      </c>
    </row>
    <row r="46" spans="1:3" ht="15.75" customHeight="1">
      <c r="A46" s="2" t="s">
        <v>194</v>
      </c>
      <c r="B46" s="2" t="s">
        <v>196</v>
      </c>
      <c r="C46" s="2" t="s">
        <v>27</v>
      </c>
    </row>
    <row r="47" spans="1:3" ht="15.75" customHeight="1">
      <c r="A47" s="2" t="s">
        <v>199</v>
      </c>
      <c r="B47" s="2" t="s">
        <v>200</v>
      </c>
      <c r="C47" s="2" t="s">
        <v>16</v>
      </c>
    </row>
    <row r="48" spans="1:3" ht="15.75" customHeight="1">
      <c r="A48" s="2" t="s">
        <v>204</v>
      </c>
      <c r="B48" s="2" t="s">
        <v>205</v>
      </c>
      <c r="C48" s="2" t="s">
        <v>59</v>
      </c>
    </row>
    <row r="49" spans="1:3" ht="15.75" customHeight="1">
      <c r="A49" s="2" t="s">
        <v>207</v>
      </c>
      <c r="B49" s="2" t="s">
        <v>208</v>
      </c>
      <c r="C49" s="2" t="s">
        <v>37</v>
      </c>
    </row>
    <row r="50" spans="1:3" ht="15.75" customHeight="1">
      <c r="A50" s="2" t="s">
        <v>210</v>
      </c>
      <c r="B50" s="2" t="s">
        <v>211</v>
      </c>
      <c r="C50" s="2" t="s">
        <v>54</v>
      </c>
    </row>
    <row r="51" spans="1:3" ht="15.75" customHeight="1">
      <c r="A51" s="2" t="s">
        <v>213</v>
      </c>
      <c r="B51" s="2" t="s">
        <v>214</v>
      </c>
      <c r="C51" s="2" t="s">
        <v>27</v>
      </c>
    </row>
    <row r="52" spans="1:3" ht="15.75" customHeight="1"/>
    <row r="53" spans="1:3" ht="15.75" customHeight="1"/>
    <row r="54" spans="1:3" ht="15.75" customHeight="1"/>
    <row r="55" spans="1:3" ht="15.75" customHeight="1"/>
    <row r="56" spans="1:3" ht="15.75" customHeight="1"/>
    <row r="57" spans="1:3" ht="15.75" customHeight="1"/>
    <row r="58" spans="1:3" ht="15.75" customHeight="1"/>
    <row r="59" spans="1:3" ht="15.75" customHeight="1"/>
    <row r="60" spans="1:3" ht="15.75" customHeight="1"/>
    <row r="61" spans="1:3" ht="15.75" customHeight="1"/>
    <row r="62" spans="1:3" ht="15.75" customHeight="1"/>
    <row r="63" spans="1:3" ht="15.75" customHeight="1"/>
    <row r="64" spans="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4140625" defaultRowHeight="15" customHeight="1"/>
  <cols>
    <col min="1" max="26" width="8.6640625" customWidth="1"/>
  </cols>
  <sheetData>
    <row r="1" spans="1:2" ht="14.4">
      <c r="A1" s="1" t="s">
        <v>3</v>
      </c>
      <c r="B1" s="1" t="s">
        <v>5</v>
      </c>
    </row>
    <row r="2" spans="1:2" ht="14.4">
      <c r="A2" s="2" t="s">
        <v>7</v>
      </c>
      <c r="B2" s="2" t="s">
        <v>12</v>
      </c>
    </row>
    <row r="3" spans="1:2" ht="14.4">
      <c r="A3" s="2" t="s">
        <v>17</v>
      </c>
      <c r="B3" s="2" t="s">
        <v>18</v>
      </c>
    </row>
    <row r="4" spans="1:2" ht="14.4">
      <c r="A4" s="2" t="s">
        <v>22</v>
      </c>
      <c r="B4" s="2" t="s">
        <v>36</v>
      </c>
    </row>
    <row r="5" spans="1:2" ht="14.4">
      <c r="A5" s="2" t="s">
        <v>45</v>
      </c>
      <c r="B5" s="2"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opLeftCell="F1" workbookViewId="0">
      <selection activeCell="L11" sqref="L11"/>
    </sheetView>
  </sheetViews>
  <sheetFormatPr defaultColWidth="14.44140625" defaultRowHeight="15" customHeight="1"/>
  <cols>
    <col min="1" max="1" width="12" bestFit="1" customWidth="1"/>
    <col min="2" max="2" width="15.33203125" bestFit="1" customWidth="1"/>
    <col min="3" max="3" width="13.88671875" bestFit="1" customWidth="1"/>
    <col min="4" max="6" width="18.109375" bestFit="1" customWidth="1"/>
    <col min="7" max="7" width="11.21875" bestFit="1" customWidth="1"/>
    <col min="8" max="8" width="13" bestFit="1" customWidth="1"/>
    <col min="9" max="9" width="19.88671875" bestFit="1" customWidth="1"/>
    <col min="10" max="10" width="17.5546875" bestFit="1" customWidth="1"/>
    <col min="11" max="11" width="16.5546875" bestFit="1" customWidth="1"/>
    <col min="12" max="13" width="16.5546875" customWidth="1"/>
    <col min="14" max="14" width="14.44140625" bestFit="1" customWidth="1"/>
    <col min="15" max="15" width="14.109375" bestFit="1" customWidth="1"/>
    <col min="16" max="16" width="9.88671875" bestFit="1" customWidth="1"/>
    <col min="17" max="17" width="17.33203125" bestFit="1" customWidth="1"/>
    <col min="18" max="18" width="14.6640625" bestFit="1" customWidth="1"/>
    <col min="19" max="19" width="13.21875" bestFit="1" customWidth="1"/>
    <col min="20" max="20" width="14.88671875" bestFit="1" customWidth="1"/>
    <col min="21" max="28" width="8.6640625" customWidth="1"/>
  </cols>
  <sheetData>
    <row r="1" spans="1:20" ht="14.4">
      <c r="A1" s="1" t="s">
        <v>2</v>
      </c>
      <c r="B1" s="1" t="s">
        <v>1</v>
      </c>
      <c r="C1" s="1" t="s">
        <v>0</v>
      </c>
      <c r="D1" s="1" t="s">
        <v>14</v>
      </c>
      <c r="E1" s="1" t="s">
        <v>23</v>
      </c>
      <c r="F1" s="1" t="s">
        <v>25</v>
      </c>
      <c r="G1" s="1" t="s">
        <v>3</v>
      </c>
      <c r="H1" s="1" t="s">
        <v>6</v>
      </c>
      <c r="I1" s="1" t="s">
        <v>42</v>
      </c>
      <c r="J1" s="1" t="s">
        <v>49</v>
      </c>
      <c r="K1" s="1" t="s">
        <v>55</v>
      </c>
      <c r="L1" s="16" t="s">
        <v>1747</v>
      </c>
      <c r="M1" s="16" t="s">
        <v>1748</v>
      </c>
      <c r="N1" s="5" t="s">
        <v>1722</v>
      </c>
      <c r="O1" s="5" t="s">
        <v>1712</v>
      </c>
      <c r="P1" s="5" t="s">
        <v>1713</v>
      </c>
      <c r="Q1" s="5" t="s">
        <v>1714</v>
      </c>
      <c r="R1" s="5" t="s">
        <v>1715</v>
      </c>
      <c r="S1" s="5" t="s">
        <v>1716</v>
      </c>
      <c r="T1" s="5" t="s">
        <v>1717</v>
      </c>
    </row>
    <row r="2" spans="1:20" ht="14.4">
      <c r="A2" s="2" t="s">
        <v>62</v>
      </c>
      <c r="B2" s="2" t="s">
        <v>65</v>
      </c>
      <c r="C2" s="2" t="s">
        <v>68</v>
      </c>
      <c r="D2" s="3">
        <v>45767</v>
      </c>
      <c r="E2" s="3">
        <v>45769</v>
      </c>
      <c r="F2" s="4"/>
      <c r="G2" s="2" t="s">
        <v>45</v>
      </c>
      <c r="H2" s="2" t="s">
        <v>54</v>
      </c>
      <c r="I2" s="2" t="s">
        <v>90</v>
      </c>
      <c r="J2" s="2" t="s">
        <v>94</v>
      </c>
      <c r="K2" s="2">
        <v>1997.79</v>
      </c>
      <c r="L2" s="2" t="str">
        <f>TEXT(D2,"MMMM")</f>
        <v>April</v>
      </c>
      <c r="M2" s="2" t="str">
        <f>IF(NOT(ISBLANK(E2)),TEXT(E2,"MMMM"),"Cancelled")</f>
        <v>April</v>
      </c>
      <c r="N2" t="str">
        <f>IF(F2="","Delivered","Cancelled")</f>
        <v>Delivered</v>
      </c>
      <c r="O2">
        <f>IF(E2="","Order Cancelled",_xlfn.DAYS(E2,D2))</f>
        <v>2</v>
      </c>
      <c r="P2" t="str">
        <f>IF(F2="","Completed","Cancelled")</f>
        <v>Completed</v>
      </c>
      <c r="Q2" t="str">
        <f>IF(O2="Order Cancelled","Cancelled",IF(O2&lt;=2,"Fast","Slow"))</f>
        <v>Fast</v>
      </c>
      <c r="R2" t="str">
        <f>_xlfn.XLOOKUP(B2,CustomerMaster!$A$2:$A$287,CustomerMaster!$B$2:$B$287)</f>
        <v>Customer_10</v>
      </c>
      <c r="S2" t="str">
        <f>_xlfn.XLOOKUP(C2,ProductMaster!$A$2:$A$51,ProductMaster!$B$2:$B$51)</f>
        <v>Product_13</v>
      </c>
      <c r="T2" t="str">
        <f>_xlfn.XLOOKUP(G2,RegionMaster!$A$2:$A$5,RegionMaster!$B$2:$B$5)</f>
        <v>D</v>
      </c>
    </row>
    <row r="3" spans="1:20" ht="14.4">
      <c r="A3" s="2" t="s">
        <v>98</v>
      </c>
      <c r="B3" s="2" t="s">
        <v>99</v>
      </c>
      <c r="C3" s="2" t="s">
        <v>101</v>
      </c>
      <c r="D3" s="3">
        <v>45766</v>
      </c>
      <c r="E3" s="4"/>
      <c r="F3" s="3">
        <v>45768</v>
      </c>
      <c r="G3" s="2" t="s">
        <v>7</v>
      </c>
      <c r="H3" s="2" t="s">
        <v>59</v>
      </c>
      <c r="I3" s="2" t="s">
        <v>106</v>
      </c>
      <c r="J3" s="2" t="s">
        <v>107</v>
      </c>
      <c r="K3" s="2">
        <v>4763.43</v>
      </c>
      <c r="L3" s="2" t="str">
        <f t="shared" ref="L3:L66" si="0">TEXT(D3,"MMMM")</f>
        <v>April</v>
      </c>
      <c r="M3" s="2" t="str">
        <f t="shared" ref="M3:M66" si="1">IF(NOT(ISBLANK(E3)),TEXT(E3,"MMMM"),"Cancelled")</f>
        <v>Cancelled</v>
      </c>
      <c r="N3" t="str">
        <f t="shared" ref="N3:N66" si="2">IF(F3="","Delivered","Cancelled")</f>
        <v>Cancelled</v>
      </c>
      <c r="O3" t="str">
        <f t="shared" ref="O3:O66" si="3">IF(E3="","Order Cancelled",_xlfn.DAYS(E3,D3))</f>
        <v>Order Cancelled</v>
      </c>
      <c r="P3" t="str">
        <f t="shared" ref="P3:P66" si="4">IF(F3="","Completed","Cancelled")</f>
        <v>Cancelled</v>
      </c>
      <c r="Q3" t="str">
        <f t="shared" ref="Q3:Q66" si="5">IF(O3="Order Cancelled","Cancelled",IF(O3&lt;=2,"Fast","Slow"))</f>
        <v>Cancelled</v>
      </c>
      <c r="R3" t="str">
        <f>_xlfn.XLOOKUP(B3,CustomerMaster!$A$2:$A$287,CustomerMaster!$B$2:$B$287)</f>
        <v>Customer_140</v>
      </c>
      <c r="S3" t="str">
        <f>_xlfn.XLOOKUP(C3,ProductMaster!$A$2:$A$51,ProductMaster!$B$2:$B$51)</f>
        <v>Product_27</v>
      </c>
      <c r="T3" t="str">
        <f>_xlfn.XLOOKUP(G3,RegionMaster!$A$2:$A$5,RegionMaster!$B$2:$B$5)</f>
        <v>A</v>
      </c>
    </row>
    <row r="4" spans="1:20" ht="14.4">
      <c r="A4" s="2" t="s">
        <v>112</v>
      </c>
      <c r="B4" s="2" t="s">
        <v>113</v>
      </c>
      <c r="C4" s="2" t="s">
        <v>109</v>
      </c>
      <c r="D4" s="3">
        <v>45691</v>
      </c>
      <c r="E4" s="3">
        <v>45694</v>
      </c>
      <c r="F4" s="4"/>
      <c r="G4" s="2" t="s">
        <v>7</v>
      </c>
      <c r="H4" s="2" t="s">
        <v>16</v>
      </c>
      <c r="I4" s="2" t="s">
        <v>121</v>
      </c>
      <c r="J4" s="2" t="s">
        <v>107</v>
      </c>
      <c r="K4" s="2">
        <v>3713.57</v>
      </c>
      <c r="L4" s="2" t="str">
        <f t="shared" si="0"/>
        <v>February</v>
      </c>
      <c r="M4" s="2" t="str">
        <f t="shared" si="1"/>
        <v>February</v>
      </c>
      <c r="N4" t="str">
        <f t="shared" si="2"/>
        <v>Delivered</v>
      </c>
      <c r="O4">
        <f t="shared" si="3"/>
        <v>3</v>
      </c>
      <c r="P4" t="str">
        <f t="shared" si="4"/>
        <v>Completed</v>
      </c>
      <c r="Q4" t="str">
        <f t="shared" si="5"/>
        <v>Slow</v>
      </c>
      <c r="R4" t="str">
        <f>_xlfn.XLOOKUP(B4,CustomerMaster!$A$2:$A$287,CustomerMaster!$B$2:$B$287)</f>
        <v>Customer_136</v>
      </c>
      <c r="S4" t="str">
        <f>_xlfn.XLOOKUP(C4,ProductMaster!$A$2:$A$51,ProductMaster!$B$2:$B$51)</f>
        <v>Product_20</v>
      </c>
      <c r="T4" t="str">
        <f>_xlfn.XLOOKUP(G4,RegionMaster!$A$2:$A$5,RegionMaster!$B$2:$B$5)</f>
        <v>A</v>
      </c>
    </row>
    <row r="5" spans="1:20" ht="14.4">
      <c r="A5" s="2" t="s">
        <v>124</v>
      </c>
      <c r="B5" s="2" t="s">
        <v>126</v>
      </c>
      <c r="C5" s="2" t="s">
        <v>69</v>
      </c>
      <c r="D5" s="3">
        <v>45682</v>
      </c>
      <c r="E5" s="3">
        <v>45686</v>
      </c>
      <c r="F5" s="4"/>
      <c r="G5" s="2" t="s">
        <v>17</v>
      </c>
      <c r="H5" s="2" t="s">
        <v>27</v>
      </c>
      <c r="I5" s="2" t="s">
        <v>90</v>
      </c>
      <c r="J5" s="2" t="s">
        <v>133</v>
      </c>
      <c r="K5" s="2">
        <v>3073.56</v>
      </c>
      <c r="L5" s="2" t="str">
        <f t="shared" si="0"/>
        <v>January</v>
      </c>
      <c r="M5" s="2" t="str">
        <f t="shared" si="1"/>
        <v>January</v>
      </c>
      <c r="N5" t="str">
        <f t="shared" si="2"/>
        <v>Delivered</v>
      </c>
      <c r="O5">
        <f t="shared" si="3"/>
        <v>4</v>
      </c>
      <c r="P5" t="str">
        <f t="shared" si="4"/>
        <v>Completed</v>
      </c>
      <c r="Q5" t="str">
        <f t="shared" si="5"/>
        <v>Slow</v>
      </c>
      <c r="R5" t="str">
        <f>_xlfn.XLOOKUP(B5,CustomerMaster!$A$2:$A$287,CustomerMaster!$B$2:$B$287)</f>
        <v>Customer_86</v>
      </c>
      <c r="S5" t="str">
        <f>_xlfn.XLOOKUP(C5,ProductMaster!$A$2:$A$51,ProductMaster!$B$2:$B$51)</f>
        <v>Product_9</v>
      </c>
      <c r="T5" t="str">
        <f>_xlfn.XLOOKUP(G5,RegionMaster!$A$2:$A$5,RegionMaster!$B$2:$B$5)</f>
        <v>B</v>
      </c>
    </row>
    <row r="6" spans="1:20" ht="14.4">
      <c r="A6" s="2" t="s">
        <v>136</v>
      </c>
      <c r="B6" s="2" t="s">
        <v>139</v>
      </c>
      <c r="C6" s="2" t="s">
        <v>141</v>
      </c>
      <c r="D6" s="3">
        <v>45736</v>
      </c>
      <c r="E6" s="4"/>
      <c r="F6" s="3">
        <v>45738</v>
      </c>
      <c r="G6" s="2" t="s">
        <v>7</v>
      </c>
      <c r="H6" s="2" t="s">
        <v>16</v>
      </c>
      <c r="I6" s="2" t="s">
        <v>90</v>
      </c>
      <c r="J6" s="2" t="s">
        <v>94</v>
      </c>
      <c r="K6" s="2">
        <v>948.89</v>
      </c>
      <c r="L6" s="2" t="str">
        <f t="shared" si="0"/>
        <v>March</v>
      </c>
      <c r="M6" s="2" t="str">
        <f t="shared" si="1"/>
        <v>Cancelled</v>
      </c>
      <c r="N6" t="str">
        <f t="shared" si="2"/>
        <v>Cancelled</v>
      </c>
      <c r="O6" t="str">
        <f t="shared" si="3"/>
        <v>Order Cancelled</v>
      </c>
      <c r="P6" t="str">
        <f t="shared" si="4"/>
        <v>Cancelled</v>
      </c>
      <c r="Q6" t="str">
        <f t="shared" si="5"/>
        <v>Cancelled</v>
      </c>
      <c r="R6" t="str">
        <f>_xlfn.XLOOKUP(B6,CustomerMaster!$A$2:$A$287,CustomerMaster!$B$2:$B$287)</f>
        <v>Customer_232</v>
      </c>
      <c r="S6" t="str">
        <f>_xlfn.XLOOKUP(C6,ProductMaster!$A$2:$A$51,ProductMaster!$B$2:$B$51)</f>
        <v>Product_42</v>
      </c>
      <c r="T6" t="str">
        <f>_xlfn.XLOOKUP(G6,RegionMaster!$A$2:$A$5,RegionMaster!$B$2:$B$5)</f>
        <v>A</v>
      </c>
    </row>
    <row r="7" spans="1:20" ht="14.4">
      <c r="A7" s="2" t="s">
        <v>152</v>
      </c>
      <c r="B7" s="2" t="s">
        <v>155</v>
      </c>
      <c r="C7" s="2" t="s">
        <v>114</v>
      </c>
      <c r="D7" s="3">
        <v>45660</v>
      </c>
      <c r="E7" s="3">
        <v>45662</v>
      </c>
      <c r="F7" s="4"/>
      <c r="G7" s="2" t="s">
        <v>17</v>
      </c>
      <c r="H7" s="2" t="s">
        <v>59</v>
      </c>
      <c r="I7" s="2" t="s">
        <v>90</v>
      </c>
      <c r="J7" s="2" t="s">
        <v>94</v>
      </c>
      <c r="K7" s="2">
        <v>948.77</v>
      </c>
      <c r="L7" s="2" t="str">
        <f t="shared" si="0"/>
        <v>January</v>
      </c>
      <c r="M7" s="2" t="str">
        <f t="shared" si="1"/>
        <v>January</v>
      </c>
      <c r="N7" t="str">
        <f t="shared" si="2"/>
        <v>Delivered</v>
      </c>
      <c r="O7">
        <f t="shared" si="3"/>
        <v>2</v>
      </c>
      <c r="P7" t="str">
        <f t="shared" si="4"/>
        <v>Completed</v>
      </c>
      <c r="Q7" t="str">
        <f t="shared" si="5"/>
        <v>Fast</v>
      </c>
      <c r="R7" t="str">
        <f>_xlfn.XLOOKUP(B7,CustomerMaster!$A$2:$A$287,CustomerMaster!$B$2:$B$287)</f>
        <v>Customer_265</v>
      </c>
      <c r="S7" t="str">
        <f>_xlfn.XLOOKUP(C7,ProductMaster!$A$2:$A$51,ProductMaster!$B$2:$B$51)</f>
        <v>Product_21</v>
      </c>
      <c r="T7" t="str">
        <f>_xlfn.XLOOKUP(G7,RegionMaster!$A$2:$A$5,RegionMaster!$B$2:$B$5)</f>
        <v>B</v>
      </c>
    </row>
    <row r="8" spans="1:20" ht="14.4">
      <c r="A8" s="2" t="s">
        <v>167</v>
      </c>
      <c r="B8" s="2" t="s">
        <v>171</v>
      </c>
      <c r="C8" s="2" t="s">
        <v>172</v>
      </c>
      <c r="D8" s="3">
        <v>45695</v>
      </c>
      <c r="E8" s="3">
        <v>45700</v>
      </c>
      <c r="F8" s="4"/>
      <c r="G8" s="2" t="s">
        <v>7</v>
      </c>
      <c r="H8" s="2" t="s">
        <v>54</v>
      </c>
      <c r="I8" s="2" t="s">
        <v>178</v>
      </c>
      <c r="J8" s="2" t="s">
        <v>107</v>
      </c>
      <c r="K8" s="2">
        <v>478.8</v>
      </c>
      <c r="L8" s="2" t="str">
        <f t="shared" si="0"/>
        <v>February</v>
      </c>
      <c r="M8" s="2" t="str">
        <f t="shared" si="1"/>
        <v>February</v>
      </c>
      <c r="N8" t="str">
        <f t="shared" si="2"/>
        <v>Delivered</v>
      </c>
      <c r="O8">
        <f t="shared" si="3"/>
        <v>5</v>
      </c>
      <c r="P8" t="str">
        <f t="shared" si="4"/>
        <v>Completed</v>
      </c>
      <c r="Q8" t="str">
        <f t="shared" si="5"/>
        <v>Slow</v>
      </c>
      <c r="R8" t="str">
        <f>_xlfn.XLOOKUP(B8,CustomerMaster!$A$2:$A$287,CustomerMaster!$B$2:$B$287)</f>
        <v>Customer_250</v>
      </c>
      <c r="S8" t="str">
        <f>_xlfn.XLOOKUP(C8,ProductMaster!$A$2:$A$51,ProductMaster!$B$2:$B$51)</f>
        <v>Product_39</v>
      </c>
      <c r="T8" t="str">
        <f>_xlfn.XLOOKUP(G8,RegionMaster!$A$2:$A$5,RegionMaster!$B$2:$B$5)</f>
        <v>A</v>
      </c>
    </row>
    <row r="9" spans="1:20" ht="14.4">
      <c r="A9" s="2" t="s">
        <v>184</v>
      </c>
      <c r="B9" s="2" t="s">
        <v>187</v>
      </c>
      <c r="C9" s="2" t="s">
        <v>72</v>
      </c>
      <c r="D9" s="3">
        <v>45665</v>
      </c>
      <c r="E9" s="3">
        <v>45670</v>
      </c>
      <c r="F9" s="4"/>
      <c r="G9" s="2" t="s">
        <v>45</v>
      </c>
      <c r="H9" s="2" t="s">
        <v>59</v>
      </c>
      <c r="I9" s="2" t="s">
        <v>195</v>
      </c>
      <c r="J9" s="2" t="s">
        <v>133</v>
      </c>
      <c r="K9" s="2">
        <v>4357.6499999999996</v>
      </c>
      <c r="L9" s="2" t="str">
        <f t="shared" si="0"/>
        <v>January</v>
      </c>
      <c r="M9" s="2" t="str">
        <f t="shared" si="1"/>
        <v>January</v>
      </c>
      <c r="N9" t="str">
        <f t="shared" si="2"/>
        <v>Delivered</v>
      </c>
      <c r="O9">
        <f t="shared" si="3"/>
        <v>5</v>
      </c>
      <c r="P9" t="str">
        <f t="shared" si="4"/>
        <v>Completed</v>
      </c>
      <c r="Q9" t="str">
        <f t="shared" si="5"/>
        <v>Slow</v>
      </c>
      <c r="R9" t="str">
        <f>_xlfn.XLOOKUP(B9,CustomerMaster!$A$2:$A$287,CustomerMaster!$B$2:$B$287)</f>
        <v>Customer_60</v>
      </c>
      <c r="S9" t="str">
        <f>_xlfn.XLOOKUP(C9,ProductMaster!$A$2:$A$51,ProductMaster!$B$2:$B$51)</f>
        <v>Product_10</v>
      </c>
      <c r="T9" t="str">
        <f>_xlfn.XLOOKUP(G9,RegionMaster!$A$2:$A$5,RegionMaster!$B$2:$B$5)</f>
        <v>D</v>
      </c>
    </row>
    <row r="10" spans="1:20" ht="14.4">
      <c r="A10" s="2" t="s">
        <v>201</v>
      </c>
      <c r="B10" s="2" t="s">
        <v>203</v>
      </c>
      <c r="C10" s="2" t="s">
        <v>191</v>
      </c>
      <c r="D10" s="3">
        <v>45718</v>
      </c>
      <c r="E10" s="3">
        <v>45721</v>
      </c>
      <c r="F10" s="4"/>
      <c r="G10" s="2" t="s">
        <v>7</v>
      </c>
      <c r="H10" s="2" t="s">
        <v>37</v>
      </c>
      <c r="I10" s="2" t="s">
        <v>106</v>
      </c>
      <c r="J10" s="2" t="s">
        <v>133</v>
      </c>
      <c r="K10" s="2">
        <v>3085.35</v>
      </c>
      <c r="L10" s="2" t="str">
        <f t="shared" si="0"/>
        <v>March</v>
      </c>
      <c r="M10" s="2" t="str">
        <f t="shared" si="1"/>
        <v>March</v>
      </c>
      <c r="N10" t="str">
        <f t="shared" si="2"/>
        <v>Delivered</v>
      </c>
      <c r="O10">
        <f t="shared" si="3"/>
        <v>3</v>
      </c>
      <c r="P10" t="str">
        <f t="shared" si="4"/>
        <v>Completed</v>
      </c>
      <c r="Q10" t="str">
        <f t="shared" si="5"/>
        <v>Slow</v>
      </c>
      <c r="R10" t="str">
        <f>_xlfn.XLOOKUP(B10,CustomerMaster!$A$2:$A$287,CustomerMaster!$B$2:$B$287)</f>
        <v>Customer_91</v>
      </c>
      <c r="S10" t="str">
        <f>_xlfn.XLOOKUP(C10,ProductMaster!$A$2:$A$51,ProductMaster!$B$2:$B$51)</f>
        <v>Product_43</v>
      </c>
      <c r="T10" t="str">
        <f>_xlfn.XLOOKUP(G10,RegionMaster!$A$2:$A$5,RegionMaster!$B$2:$B$5)</f>
        <v>A</v>
      </c>
    </row>
    <row r="11" spans="1:20" ht="14.4">
      <c r="A11" s="2" t="s">
        <v>215</v>
      </c>
      <c r="B11" s="2" t="s">
        <v>197</v>
      </c>
      <c r="C11" s="2" t="s">
        <v>63</v>
      </c>
      <c r="D11" s="3">
        <v>45688</v>
      </c>
      <c r="E11" s="3">
        <v>45693</v>
      </c>
      <c r="F11" s="4"/>
      <c r="G11" s="2" t="s">
        <v>22</v>
      </c>
      <c r="H11" s="2" t="s">
        <v>37</v>
      </c>
      <c r="I11" s="2" t="s">
        <v>178</v>
      </c>
      <c r="J11" s="2" t="s">
        <v>94</v>
      </c>
      <c r="K11" s="2">
        <v>3598.75</v>
      </c>
      <c r="L11" s="2" t="str">
        <f t="shared" si="0"/>
        <v>January</v>
      </c>
      <c r="M11" s="2" t="str">
        <f t="shared" si="1"/>
        <v>February</v>
      </c>
      <c r="N11" t="str">
        <f t="shared" si="2"/>
        <v>Delivered</v>
      </c>
      <c r="O11">
        <f t="shared" si="3"/>
        <v>5</v>
      </c>
      <c r="P11" t="str">
        <f t="shared" si="4"/>
        <v>Completed</v>
      </c>
      <c r="Q11" t="str">
        <f t="shared" si="5"/>
        <v>Slow</v>
      </c>
      <c r="R11" t="str">
        <f>_xlfn.XLOOKUP(B11,CustomerMaster!$A$2:$A$287,CustomerMaster!$B$2:$B$287)</f>
        <v>Customer_26</v>
      </c>
      <c r="S11" t="str">
        <f>_xlfn.XLOOKUP(C11,ProductMaster!$A$2:$A$51,ProductMaster!$B$2:$B$51)</f>
        <v>Product_8</v>
      </c>
      <c r="T11" t="str">
        <f>_xlfn.XLOOKUP(G11,RegionMaster!$A$2:$A$5,RegionMaster!$B$2:$B$5)</f>
        <v>C</v>
      </c>
    </row>
    <row r="12" spans="1:20" ht="14.4">
      <c r="A12" s="2" t="s">
        <v>220</v>
      </c>
      <c r="B12" s="2" t="s">
        <v>221</v>
      </c>
      <c r="C12" s="2" t="s">
        <v>87</v>
      </c>
      <c r="D12" s="3">
        <v>45682</v>
      </c>
      <c r="E12" s="3">
        <v>45684</v>
      </c>
      <c r="F12" s="4"/>
      <c r="G12" s="2" t="s">
        <v>17</v>
      </c>
      <c r="H12" s="2" t="s">
        <v>59</v>
      </c>
      <c r="I12" s="2" t="s">
        <v>90</v>
      </c>
      <c r="J12" s="2" t="s">
        <v>94</v>
      </c>
      <c r="K12" s="2">
        <v>298.81</v>
      </c>
      <c r="L12" s="2" t="str">
        <f t="shared" si="0"/>
        <v>January</v>
      </c>
      <c r="M12" s="2" t="str">
        <f t="shared" si="1"/>
        <v>January</v>
      </c>
      <c r="N12" t="str">
        <f t="shared" si="2"/>
        <v>Delivered</v>
      </c>
      <c r="O12">
        <f t="shared" si="3"/>
        <v>2</v>
      </c>
      <c r="P12" t="str">
        <f t="shared" si="4"/>
        <v>Completed</v>
      </c>
      <c r="Q12" t="str">
        <f t="shared" si="5"/>
        <v>Fast</v>
      </c>
      <c r="R12" t="str">
        <f>_xlfn.XLOOKUP(B12,CustomerMaster!$A$2:$A$287,CustomerMaster!$B$2:$B$287)</f>
        <v>Customer_68</v>
      </c>
      <c r="S12" t="str">
        <f>_xlfn.XLOOKUP(C12,ProductMaster!$A$2:$A$51,ProductMaster!$B$2:$B$51)</f>
        <v>Product_15</v>
      </c>
      <c r="T12" t="str">
        <f>_xlfn.XLOOKUP(G12,RegionMaster!$A$2:$A$5,RegionMaster!$B$2:$B$5)</f>
        <v>B</v>
      </c>
    </row>
    <row r="13" spans="1:20" ht="14.4">
      <c r="A13" s="2" t="s">
        <v>222</v>
      </c>
      <c r="B13" s="2" t="s">
        <v>223</v>
      </c>
      <c r="C13" s="2" t="s">
        <v>104</v>
      </c>
      <c r="D13" s="3">
        <v>45761</v>
      </c>
      <c r="E13" s="3">
        <v>45765</v>
      </c>
      <c r="F13" s="4"/>
      <c r="G13" s="2" t="s">
        <v>22</v>
      </c>
      <c r="H13" s="2" t="s">
        <v>16</v>
      </c>
      <c r="I13" s="2" t="s">
        <v>90</v>
      </c>
      <c r="J13" s="2" t="s">
        <v>107</v>
      </c>
      <c r="K13" s="2">
        <v>4855.57</v>
      </c>
      <c r="L13" s="2" t="str">
        <f t="shared" si="0"/>
        <v>April</v>
      </c>
      <c r="M13" s="2" t="str">
        <f t="shared" si="1"/>
        <v>April</v>
      </c>
      <c r="N13" t="str">
        <f t="shared" si="2"/>
        <v>Delivered</v>
      </c>
      <c r="O13">
        <f t="shared" si="3"/>
        <v>4</v>
      </c>
      <c r="P13" t="str">
        <f t="shared" si="4"/>
        <v>Completed</v>
      </c>
      <c r="Q13" t="str">
        <f t="shared" si="5"/>
        <v>Slow</v>
      </c>
      <c r="R13" t="str">
        <f>_xlfn.XLOOKUP(B13,CustomerMaster!$A$2:$A$287,CustomerMaster!$B$2:$B$287)</f>
        <v>Customer_44</v>
      </c>
      <c r="S13" t="str">
        <f>_xlfn.XLOOKUP(C13,ProductMaster!$A$2:$A$51,ProductMaster!$B$2:$B$51)</f>
        <v>Product_19</v>
      </c>
      <c r="T13" t="str">
        <f>_xlfn.XLOOKUP(G13,RegionMaster!$A$2:$A$5,RegionMaster!$B$2:$B$5)</f>
        <v>C</v>
      </c>
    </row>
    <row r="14" spans="1:20" ht="14.4">
      <c r="A14" s="2" t="s">
        <v>228</v>
      </c>
      <c r="B14" s="2" t="s">
        <v>85</v>
      </c>
      <c r="C14" s="2" t="s">
        <v>180</v>
      </c>
      <c r="D14" s="3">
        <v>45728</v>
      </c>
      <c r="E14" s="4"/>
      <c r="F14" s="3">
        <v>45730</v>
      </c>
      <c r="G14" s="2" t="s">
        <v>17</v>
      </c>
      <c r="H14" s="2" t="s">
        <v>54</v>
      </c>
      <c r="I14" s="2" t="s">
        <v>90</v>
      </c>
      <c r="J14" s="2" t="s">
        <v>107</v>
      </c>
      <c r="K14" s="2">
        <v>4195.72</v>
      </c>
      <c r="L14" s="2" t="str">
        <f t="shared" si="0"/>
        <v>March</v>
      </c>
      <c r="M14" s="2" t="str">
        <f t="shared" si="1"/>
        <v>Cancelled</v>
      </c>
      <c r="N14" t="str">
        <f t="shared" si="2"/>
        <v>Cancelled</v>
      </c>
      <c r="O14" t="str">
        <f t="shared" si="3"/>
        <v>Order Cancelled</v>
      </c>
      <c r="P14" t="str">
        <f t="shared" si="4"/>
        <v>Cancelled</v>
      </c>
      <c r="Q14" t="str">
        <f t="shared" si="5"/>
        <v>Cancelled</v>
      </c>
      <c r="R14" t="str">
        <f>_xlfn.XLOOKUP(B14,CustomerMaster!$A$2:$A$287,CustomerMaster!$B$2:$B$287)</f>
        <v>Customer_11</v>
      </c>
      <c r="S14" t="str">
        <f>_xlfn.XLOOKUP(C14,ProductMaster!$A$2:$A$51,ProductMaster!$B$2:$B$51)</f>
        <v>Product_40</v>
      </c>
      <c r="T14" t="str">
        <f>_xlfn.XLOOKUP(G14,RegionMaster!$A$2:$A$5,RegionMaster!$B$2:$B$5)</f>
        <v>B</v>
      </c>
    </row>
    <row r="15" spans="1:20" ht="14.4">
      <c r="A15" s="2" t="s">
        <v>237</v>
      </c>
      <c r="B15" s="2" t="s">
        <v>239</v>
      </c>
      <c r="C15" s="2" t="s">
        <v>142</v>
      </c>
      <c r="D15" s="3">
        <v>45769</v>
      </c>
      <c r="E15" s="3">
        <v>45771</v>
      </c>
      <c r="F15" s="4"/>
      <c r="G15" s="2" t="s">
        <v>45</v>
      </c>
      <c r="H15" s="2" t="s">
        <v>37</v>
      </c>
      <c r="I15" s="2" t="s">
        <v>195</v>
      </c>
      <c r="J15" s="2" t="s">
        <v>133</v>
      </c>
      <c r="K15" s="2">
        <v>1219.23</v>
      </c>
      <c r="L15" s="2" t="str">
        <f t="shared" si="0"/>
        <v>April</v>
      </c>
      <c r="M15" s="2" t="str">
        <f t="shared" si="1"/>
        <v>April</v>
      </c>
      <c r="N15" t="str">
        <f t="shared" si="2"/>
        <v>Delivered</v>
      </c>
      <c r="O15">
        <f t="shared" si="3"/>
        <v>2</v>
      </c>
      <c r="P15" t="str">
        <f t="shared" si="4"/>
        <v>Completed</v>
      </c>
      <c r="Q15" t="str">
        <f t="shared" si="5"/>
        <v>Fast</v>
      </c>
      <c r="R15" t="str">
        <f>_xlfn.XLOOKUP(B15,CustomerMaster!$A$2:$A$287,CustomerMaster!$B$2:$B$287)</f>
        <v>Customer_155</v>
      </c>
      <c r="S15" t="str">
        <f>_xlfn.XLOOKUP(C15,ProductMaster!$A$2:$A$51,ProductMaster!$B$2:$B$51)</f>
        <v>Product_29</v>
      </c>
      <c r="T15" t="str">
        <f>_xlfn.XLOOKUP(G15,RegionMaster!$A$2:$A$5,RegionMaster!$B$2:$B$5)</f>
        <v>D</v>
      </c>
    </row>
    <row r="16" spans="1:20" ht="14.4">
      <c r="A16" s="2" t="s">
        <v>245</v>
      </c>
      <c r="B16" s="2" t="s">
        <v>246</v>
      </c>
      <c r="C16" s="2" t="s">
        <v>43</v>
      </c>
      <c r="D16" s="3">
        <v>45750</v>
      </c>
      <c r="E16" s="4"/>
      <c r="F16" s="3">
        <v>45752</v>
      </c>
      <c r="G16" s="2" t="s">
        <v>17</v>
      </c>
      <c r="H16" s="2" t="s">
        <v>37</v>
      </c>
      <c r="I16" s="2" t="s">
        <v>121</v>
      </c>
      <c r="J16" s="2" t="s">
        <v>94</v>
      </c>
      <c r="K16" s="2">
        <v>1072.76</v>
      </c>
      <c r="L16" s="2" t="str">
        <f t="shared" si="0"/>
        <v>April</v>
      </c>
      <c r="M16" s="2" t="str">
        <f t="shared" si="1"/>
        <v>Cancelled</v>
      </c>
      <c r="N16" t="str">
        <f t="shared" si="2"/>
        <v>Cancelled</v>
      </c>
      <c r="O16" t="str">
        <f t="shared" si="3"/>
        <v>Order Cancelled</v>
      </c>
      <c r="P16" t="str">
        <f t="shared" si="4"/>
        <v>Cancelled</v>
      </c>
      <c r="Q16" t="str">
        <f t="shared" si="5"/>
        <v>Cancelled</v>
      </c>
      <c r="R16" t="str">
        <f>_xlfn.XLOOKUP(B16,CustomerMaster!$A$2:$A$287,CustomerMaster!$B$2:$B$287)</f>
        <v>Customer_61</v>
      </c>
      <c r="S16" t="str">
        <f>_xlfn.XLOOKUP(C16,ProductMaster!$A$2:$A$51,ProductMaster!$B$2:$B$51)</f>
        <v>Product_5</v>
      </c>
      <c r="T16" t="str">
        <f>_xlfn.XLOOKUP(G16,RegionMaster!$A$2:$A$5,RegionMaster!$B$2:$B$5)</f>
        <v>B</v>
      </c>
    </row>
    <row r="17" spans="1:20" ht="14.4">
      <c r="A17" s="2" t="s">
        <v>253</v>
      </c>
      <c r="B17" s="2" t="s">
        <v>254</v>
      </c>
      <c r="C17" s="2" t="s">
        <v>194</v>
      </c>
      <c r="D17" s="3">
        <v>45690</v>
      </c>
      <c r="E17" s="4"/>
      <c r="F17" s="3">
        <v>45690</v>
      </c>
      <c r="G17" s="2" t="s">
        <v>22</v>
      </c>
      <c r="H17" s="2" t="s">
        <v>59</v>
      </c>
      <c r="I17" s="2" t="s">
        <v>195</v>
      </c>
      <c r="J17" s="2" t="s">
        <v>107</v>
      </c>
      <c r="K17" s="2">
        <v>1080.3399999999999</v>
      </c>
      <c r="L17" s="2" t="str">
        <f t="shared" si="0"/>
        <v>February</v>
      </c>
      <c r="M17" s="2" t="str">
        <f t="shared" si="1"/>
        <v>Cancelled</v>
      </c>
      <c r="N17" t="str">
        <f t="shared" si="2"/>
        <v>Cancelled</v>
      </c>
      <c r="O17" t="str">
        <f t="shared" si="3"/>
        <v>Order Cancelled</v>
      </c>
      <c r="P17" t="str">
        <f t="shared" si="4"/>
        <v>Cancelled</v>
      </c>
      <c r="Q17" t="str">
        <f t="shared" si="5"/>
        <v>Cancelled</v>
      </c>
      <c r="R17" t="str">
        <f>_xlfn.XLOOKUP(B17,CustomerMaster!$A$2:$A$287,CustomerMaster!$B$2:$B$287)</f>
        <v>Customer_218</v>
      </c>
      <c r="S17" t="str">
        <f>_xlfn.XLOOKUP(C17,ProductMaster!$A$2:$A$51,ProductMaster!$B$2:$B$51)</f>
        <v>Product_44</v>
      </c>
      <c r="T17" t="str">
        <f>_xlfn.XLOOKUP(G17,RegionMaster!$A$2:$A$5,RegionMaster!$B$2:$B$5)</f>
        <v>C</v>
      </c>
    </row>
    <row r="18" spans="1:20" ht="14.4">
      <c r="A18" s="2" t="s">
        <v>258</v>
      </c>
      <c r="B18" s="2" t="s">
        <v>261</v>
      </c>
      <c r="C18" s="2" t="s">
        <v>50</v>
      </c>
      <c r="D18" s="3">
        <v>45683</v>
      </c>
      <c r="E18" s="3">
        <v>45684</v>
      </c>
      <c r="F18" s="4"/>
      <c r="G18" s="2" t="s">
        <v>45</v>
      </c>
      <c r="H18" s="2" t="s">
        <v>59</v>
      </c>
      <c r="I18" s="2" t="s">
        <v>195</v>
      </c>
      <c r="J18" s="2" t="s">
        <v>94</v>
      </c>
      <c r="K18" s="2">
        <v>1660.36</v>
      </c>
      <c r="L18" s="2" t="str">
        <f t="shared" si="0"/>
        <v>January</v>
      </c>
      <c r="M18" s="2" t="str">
        <f t="shared" si="1"/>
        <v>January</v>
      </c>
      <c r="N18" t="str">
        <f t="shared" si="2"/>
        <v>Delivered</v>
      </c>
      <c r="O18">
        <f t="shared" si="3"/>
        <v>1</v>
      </c>
      <c r="P18" t="str">
        <f t="shared" si="4"/>
        <v>Completed</v>
      </c>
      <c r="Q18" t="str">
        <f t="shared" si="5"/>
        <v>Fast</v>
      </c>
      <c r="R18" t="str">
        <f>_xlfn.XLOOKUP(B18,CustomerMaster!$A$2:$A$287,CustomerMaster!$B$2:$B$287)</f>
        <v>Customer_255</v>
      </c>
      <c r="S18" t="str">
        <f>_xlfn.XLOOKUP(C18,ProductMaster!$A$2:$A$51,ProductMaster!$B$2:$B$51)</f>
        <v>Product_6</v>
      </c>
      <c r="T18" t="str">
        <f>_xlfn.XLOOKUP(G18,RegionMaster!$A$2:$A$5,RegionMaster!$B$2:$B$5)</f>
        <v>D</v>
      </c>
    </row>
    <row r="19" spans="1:20" ht="14.4">
      <c r="A19" s="2" t="s">
        <v>266</v>
      </c>
      <c r="B19" s="2" t="s">
        <v>267</v>
      </c>
      <c r="C19" s="2" t="s">
        <v>50</v>
      </c>
      <c r="D19" s="3">
        <v>45770</v>
      </c>
      <c r="E19" s="3">
        <v>45775</v>
      </c>
      <c r="F19" s="4"/>
      <c r="G19" s="2" t="s">
        <v>17</v>
      </c>
      <c r="H19" s="2" t="s">
        <v>27</v>
      </c>
      <c r="I19" s="2" t="s">
        <v>121</v>
      </c>
      <c r="J19" s="2" t="s">
        <v>107</v>
      </c>
      <c r="K19" s="2">
        <v>2718.83</v>
      </c>
      <c r="L19" s="2" t="str">
        <f t="shared" si="0"/>
        <v>April</v>
      </c>
      <c r="M19" s="2" t="str">
        <f t="shared" si="1"/>
        <v>April</v>
      </c>
      <c r="N19" t="str">
        <f t="shared" si="2"/>
        <v>Delivered</v>
      </c>
      <c r="O19">
        <f t="shared" si="3"/>
        <v>5</v>
      </c>
      <c r="P19" t="str">
        <f t="shared" si="4"/>
        <v>Completed</v>
      </c>
      <c r="Q19" t="str">
        <f t="shared" si="5"/>
        <v>Slow</v>
      </c>
      <c r="R19" t="str">
        <f>_xlfn.XLOOKUP(B19,CustomerMaster!$A$2:$A$287,CustomerMaster!$B$2:$B$287)</f>
        <v>Customer_205</v>
      </c>
      <c r="S19" t="str">
        <f>_xlfn.XLOOKUP(C19,ProductMaster!$A$2:$A$51,ProductMaster!$B$2:$B$51)</f>
        <v>Product_6</v>
      </c>
      <c r="T19" t="str">
        <f>_xlfn.XLOOKUP(G19,RegionMaster!$A$2:$A$5,RegionMaster!$B$2:$B$5)</f>
        <v>B</v>
      </c>
    </row>
    <row r="20" spans="1:20" ht="14.4">
      <c r="A20" s="2" t="s">
        <v>274</v>
      </c>
      <c r="B20" s="2" t="s">
        <v>275</v>
      </c>
      <c r="C20" s="2" t="s">
        <v>87</v>
      </c>
      <c r="D20" s="3">
        <v>45659</v>
      </c>
      <c r="E20" s="3">
        <v>45661</v>
      </c>
      <c r="F20" s="4"/>
      <c r="G20" s="2" t="s">
        <v>7</v>
      </c>
      <c r="H20" s="2" t="s">
        <v>59</v>
      </c>
      <c r="I20" s="2" t="s">
        <v>195</v>
      </c>
      <c r="J20" s="2" t="s">
        <v>107</v>
      </c>
      <c r="K20" s="2">
        <v>2273.34</v>
      </c>
      <c r="L20" s="2" t="str">
        <f t="shared" si="0"/>
        <v>January</v>
      </c>
      <c r="M20" s="2" t="str">
        <f t="shared" si="1"/>
        <v>January</v>
      </c>
      <c r="N20" t="str">
        <f t="shared" si="2"/>
        <v>Delivered</v>
      </c>
      <c r="O20">
        <f t="shared" si="3"/>
        <v>2</v>
      </c>
      <c r="P20" t="str">
        <f t="shared" si="4"/>
        <v>Completed</v>
      </c>
      <c r="Q20" t="str">
        <f t="shared" si="5"/>
        <v>Fast</v>
      </c>
      <c r="R20" t="str">
        <f>_xlfn.XLOOKUP(B20,CustomerMaster!$A$2:$A$287,CustomerMaster!$B$2:$B$287)</f>
        <v>Customer_199</v>
      </c>
      <c r="S20" t="str">
        <f>_xlfn.XLOOKUP(C20,ProductMaster!$A$2:$A$51,ProductMaster!$B$2:$B$51)</f>
        <v>Product_15</v>
      </c>
      <c r="T20" t="str">
        <f>_xlfn.XLOOKUP(G20,RegionMaster!$A$2:$A$5,RegionMaster!$B$2:$B$5)</f>
        <v>A</v>
      </c>
    </row>
    <row r="21" spans="1:20" ht="15.75" customHeight="1">
      <c r="A21" s="2" t="s">
        <v>280</v>
      </c>
      <c r="B21" s="2" t="s">
        <v>282</v>
      </c>
      <c r="C21" s="2" t="s">
        <v>142</v>
      </c>
      <c r="D21" s="3">
        <v>45712</v>
      </c>
      <c r="E21" s="3">
        <v>45715</v>
      </c>
      <c r="F21" s="4"/>
      <c r="G21" s="2" t="s">
        <v>7</v>
      </c>
      <c r="H21" s="2" t="s">
        <v>16</v>
      </c>
      <c r="I21" s="2" t="s">
        <v>90</v>
      </c>
      <c r="J21" s="2" t="s">
        <v>133</v>
      </c>
      <c r="K21" s="2">
        <v>1597.9</v>
      </c>
      <c r="L21" s="2" t="str">
        <f t="shared" si="0"/>
        <v>February</v>
      </c>
      <c r="M21" s="2" t="str">
        <f t="shared" si="1"/>
        <v>February</v>
      </c>
      <c r="N21" t="str">
        <f t="shared" si="2"/>
        <v>Delivered</v>
      </c>
      <c r="O21">
        <f t="shared" si="3"/>
        <v>3</v>
      </c>
      <c r="P21" t="str">
        <f t="shared" si="4"/>
        <v>Completed</v>
      </c>
      <c r="Q21" t="str">
        <f t="shared" si="5"/>
        <v>Slow</v>
      </c>
      <c r="R21" t="str">
        <f>_xlfn.XLOOKUP(B21,CustomerMaster!$A$2:$A$287,CustomerMaster!$B$2:$B$287)</f>
        <v>Customer_95</v>
      </c>
      <c r="S21" t="str">
        <f>_xlfn.XLOOKUP(C21,ProductMaster!$A$2:$A$51,ProductMaster!$B$2:$B$51)</f>
        <v>Product_29</v>
      </c>
      <c r="T21" t="str">
        <f>_xlfn.XLOOKUP(G21,RegionMaster!$A$2:$A$5,RegionMaster!$B$2:$B$5)</f>
        <v>A</v>
      </c>
    </row>
    <row r="22" spans="1:20" ht="15.75" customHeight="1">
      <c r="A22" s="2" t="s">
        <v>288</v>
      </c>
      <c r="B22" s="2" t="s">
        <v>289</v>
      </c>
      <c r="C22" s="2" t="s">
        <v>75</v>
      </c>
      <c r="D22" s="3">
        <v>45761</v>
      </c>
      <c r="E22" s="4"/>
      <c r="F22" s="3">
        <v>45762</v>
      </c>
      <c r="G22" s="2" t="s">
        <v>22</v>
      </c>
      <c r="H22" s="2" t="s">
        <v>16</v>
      </c>
      <c r="I22" s="2" t="s">
        <v>90</v>
      </c>
      <c r="J22" s="2" t="s">
        <v>133</v>
      </c>
      <c r="K22" s="2">
        <v>3136.89</v>
      </c>
      <c r="L22" s="2" t="str">
        <f t="shared" si="0"/>
        <v>April</v>
      </c>
      <c r="M22" s="2" t="str">
        <f t="shared" si="1"/>
        <v>Cancelled</v>
      </c>
      <c r="N22" t="str">
        <f t="shared" si="2"/>
        <v>Cancelled</v>
      </c>
      <c r="O22" t="str">
        <f t="shared" si="3"/>
        <v>Order Cancelled</v>
      </c>
      <c r="P22" t="str">
        <f t="shared" si="4"/>
        <v>Cancelled</v>
      </c>
      <c r="Q22" t="str">
        <f t="shared" si="5"/>
        <v>Cancelled</v>
      </c>
      <c r="R22" t="str">
        <f>_xlfn.XLOOKUP(B22,CustomerMaster!$A$2:$A$287,CustomerMaster!$B$2:$B$287)</f>
        <v>Customer_283</v>
      </c>
      <c r="S22" t="str">
        <f>_xlfn.XLOOKUP(C22,ProductMaster!$A$2:$A$51,ProductMaster!$B$2:$B$51)</f>
        <v>Product_11</v>
      </c>
      <c r="T22" t="str">
        <f>_xlfn.XLOOKUP(G22,RegionMaster!$A$2:$A$5,RegionMaster!$B$2:$B$5)</f>
        <v>C</v>
      </c>
    </row>
    <row r="23" spans="1:20" ht="15.75" customHeight="1">
      <c r="A23" s="2" t="s">
        <v>295</v>
      </c>
      <c r="B23" s="2" t="s">
        <v>139</v>
      </c>
      <c r="C23" s="2" t="s">
        <v>79</v>
      </c>
      <c r="D23" s="3">
        <v>45658</v>
      </c>
      <c r="E23" s="4"/>
      <c r="F23" s="3">
        <v>45660</v>
      </c>
      <c r="G23" s="2" t="s">
        <v>45</v>
      </c>
      <c r="H23" s="2" t="s">
        <v>16</v>
      </c>
      <c r="I23" s="2" t="s">
        <v>178</v>
      </c>
      <c r="J23" s="2" t="s">
        <v>133</v>
      </c>
      <c r="K23" s="2">
        <v>869.57</v>
      </c>
      <c r="L23" s="2" t="str">
        <f t="shared" si="0"/>
        <v>January</v>
      </c>
      <c r="M23" s="2" t="str">
        <f t="shared" si="1"/>
        <v>Cancelled</v>
      </c>
      <c r="N23" t="str">
        <f t="shared" si="2"/>
        <v>Cancelled</v>
      </c>
      <c r="O23" t="str">
        <f t="shared" si="3"/>
        <v>Order Cancelled</v>
      </c>
      <c r="P23" t="str">
        <f t="shared" si="4"/>
        <v>Cancelled</v>
      </c>
      <c r="Q23" t="str">
        <f t="shared" si="5"/>
        <v>Cancelled</v>
      </c>
      <c r="R23" t="str">
        <f>_xlfn.XLOOKUP(B23,CustomerMaster!$A$2:$A$287,CustomerMaster!$B$2:$B$287)</f>
        <v>Customer_232</v>
      </c>
      <c r="S23" t="str">
        <f>_xlfn.XLOOKUP(C23,ProductMaster!$A$2:$A$51,ProductMaster!$B$2:$B$51)</f>
        <v>Product_12</v>
      </c>
      <c r="T23" t="str">
        <f>_xlfn.XLOOKUP(G23,RegionMaster!$A$2:$A$5,RegionMaster!$B$2:$B$5)</f>
        <v>D</v>
      </c>
    </row>
    <row r="24" spans="1:20" ht="15.75" customHeight="1">
      <c r="A24" s="2" t="s">
        <v>300</v>
      </c>
      <c r="B24" s="2" t="s">
        <v>302</v>
      </c>
      <c r="C24" s="2" t="s">
        <v>128</v>
      </c>
      <c r="D24" s="3">
        <v>45702</v>
      </c>
      <c r="E24" s="4"/>
      <c r="F24" s="3">
        <v>45703</v>
      </c>
      <c r="G24" s="2" t="s">
        <v>7</v>
      </c>
      <c r="H24" s="2" t="s">
        <v>27</v>
      </c>
      <c r="I24" s="2" t="s">
        <v>178</v>
      </c>
      <c r="J24" s="2" t="s">
        <v>133</v>
      </c>
      <c r="K24" s="2">
        <v>1602.29</v>
      </c>
      <c r="L24" s="2" t="str">
        <f t="shared" si="0"/>
        <v>February</v>
      </c>
      <c r="M24" s="2" t="str">
        <f t="shared" si="1"/>
        <v>Cancelled</v>
      </c>
      <c r="N24" t="str">
        <f t="shared" si="2"/>
        <v>Cancelled</v>
      </c>
      <c r="O24" t="str">
        <f t="shared" si="3"/>
        <v>Order Cancelled</v>
      </c>
      <c r="P24" t="str">
        <f t="shared" si="4"/>
        <v>Cancelled</v>
      </c>
      <c r="Q24" t="str">
        <f t="shared" si="5"/>
        <v>Cancelled</v>
      </c>
      <c r="R24" t="str">
        <f>_xlfn.XLOOKUP(B24,CustomerMaster!$A$2:$A$287,CustomerMaster!$B$2:$B$287)</f>
        <v>Customer_267</v>
      </c>
      <c r="S24" t="str">
        <f>_xlfn.XLOOKUP(C24,ProductMaster!$A$2:$A$51,ProductMaster!$B$2:$B$51)</f>
        <v>Product_25</v>
      </c>
      <c r="T24" t="str">
        <f>_xlfn.XLOOKUP(G24,RegionMaster!$A$2:$A$5,RegionMaster!$B$2:$B$5)</f>
        <v>A</v>
      </c>
    </row>
    <row r="25" spans="1:20" ht="15.75" customHeight="1">
      <c r="A25" s="2" t="s">
        <v>311</v>
      </c>
      <c r="B25" s="2" t="s">
        <v>312</v>
      </c>
      <c r="C25" s="2" t="s">
        <v>83</v>
      </c>
      <c r="D25" s="3">
        <v>45727</v>
      </c>
      <c r="E25" s="3">
        <v>45732</v>
      </c>
      <c r="F25" s="4"/>
      <c r="G25" s="2" t="s">
        <v>7</v>
      </c>
      <c r="H25" s="2" t="s">
        <v>59</v>
      </c>
      <c r="I25" s="2" t="s">
        <v>90</v>
      </c>
      <c r="J25" s="2" t="s">
        <v>107</v>
      </c>
      <c r="K25" s="2">
        <v>1958.54</v>
      </c>
      <c r="L25" s="2" t="str">
        <f t="shared" si="0"/>
        <v>March</v>
      </c>
      <c r="M25" s="2" t="str">
        <f t="shared" si="1"/>
        <v>March</v>
      </c>
      <c r="N25" t="str">
        <f t="shared" si="2"/>
        <v>Delivered</v>
      </c>
      <c r="O25">
        <f t="shared" si="3"/>
        <v>5</v>
      </c>
      <c r="P25" t="str">
        <f t="shared" si="4"/>
        <v>Completed</v>
      </c>
      <c r="Q25" t="str">
        <f t="shared" si="5"/>
        <v>Slow</v>
      </c>
      <c r="R25" t="str">
        <f>_xlfn.XLOOKUP(B25,CustomerMaster!$A$2:$A$287,CustomerMaster!$B$2:$B$287)</f>
        <v>Customer_278</v>
      </c>
      <c r="S25" t="str">
        <f>_xlfn.XLOOKUP(C25,ProductMaster!$A$2:$A$51,ProductMaster!$B$2:$B$51)</f>
        <v>Product_14</v>
      </c>
      <c r="T25" t="str">
        <f>_xlfn.XLOOKUP(G25,RegionMaster!$A$2:$A$5,RegionMaster!$B$2:$B$5)</f>
        <v>A</v>
      </c>
    </row>
    <row r="26" spans="1:20" ht="15.75" customHeight="1">
      <c r="A26" s="2" t="s">
        <v>322</v>
      </c>
      <c r="B26" s="2" t="s">
        <v>324</v>
      </c>
      <c r="C26" s="2" t="s">
        <v>173</v>
      </c>
      <c r="D26" s="3">
        <v>45692</v>
      </c>
      <c r="E26" s="4"/>
      <c r="F26" s="3">
        <v>45692</v>
      </c>
      <c r="G26" s="2" t="s">
        <v>22</v>
      </c>
      <c r="H26" s="2" t="s">
        <v>37</v>
      </c>
      <c r="I26" s="2" t="s">
        <v>90</v>
      </c>
      <c r="J26" s="2" t="s">
        <v>107</v>
      </c>
      <c r="K26" s="2">
        <v>2389.14</v>
      </c>
      <c r="L26" s="2" t="str">
        <f t="shared" si="0"/>
        <v>February</v>
      </c>
      <c r="M26" s="2" t="str">
        <f t="shared" si="1"/>
        <v>Cancelled</v>
      </c>
      <c r="N26" t="str">
        <f t="shared" si="2"/>
        <v>Cancelled</v>
      </c>
      <c r="O26" t="str">
        <f t="shared" si="3"/>
        <v>Order Cancelled</v>
      </c>
      <c r="P26" t="str">
        <f t="shared" si="4"/>
        <v>Cancelled</v>
      </c>
      <c r="Q26" t="str">
        <f t="shared" si="5"/>
        <v>Cancelled</v>
      </c>
      <c r="R26" t="str">
        <f>_xlfn.XLOOKUP(B26,CustomerMaster!$A$2:$A$287,CustomerMaster!$B$2:$B$287)</f>
        <v>Customer_195</v>
      </c>
      <c r="S26" t="str">
        <f>_xlfn.XLOOKUP(C26,ProductMaster!$A$2:$A$51,ProductMaster!$B$2:$B$51)</f>
        <v>Product_38</v>
      </c>
      <c r="T26" t="str">
        <f>_xlfn.XLOOKUP(G26,RegionMaster!$A$2:$A$5,RegionMaster!$B$2:$B$5)</f>
        <v>C</v>
      </c>
    </row>
    <row r="27" spans="1:20" ht="15.75" customHeight="1">
      <c r="A27" s="2" t="s">
        <v>335</v>
      </c>
      <c r="B27" s="2" t="s">
        <v>337</v>
      </c>
      <c r="C27" s="2" t="s">
        <v>148</v>
      </c>
      <c r="D27" s="3">
        <v>45777</v>
      </c>
      <c r="E27" s="3">
        <v>45780</v>
      </c>
      <c r="F27" s="4"/>
      <c r="G27" s="2" t="s">
        <v>7</v>
      </c>
      <c r="H27" s="2" t="s">
        <v>37</v>
      </c>
      <c r="I27" s="2" t="s">
        <v>178</v>
      </c>
      <c r="J27" s="2" t="s">
        <v>107</v>
      </c>
      <c r="K27" s="2">
        <v>3968.84</v>
      </c>
      <c r="L27" s="2" t="str">
        <f t="shared" si="0"/>
        <v>April</v>
      </c>
      <c r="M27" s="2" t="str">
        <f t="shared" si="1"/>
        <v>May</v>
      </c>
      <c r="N27" t="str">
        <f t="shared" si="2"/>
        <v>Delivered</v>
      </c>
      <c r="O27">
        <f t="shared" si="3"/>
        <v>3</v>
      </c>
      <c r="P27" t="str">
        <f t="shared" si="4"/>
        <v>Completed</v>
      </c>
      <c r="Q27" t="str">
        <f t="shared" si="5"/>
        <v>Slow</v>
      </c>
      <c r="R27" t="str">
        <f>_xlfn.XLOOKUP(B27,CustomerMaster!$A$2:$A$287,CustomerMaster!$B$2:$B$287)</f>
        <v>Customer_107</v>
      </c>
      <c r="S27" t="str">
        <f>_xlfn.XLOOKUP(C27,ProductMaster!$A$2:$A$51,ProductMaster!$B$2:$B$51)</f>
        <v>Product_31</v>
      </c>
      <c r="T27" t="str">
        <f>_xlfn.XLOOKUP(G27,RegionMaster!$A$2:$A$5,RegionMaster!$B$2:$B$5)</f>
        <v>A</v>
      </c>
    </row>
    <row r="28" spans="1:20" ht="15.75" customHeight="1">
      <c r="A28" s="2" t="s">
        <v>348</v>
      </c>
      <c r="B28" s="2" t="s">
        <v>251</v>
      </c>
      <c r="C28" s="2" t="s">
        <v>9</v>
      </c>
      <c r="D28" s="3">
        <v>45698</v>
      </c>
      <c r="E28" s="3">
        <v>45700</v>
      </c>
      <c r="F28" s="4"/>
      <c r="G28" s="2" t="s">
        <v>45</v>
      </c>
      <c r="H28" s="2" t="s">
        <v>54</v>
      </c>
      <c r="I28" s="2" t="s">
        <v>121</v>
      </c>
      <c r="J28" s="2" t="s">
        <v>107</v>
      </c>
      <c r="K28" s="2">
        <v>1158.43</v>
      </c>
      <c r="L28" s="2" t="str">
        <f t="shared" si="0"/>
        <v>February</v>
      </c>
      <c r="M28" s="2" t="str">
        <f t="shared" si="1"/>
        <v>February</v>
      </c>
      <c r="N28" t="str">
        <f t="shared" si="2"/>
        <v>Delivered</v>
      </c>
      <c r="O28">
        <f t="shared" si="3"/>
        <v>2</v>
      </c>
      <c r="P28" t="str">
        <f t="shared" si="4"/>
        <v>Completed</v>
      </c>
      <c r="Q28" t="str">
        <f t="shared" si="5"/>
        <v>Fast</v>
      </c>
      <c r="R28" t="str">
        <f>_xlfn.XLOOKUP(B28,CustomerMaster!$A$2:$A$287,CustomerMaster!$B$2:$B$287)</f>
        <v>Customer_42</v>
      </c>
      <c r="S28" t="str">
        <f>_xlfn.XLOOKUP(C28,ProductMaster!$A$2:$A$51,ProductMaster!$B$2:$B$51)</f>
        <v>Product_0</v>
      </c>
      <c r="T28" t="str">
        <f>_xlfn.XLOOKUP(G28,RegionMaster!$A$2:$A$5,RegionMaster!$B$2:$B$5)</f>
        <v>D</v>
      </c>
    </row>
    <row r="29" spans="1:20" ht="15.75" customHeight="1">
      <c r="A29" s="2" t="s">
        <v>357</v>
      </c>
      <c r="B29" s="2" t="s">
        <v>294</v>
      </c>
      <c r="C29" s="2" t="s">
        <v>32</v>
      </c>
      <c r="D29" s="3">
        <v>45675</v>
      </c>
      <c r="E29" s="3">
        <v>45679</v>
      </c>
      <c r="F29" s="4"/>
      <c r="G29" s="2" t="s">
        <v>7</v>
      </c>
      <c r="H29" s="2" t="s">
        <v>59</v>
      </c>
      <c r="I29" s="2" t="s">
        <v>90</v>
      </c>
      <c r="J29" s="2" t="s">
        <v>107</v>
      </c>
      <c r="K29" s="2">
        <v>2668.33</v>
      </c>
      <c r="L29" s="2" t="str">
        <f t="shared" si="0"/>
        <v>January</v>
      </c>
      <c r="M29" s="2" t="str">
        <f t="shared" si="1"/>
        <v>January</v>
      </c>
      <c r="N29" t="str">
        <f t="shared" si="2"/>
        <v>Delivered</v>
      </c>
      <c r="O29">
        <f t="shared" si="3"/>
        <v>4</v>
      </c>
      <c r="P29" t="str">
        <f t="shared" si="4"/>
        <v>Completed</v>
      </c>
      <c r="Q29" t="str">
        <f t="shared" si="5"/>
        <v>Slow</v>
      </c>
      <c r="R29" t="str">
        <f>_xlfn.XLOOKUP(B29,CustomerMaster!$A$2:$A$287,CustomerMaster!$B$2:$B$287)</f>
        <v>Customer_58</v>
      </c>
      <c r="S29" t="str">
        <f>_xlfn.XLOOKUP(C29,ProductMaster!$A$2:$A$51,ProductMaster!$B$2:$B$51)</f>
        <v>Product_3</v>
      </c>
      <c r="T29" t="str">
        <f>_xlfn.XLOOKUP(G29,RegionMaster!$A$2:$A$5,RegionMaster!$B$2:$B$5)</f>
        <v>A</v>
      </c>
    </row>
    <row r="30" spans="1:20" ht="15.75" customHeight="1">
      <c r="A30" s="2" t="s">
        <v>367</v>
      </c>
      <c r="B30" s="2" t="s">
        <v>346</v>
      </c>
      <c r="C30" s="2" t="s">
        <v>63</v>
      </c>
      <c r="D30" s="3">
        <v>45729</v>
      </c>
      <c r="E30" s="4"/>
      <c r="F30" s="3">
        <v>45731</v>
      </c>
      <c r="G30" s="2" t="s">
        <v>17</v>
      </c>
      <c r="H30" s="2" t="s">
        <v>27</v>
      </c>
      <c r="I30" s="2" t="s">
        <v>90</v>
      </c>
      <c r="J30" s="2" t="s">
        <v>133</v>
      </c>
      <c r="K30" s="2">
        <v>3043.59</v>
      </c>
      <c r="L30" s="2" t="str">
        <f t="shared" si="0"/>
        <v>March</v>
      </c>
      <c r="M30" s="2" t="str">
        <f t="shared" si="1"/>
        <v>Cancelled</v>
      </c>
      <c r="N30" t="str">
        <f t="shared" si="2"/>
        <v>Cancelled</v>
      </c>
      <c r="O30" t="str">
        <f t="shared" si="3"/>
        <v>Order Cancelled</v>
      </c>
      <c r="P30" t="str">
        <f t="shared" si="4"/>
        <v>Cancelled</v>
      </c>
      <c r="Q30" t="str">
        <f t="shared" si="5"/>
        <v>Cancelled</v>
      </c>
      <c r="R30" t="str">
        <f>_xlfn.XLOOKUP(B30,CustomerMaster!$A$2:$A$287,CustomerMaster!$B$2:$B$287)</f>
        <v>Customer_81</v>
      </c>
      <c r="S30" t="str">
        <f>_xlfn.XLOOKUP(C30,ProductMaster!$A$2:$A$51,ProductMaster!$B$2:$B$51)</f>
        <v>Product_8</v>
      </c>
      <c r="T30" t="str">
        <f>_xlfn.XLOOKUP(G30,RegionMaster!$A$2:$A$5,RegionMaster!$B$2:$B$5)</f>
        <v>B</v>
      </c>
    </row>
    <row r="31" spans="1:20" ht="15.75" customHeight="1">
      <c r="A31" s="2" t="s">
        <v>375</v>
      </c>
      <c r="B31" s="2" t="s">
        <v>377</v>
      </c>
      <c r="C31" s="2" t="s">
        <v>199</v>
      </c>
      <c r="D31" s="3">
        <v>45773</v>
      </c>
      <c r="E31" s="3">
        <v>45777</v>
      </c>
      <c r="F31" s="4"/>
      <c r="G31" s="2" t="s">
        <v>22</v>
      </c>
      <c r="H31" s="2" t="s">
        <v>59</v>
      </c>
      <c r="I31" s="2" t="s">
        <v>121</v>
      </c>
      <c r="J31" s="2" t="s">
        <v>94</v>
      </c>
      <c r="K31" s="2">
        <v>422.96</v>
      </c>
      <c r="L31" s="2" t="str">
        <f t="shared" si="0"/>
        <v>April</v>
      </c>
      <c r="M31" s="2" t="str">
        <f t="shared" si="1"/>
        <v>April</v>
      </c>
      <c r="N31" t="str">
        <f t="shared" si="2"/>
        <v>Delivered</v>
      </c>
      <c r="O31">
        <f t="shared" si="3"/>
        <v>4</v>
      </c>
      <c r="P31" t="str">
        <f t="shared" si="4"/>
        <v>Completed</v>
      </c>
      <c r="Q31" t="str">
        <f t="shared" si="5"/>
        <v>Slow</v>
      </c>
      <c r="R31" t="str">
        <f>_xlfn.XLOOKUP(B31,CustomerMaster!$A$2:$A$287,CustomerMaster!$B$2:$B$287)</f>
        <v>Customer_271</v>
      </c>
      <c r="S31" t="str">
        <f>_xlfn.XLOOKUP(C31,ProductMaster!$A$2:$A$51,ProductMaster!$B$2:$B$51)</f>
        <v>Product_45</v>
      </c>
      <c r="T31" t="str">
        <f>_xlfn.XLOOKUP(G31,RegionMaster!$A$2:$A$5,RegionMaster!$B$2:$B$5)</f>
        <v>C</v>
      </c>
    </row>
    <row r="32" spans="1:20" ht="15.75" customHeight="1">
      <c r="A32" s="2" t="s">
        <v>384</v>
      </c>
      <c r="B32" s="2" t="s">
        <v>385</v>
      </c>
      <c r="C32" s="2" t="s">
        <v>153</v>
      </c>
      <c r="D32" s="3">
        <v>45696</v>
      </c>
      <c r="E32" s="4"/>
      <c r="F32" s="3">
        <v>45696</v>
      </c>
      <c r="G32" s="2" t="s">
        <v>45</v>
      </c>
      <c r="H32" s="2" t="s">
        <v>37</v>
      </c>
      <c r="I32" s="2" t="s">
        <v>178</v>
      </c>
      <c r="J32" s="2" t="s">
        <v>107</v>
      </c>
      <c r="K32" s="2">
        <v>3116.22</v>
      </c>
      <c r="L32" s="2" t="str">
        <f t="shared" si="0"/>
        <v>February</v>
      </c>
      <c r="M32" s="2" t="str">
        <f t="shared" si="1"/>
        <v>Cancelled</v>
      </c>
      <c r="N32" t="str">
        <f t="shared" si="2"/>
        <v>Cancelled</v>
      </c>
      <c r="O32" t="str">
        <f t="shared" si="3"/>
        <v>Order Cancelled</v>
      </c>
      <c r="P32" t="str">
        <f t="shared" si="4"/>
        <v>Cancelled</v>
      </c>
      <c r="Q32" t="str">
        <f t="shared" si="5"/>
        <v>Cancelled</v>
      </c>
      <c r="R32" t="str">
        <f>_xlfn.XLOOKUP(B32,CustomerMaster!$A$2:$A$287,CustomerMaster!$B$2:$B$287)</f>
        <v>Customer_196</v>
      </c>
      <c r="S32" t="str">
        <f>_xlfn.XLOOKUP(C32,ProductMaster!$A$2:$A$51,ProductMaster!$B$2:$B$51)</f>
        <v>Product_32</v>
      </c>
      <c r="T32" t="str">
        <f>_xlfn.XLOOKUP(G32,RegionMaster!$A$2:$A$5,RegionMaster!$B$2:$B$5)</f>
        <v>D</v>
      </c>
    </row>
    <row r="33" spans="1:20" ht="15.75" customHeight="1">
      <c r="A33" s="2" t="s">
        <v>390</v>
      </c>
      <c r="B33" s="2" t="s">
        <v>391</v>
      </c>
      <c r="C33" s="2" t="s">
        <v>153</v>
      </c>
      <c r="D33" s="3">
        <v>45736</v>
      </c>
      <c r="E33" s="3">
        <v>45741</v>
      </c>
      <c r="F33" s="4"/>
      <c r="G33" s="2" t="s">
        <v>45</v>
      </c>
      <c r="H33" s="2" t="s">
        <v>59</v>
      </c>
      <c r="I33" s="2" t="s">
        <v>106</v>
      </c>
      <c r="J33" s="2" t="s">
        <v>94</v>
      </c>
      <c r="K33" s="2">
        <v>1018.52</v>
      </c>
      <c r="L33" s="2" t="str">
        <f t="shared" si="0"/>
        <v>March</v>
      </c>
      <c r="M33" s="2" t="str">
        <f t="shared" si="1"/>
        <v>March</v>
      </c>
      <c r="N33" t="str">
        <f t="shared" si="2"/>
        <v>Delivered</v>
      </c>
      <c r="O33">
        <f t="shared" si="3"/>
        <v>5</v>
      </c>
      <c r="P33" t="str">
        <f t="shared" si="4"/>
        <v>Completed</v>
      </c>
      <c r="Q33" t="str">
        <f t="shared" si="5"/>
        <v>Slow</v>
      </c>
      <c r="R33" t="str">
        <f>_xlfn.XLOOKUP(B33,CustomerMaster!$A$2:$A$287,CustomerMaster!$B$2:$B$287)</f>
        <v>Customer_178</v>
      </c>
      <c r="S33" t="str">
        <f>_xlfn.XLOOKUP(C33,ProductMaster!$A$2:$A$51,ProductMaster!$B$2:$B$51)</f>
        <v>Product_32</v>
      </c>
      <c r="T33" t="str">
        <f>_xlfn.XLOOKUP(G33,RegionMaster!$A$2:$A$5,RegionMaster!$B$2:$B$5)</f>
        <v>D</v>
      </c>
    </row>
    <row r="34" spans="1:20" ht="15.75" customHeight="1">
      <c r="A34" s="2" t="s">
        <v>398</v>
      </c>
      <c r="B34" s="2" t="s">
        <v>24</v>
      </c>
      <c r="C34" s="2" t="s">
        <v>164</v>
      </c>
      <c r="D34" s="3">
        <v>45710</v>
      </c>
      <c r="E34" s="3">
        <v>45715</v>
      </c>
      <c r="F34" s="4"/>
      <c r="G34" s="2" t="s">
        <v>7</v>
      </c>
      <c r="H34" s="2" t="s">
        <v>37</v>
      </c>
      <c r="I34" s="2" t="s">
        <v>121</v>
      </c>
      <c r="J34" s="2" t="s">
        <v>94</v>
      </c>
      <c r="K34" s="2">
        <v>512.25</v>
      </c>
      <c r="L34" s="2" t="str">
        <f t="shared" si="0"/>
        <v>February</v>
      </c>
      <c r="M34" s="2" t="str">
        <f t="shared" si="1"/>
        <v>February</v>
      </c>
      <c r="N34" t="str">
        <f t="shared" si="2"/>
        <v>Delivered</v>
      </c>
      <c r="O34">
        <f t="shared" si="3"/>
        <v>5</v>
      </c>
      <c r="P34" t="str">
        <f t="shared" si="4"/>
        <v>Completed</v>
      </c>
      <c r="Q34" t="str">
        <f t="shared" si="5"/>
        <v>Slow</v>
      </c>
      <c r="R34" t="str">
        <f>_xlfn.XLOOKUP(B34,CustomerMaster!$A$2:$A$287,CustomerMaster!$B$2:$B$287)</f>
        <v>Customer_1</v>
      </c>
      <c r="S34" t="str">
        <f>_xlfn.XLOOKUP(C34,ProductMaster!$A$2:$A$51,ProductMaster!$B$2:$B$51)</f>
        <v>Product_36</v>
      </c>
      <c r="T34" t="str">
        <f>_xlfn.XLOOKUP(G34,RegionMaster!$A$2:$A$5,RegionMaster!$B$2:$B$5)</f>
        <v>A</v>
      </c>
    </row>
    <row r="35" spans="1:20" ht="15.75" customHeight="1">
      <c r="A35" s="2" t="s">
        <v>405</v>
      </c>
      <c r="B35" s="2" t="s">
        <v>407</v>
      </c>
      <c r="C35" s="2" t="s">
        <v>102</v>
      </c>
      <c r="D35" s="3">
        <v>45766</v>
      </c>
      <c r="E35" s="4"/>
      <c r="F35" s="3">
        <v>45767</v>
      </c>
      <c r="G35" s="2" t="s">
        <v>7</v>
      </c>
      <c r="H35" s="2" t="s">
        <v>59</v>
      </c>
      <c r="I35" s="2" t="s">
        <v>106</v>
      </c>
      <c r="J35" s="2" t="s">
        <v>133</v>
      </c>
      <c r="K35" s="2">
        <v>4754.6499999999996</v>
      </c>
      <c r="L35" s="2" t="str">
        <f t="shared" si="0"/>
        <v>April</v>
      </c>
      <c r="M35" s="2" t="str">
        <f t="shared" si="1"/>
        <v>Cancelled</v>
      </c>
      <c r="N35" t="str">
        <f t="shared" si="2"/>
        <v>Cancelled</v>
      </c>
      <c r="O35" t="str">
        <f t="shared" si="3"/>
        <v>Order Cancelled</v>
      </c>
      <c r="P35" t="str">
        <f t="shared" si="4"/>
        <v>Cancelled</v>
      </c>
      <c r="Q35" t="str">
        <f t="shared" si="5"/>
        <v>Cancelled</v>
      </c>
      <c r="R35" t="str">
        <f>_xlfn.XLOOKUP(B35,CustomerMaster!$A$2:$A$287,CustomerMaster!$B$2:$B$287)</f>
        <v>Customer_215</v>
      </c>
      <c r="S35" t="str">
        <f>_xlfn.XLOOKUP(C35,ProductMaster!$A$2:$A$51,ProductMaster!$B$2:$B$51)</f>
        <v>Product_18</v>
      </c>
      <c r="T35" t="str">
        <f>_xlfn.XLOOKUP(G35,RegionMaster!$A$2:$A$5,RegionMaster!$B$2:$B$5)</f>
        <v>A</v>
      </c>
    </row>
    <row r="36" spans="1:20" ht="15.75" customHeight="1">
      <c r="A36" s="2" t="s">
        <v>414</v>
      </c>
      <c r="B36" s="2" t="s">
        <v>272</v>
      </c>
      <c r="C36" s="2" t="s">
        <v>102</v>
      </c>
      <c r="D36" s="3">
        <v>45732</v>
      </c>
      <c r="E36" s="3">
        <v>45735</v>
      </c>
      <c r="F36" s="4"/>
      <c r="G36" s="2" t="s">
        <v>7</v>
      </c>
      <c r="H36" s="2" t="s">
        <v>54</v>
      </c>
      <c r="I36" s="2" t="s">
        <v>90</v>
      </c>
      <c r="J36" s="2" t="s">
        <v>133</v>
      </c>
      <c r="K36" s="2">
        <v>4835.03</v>
      </c>
      <c r="L36" s="2" t="str">
        <f t="shared" si="0"/>
        <v>March</v>
      </c>
      <c r="M36" s="2" t="str">
        <f t="shared" si="1"/>
        <v>March</v>
      </c>
      <c r="N36" t="str">
        <f t="shared" si="2"/>
        <v>Delivered</v>
      </c>
      <c r="O36">
        <f t="shared" si="3"/>
        <v>3</v>
      </c>
      <c r="P36" t="str">
        <f t="shared" si="4"/>
        <v>Completed</v>
      </c>
      <c r="Q36" t="str">
        <f t="shared" si="5"/>
        <v>Slow</v>
      </c>
      <c r="R36" t="str">
        <f>_xlfn.XLOOKUP(B36,CustomerMaster!$A$2:$A$287,CustomerMaster!$B$2:$B$287)</f>
        <v>Customer_50</v>
      </c>
      <c r="S36" t="str">
        <f>_xlfn.XLOOKUP(C36,ProductMaster!$A$2:$A$51,ProductMaster!$B$2:$B$51)</f>
        <v>Product_18</v>
      </c>
      <c r="T36" t="str">
        <f>_xlfn.XLOOKUP(G36,RegionMaster!$A$2:$A$5,RegionMaster!$B$2:$B$5)</f>
        <v>A</v>
      </c>
    </row>
    <row r="37" spans="1:20" ht="15.75" customHeight="1">
      <c r="A37" s="2" t="s">
        <v>424</v>
      </c>
      <c r="B37" s="2" t="s">
        <v>278</v>
      </c>
      <c r="C37" s="2" t="s">
        <v>87</v>
      </c>
      <c r="D37" s="3">
        <v>45702</v>
      </c>
      <c r="E37" s="3">
        <v>45703</v>
      </c>
      <c r="F37" s="4"/>
      <c r="G37" s="2" t="s">
        <v>17</v>
      </c>
      <c r="H37" s="2" t="s">
        <v>59</v>
      </c>
      <c r="I37" s="2" t="s">
        <v>178</v>
      </c>
      <c r="J37" s="2" t="s">
        <v>94</v>
      </c>
      <c r="K37" s="2">
        <v>4080.31</v>
      </c>
      <c r="L37" s="2" t="str">
        <f t="shared" si="0"/>
        <v>February</v>
      </c>
      <c r="M37" s="2" t="str">
        <f t="shared" si="1"/>
        <v>February</v>
      </c>
      <c r="N37" t="str">
        <f t="shared" si="2"/>
        <v>Delivered</v>
      </c>
      <c r="O37">
        <f t="shared" si="3"/>
        <v>1</v>
      </c>
      <c r="P37" t="str">
        <f t="shared" si="4"/>
        <v>Completed</v>
      </c>
      <c r="Q37" t="str">
        <f t="shared" si="5"/>
        <v>Fast</v>
      </c>
      <c r="R37" t="str">
        <f>_xlfn.XLOOKUP(B37,CustomerMaster!$A$2:$A$287,CustomerMaster!$B$2:$B$287)</f>
        <v>Customer_52</v>
      </c>
      <c r="S37" t="str">
        <f>_xlfn.XLOOKUP(C37,ProductMaster!$A$2:$A$51,ProductMaster!$B$2:$B$51)</f>
        <v>Product_15</v>
      </c>
      <c r="T37" t="str">
        <f>_xlfn.XLOOKUP(G37,RegionMaster!$A$2:$A$5,RegionMaster!$B$2:$B$5)</f>
        <v>B</v>
      </c>
    </row>
    <row r="38" spans="1:20" ht="15.75" customHeight="1">
      <c r="A38" s="2" t="s">
        <v>432</v>
      </c>
      <c r="B38" s="2" t="s">
        <v>433</v>
      </c>
      <c r="C38" s="2" t="s">
        <v>87</v>
      </c>
      <c r="D38" s="3">
        <v>45763</v>
      </c>
      <c r="E38" s="3">
        <v>45769</v>
      </c>
      <c r="F38" s="4"/>
      <c r="G38" s="2" t="s">
        <v>7</v>
      </c>
      <c r="H38" s="2" t="s">
        <v>59</v>
      </c>
      <c r="I38" s="2" t="s">
        <v>106</v>
      </c>
      <c r="J38" s="2" t="s">
        <v>107</v>
      </c>
      <c r="K38" s="2">
        <v>1662.15</v>
      </c>
      <c r="L38" s="2" t="str">
        <f t="shared" si="0"/>
        <v>April</v>
      </c>
      <c r="M38" s="2" t="str">
        <f t="shared" si="1"/>
        <v>April</v>
      </c>
      <c r="N38" t="str">
        <f t="shared" si="2"/>
        <v>Delivered</v>
      </c>
      <c r="O38">
        <f t="shared" si="3"/>
        <v>6</v>
      </c>
      <c r="P38" t="str">
        <f t="shared" si="4"/>
        <v>Completed</v>
      </c>
      <c r="Q38" t="str">
        <f t="shared" si="5"/>
        <v>Slow</v>
      </c>
      <c r="R38" t="str">
        <f>_xlfn.XLOOKUP(B38,CustomerMaster!$A$2:$A$287,CustomerMaster!$B$2:$B$287)</f>
        <v>Customer_281</v>
      </c>
      <c r="S38" t="str">
        <f>_xlfn.XLOOKUP(C38,ProductMaster!$A$2:$A$51,ProductMaster!$B$2:$B$51)</f>
        <v>Product_15</v>
      </c>
      <c r="T38" t="str">
        <f>_xlfn.XLOOKUP(G38,RegionMaster!$A$2:$A$5,RegionMaster!$B$2:$B$5)</f>
        <v>A</v>
      </c>
    </row>
    <row r="39" spans="1:20" ht="15.75" customHeight="1">
      <c r="A39" s="2" t="s">
        <v>439</v>
      </c>
      <c r="B39" s="2" t="s">
        <v>313</v>
      </c>
      <c r="C39" s="2" t="s">
        <v>101</v>
      </c>
      <c r="D39" s="3">
        <v>45699</v>
      </c>
      <c r="E39" s="4"/>
      <c r="F39" s="3">
        <v>45701</v>
      </c>
      <c r="G39" s="2" t="s">
        <v>7</v>
      </c>
      <c r="H39" s="2" t="s">
        <v>37</v>
      </c>
      <c r="I39" s="2" t="s">
        <v>90</v>
      </c>
      <c r="J39" s="2" t="s">
        <v>133</v>
      </c>
      <c r="K39" s="2">
        <v>668.83</v>
      </c>
      <c r="L39" s="2" t="str">
        <f t="shared" si="0"/>
        <v>February</v>
      </c>
      <c r="M39" s="2" t="str">
        <f t="shared" si="1"/>
        <v>Cancelled</v>
      </c>
      <c r="N39" t="str">
        <f t="shared" si="2"/>
        <v>Cancelled</v>
      </c>
      <c r="O39" t="str">
        <f t="shared" si="3"/>
        <v>Order Cancelled</v>
      </c>
      <c r="P39" t="str">
        <f t="shared" si="4"/>
        <v>Cancelled</v>
      </c>
      <c r="Q39" t="str">
        <f t="shared" si="5"/>
        <v>Cancelled</v>
      </c>
      <c r="R39" t="str">
        <f>_xlfn.XLOOKUP(B39,CustomerMaster!$A$2:$A$287,CustomerMaster!$B$2:$B$287)</f>
        <v>Customer_66</v>
      </c>
      <c r="S39" t="str">
        <f>_xlfn.XLOOKUP(C39,ProductMaster!$A$2:$A$51,ProductMaster!$B$2:$B$51)</f>
        <v>Product_27</v>
      </c>
      <c r="T39" t="str">
        <f>_xlfn.XLOOKUP(G39,RegionMaster!$A$2:$A$5,RegionMaster!$B$2:$B$5)</f>
        <v>A</v>
      </c>
    </row>
    <row r="40" spans="1:20" ht="15.75" customHeight="1">
      <c r="A40" s="2" t="s">
        <v>445</v>
      </c>
      <c r="B40" s="2" t="s">
        <v>447</v>
      </c>
      <c r="C40" s="2" t="s">
        <v>191</v>
      </c>
      <c r="D40" s="3">
        <v>45681</v>
      </c>
      <c r="E40" s="3">
        <v>45684</v>
      </c>
      <c r="F40" s="4"/>
      <c r="G40" s="2" t="s">
        <v>22</v>
      </c>
      <c r="H40" s="2" t="s">
        <v>16</v>
      </c>
      <c r="I40" s="2" t="s">
        <v>178</v>
      </c>
      <c r="J40" s="2" t="s">
        <v>133</v>
      </c>
      <c r="K40" s="2">
        <v>3484.32</v>
      </c>
      <c r="L40" s="2" t="str">
        <f t="shared" si="0"/>
        <v>January</v>
      </c>
      <c r="M40" s="2" t="str">
        <f t="shared" si="1"/>
        <v>January</v>
      </c>
      <c r="N40" t="str">
        <f t="shared" si="2"/>
        <v>Delivered</v>
      </c>
      <c r="O40">
        <f t="shared" si="3"/>
        <v>3</v>
      </c>
      <c r="P40" t="str">
        <f t="shared" si="4"/>
        <v>Completed</v>
      </c>
      <c r="Q40" t="str">
        <f t="shared" si="5"/>
        <v>Slow</v>
      </c>
      <c r="R40" t="str">
        <f>_xlfn.XLOOKUP(B40,CustomerMaster!$A$2:$A$287,CustomerMaster!$B$2:$B$287)</f>
        <v>Customer_268</v>
      </c>
      <c r="S40" t="str">
        <f>_xlfn.XLOOKUP(C40,ProductMaster!$A$2:$A$51,ProductMaster!$B$2:$B$51)</f>
        <v>Product_43</v>
      </c>
      <c r="T40" t="str">
        <f>_xlfn.XLOOKUP(G40,RegionMaster!$A$2:$A$5,RegionMaster!$B$2:$B$5)</f>
        <v>C</v>
      </c>
    </row>
    <row r="41" spans="1:20" ht="15.75" customHeight="1">
      <c r="A41" s="2" t="s">
        <v>453</v>
      </c>
      <c r="B41" s="2" t="s">
        <v>454</v>
      </c>
      <c r="C41" s="2" t="s">
        <v>173</v>
      </c>
      <c r="D41" s="3">
        <v>45732</v>
      </c>
      <c r="E41" s="3">
        <v>45737</v>
      </c>
      <c r="F41" s="4"/>
      <c r="G41" s="2" t="s">
        <v>22</v>
      </c>
      <c r="H41" s="2" t="s">
        <v>37</v>
      </c>
      <c r="I41" s="2" t="s">
        <v>178</v>
      </c>
      <c r="J41" s="2" t="s">
        <v>94</v>
      </c>
      <c r="K41" s="2">
        <v>2312.73</v>
      </c>
      <c r="L41" s="2" t="str">
        <f t="shared" si="0"/>
        <v>March</v>
      </c>
      <c r="M41" s="2" t="str">
        <f t="shared" si="1"/>
        <v>March</v>
      </c>
      <c r="N41" t="str">
        <f t="shared" si="2"/>
        <v>Delivered</v>
      </c>
      <c r="O41">
        <f t="shared" si="3"/>
        <v>5</v>
      </c>
      <c r="P41" t="str">
        <f t="shared" si="4"/>
        <v>Completed</v>
      </c>
      <c r="Q41" t="str">
        <f t="shared" si="5"/>
        <v>Slow</v>
      </c>
      <c r="R41" t="str">
        <f>_xlfn.XLOOKUP(B41,CustomerMaster!$A$2:$A$287,CustomerMaster!$B$2:$B$287)</f>
        <v>Customer_197</v>
      </c>
      <c r="S41" t="str">
        <f>_xlfn.XLOOKUP(C41,ProductMaster!$A$2:$A$51,ProductMaster!$B$2:$B$51)</f>
        <v>Product_38</v>
      </c>
      <c r="T41" t="str">
        <f>_xlfn.XLOOKUP(G41,RegionMaster!$A$2:$A$5,RegionMaster!$B$2:$B$5)</f>
        <v>C</v>
      </c>
    </row>
    <row r="42" spans="1:20" ht="15.75" customHeight="1">
      <c r="A42" s="2" t="s">
        <v>461</v>
      </c>
      <c r="B42" s="2" t="s">
        <v>371</v>
      </c>
      <c r="C42" s="2" t="s">
        <v>164</v>
      </c>
      <c r="D42" s="3">
        <v>45666</v>
      </c>
      <c r="E42" s="3">
        <v>45670</v>
      </c>
      <c r="F42" s="4"/>
      <c r="G42" s="2" t="s">
        <v>45</v>
      </c>
      <c r="H42" s="2" t="s">
        <v>27</v>
      </c>
      <c r="I42" s="2" t="s">
        <v>106</v>
      </c>
      <c r="J42" s="2" t="s">
        <v>107</v>
      </c>
      <c r="K42" s="2">
        <v>785.78</v>
      </c>
      <c r="L42" s="2" t="str">
        <f t="shared" si="0"/>
        <v>January</v>
      </c>
      <c r="M42" s="2" t="str">
        <f t="shared" si="1"/>
        <v>January</v>
      </c>
      <c r="N42" t="str">
        <f t="shared" si="2"/>
        <v>Delivered</v>
      </c>
      <c r="O42">
        <f t="shared" si="3"/>
        <v>4</v>
      </c>
      <c r="P42" t="str">
        <f t="shared" si="4"/>
        <v>Completed</v>
      </c>
      <c r="Q42" t="str">
        <f t="shared" si="5"/>
        <v>Slow</v>
      </c>
      <c r="R42" t="str">
        <f>_xlfn.XLOOKUP(B42,CustomerMaster!$A$2:$A$287,CustomerMaster!$B$2:$B$287)</f>
        <v>Customer_93</v>
      </c>
      <c r="S42" t="str">
        <f>_xlfn.XLOOKUP(C42,ProductMaster!$A$2:$A$51,ProductMaster!$B$2:$B$51)</f>
        <v>Product_36</v>
      </c>
      <c r="T42" t="str">
        <f>_xlfn.XLOOKUP(G42,RegionMaster!$A$2:$A$5,RegionMaster!$B$2:$B$5)</f>
        <v>D</v>
      </c>
    </row>
    <row r="43" spans="1:20" ht="15.75" customHeight="1">
      <c r="A43" s="2" t="s">
        <v>468</v>
      </c>
      <c r="B43" s="2" t="s">
        <v>272</v>
      </c>
      <c r="C43" s="2" t="s">
        <v>148</v>
      </c>
      <c r="D43" s="3">
        <v>45757</v>
      </c>
      <c r="E43" s="4"/>
      <c r="F43" s="3">
        <v>45759</v>
      </c>
      <c r="G43" s="2" t="s">
        <v>22</v>
      </c>
      <c r="H43" s="2" t="s">
        <v>27</v>
      </c>
      <c r="I43" s="2" t="s">
        <v>90</v>
      </c>
      <c r="J43" s="2" t="s">
        <v>94</v>
      </c>
      <c r="K43" s="2">
        <v>2576.85</v>
      </c>
      <c r="L43" s="2" t="str">
        <f t="shared" si="0"/>
        <v>April</v>
      </c>
      <c r="M43" s="2" t="str">
        <f t="shared" si="1"/>
        <v>Cancelled</v>
      </c>
      <c r="N43" t="str">
        <f t="shared" si="2"/>
        <v>Cancelled</v>
      </c>
      <c r="O43" t="str">
        <f t="shared" si="3"/>
        <v>Order Cancelled</v>
      </c>
      <c r="P43" t="str">
        <f t="shared" si="4"/>
        <v>Cancelled</v>
      </c>
      <c r="Q43" t="str">
        <f t="shared" si="5"/>
        <v>Cancelled</v>
      </c>
      <c r="R43" t="str">
        <f>_xlfn.XLOOKUP(B43,CustomerMaster!$A$2:$A$287,CustomerMaster!$B$2:$B$287)</f>
        <v>Customer_50</v>
      </c>
      <c r="S43" t="str">
        <f>_xlfn.XLOOKUP(C43,ProductMaster!$A$2:$A$51,ProductMaster!$B$2:$B$51)</f>
        <v>Product_31</v>
      </c>
      <c r="T43" t="str">
        <f>_xlfn.XLOOKUP(G43,RegionMaster!$A$2:$A$5,RegionMaster!$B$2:$B$5)</f>
        <v>C</v>
      </c>
    </row>
    <row r="44" spans="1:20" ht="15.75" customHeight="1">
      <c r="A44" s="2" t="s">
        <v>475</v>
      </c>
      <c r="B44" s="2" t="s">
        <v>476</v>
      </c>
      <c r="C44" s="2" t="s">
        <v>87</v>
      </c>
      <c r="D44" s="3">
        <v>45758</v>
      </c>
      <c r="E44" s="3">
        <v>45760</v>
      </c>
      <c r="F44" s="4"/>
      <c r="G44" s="2" t="s">
        <v>45</v>
      </c>
      <c r="H44" s="2" t="s">
        <v>37</v>
      </c>
      <c r="I44" s="2" t="s">
        <v>195</v>
      </c>
      <c r="J44" s="2" t="s">
        <v>133</v>
      </c>
      <c r="K44" s="2">
        <v>365.06</v>
      </c>
      <c r="L44" s="2" t="str">
        <f t="shared" si="0"/>
        <v>April</v>
      </c>
      <c r="M44" s="2" t="str">
        <f t="shared" si="1"/>
        <v>April</v>
      </c>
      <c r="N44" t="str">
        <f t="shared" si="2"/>
        <v>Delivered</v>
      </c>
      <c r="O44">
        <f t="shared" si="3"/>
        <v>2</v>
      </c>
      <c r="P44" t="str">
        <f t="shared" si="4"/>
        <v>Completed</v>
      </c>
      <c r="Q44" t="str">
        <f t="shared" si="5"/>
        <v>Fast</v>
      </c>
      <c r="R44" t="str">
        <f>_xlfn.XLOOKUP(B44,CustomerMaster!$A$2:$A$287,CustomerMaster!$B$2:$B$287)</f>
        <v>Customer_170</v>
      </c>
      <c r="S44" t="str">
        <f>_xlfn.XLOOKUP(C44,ProductMaster!$A$2:$A$51,ProductMaster!$B$2:$B$51)</f>
        <v>Product_15</v>
      </c>
      <c r="T44" t="str">
        <f>_xlfn.XLOOKUP(G44,RegionMaster!$A$2:$A$5,RegionMaster!$B$2:$B$5)</f>
        <v>D</v>
      </c>
    </row>
    <row r="45" spans="1:20" ht="15.75" customHeight="1">
      <c r="A45" s="2" t="s">
        <v>482</v>
      </c>
      <c r="B45" s="2" t="s">
        <v>326</v>
      </c>
      <c r="C45" s="2" t="s">
        <v>39</v>
      </c>
      <c r="D45" s="3">
        <v>45699</v>
      </c>
      <c r="E45" s="3">
        <v>45701</v>
      </c>
      <c r="F45" s="4"/>
      <c r="G45" s="2" t="s">
        <v>22</v>
      </c>
      <c r="H45" s="2" t="s">
        <v>37</v>
      </c>
      <c r="I45" s="2" t="s">
        <v>106</v>
      </c>
      <c r="J45" s="2" t="s">
        <v>107</v>
      </c>
      <c r="K45" s="2">
        <v>4564.74</v>
      </c>
      <c r="L45" s="2" t="str">
        <f t="shared" si="0"/>
        <v>February</v>
      </c>
      <c r="M45" s="2" t="str">
        <f t="shared" si="1"/>
        <v>February</v>
      </c>
      <c r="N45" t="str">
        <f t="shared" si="2"/>
        <v>Delivered</v>
      </c>
      <c r="O45">
        <f t="shared" si="3"/>
        <v>2</v>
      </c>
      <c r="P45" t="str">
        <f t="shared" si="4"/>
        <v>Completed</v>
      </c>
      <c r="Q45" t="str">
        <f t="shared" si="5"/>
        <v>Fast</v>
      </c>
      <c r="R45" t="str">
        <f>_xlfn.XLOOKUP(B45,CustomerMaster!$A$2:$A$287,CustomerMaster!$B$2:$B$287)</f>
        <v>Customer_72</v>
      </c>
      <c r="S45" t="str">
        <f>_xlfn.XLOOKUP(C45,ProductMaster!$A$2:$A$51,ProductMaster!$B$2:$B$51)</f>
        <v>Product_4</v>
      </c>
      <c r="T45" t="str">
        <f>_xlfn.XLOOKUP(G45,RegionMaster!$A$2:$A$5,RegionMaster!$B$2:$B$5)</f>
        <v>C</v>
      </c>
    </row>
    <row r="46" spans="1:20" ht="15.75" customHeight="1">
      <c r="A46" s="2" t="s">
        <v>488</v>
      </c>
      <c r="B46" s="2" t="s">
        <v>466</v>
      </c>
      <c r="C46" s="2" t="s">
        <v>29</v>
      </c>
      <c r="D46" s="3">
        <v>45682</v>
      </c>
      <c r="E46" s="3">
        <v>45687</v>
      </c>
      <c r="F46" s="4"/>
      <c r="G46" s="2" t="s">
        <v>7</v>
      </c>
      <c r="H46" s="2" t="s">
        <v>54</v>
      </c>
      <c r="I46" s="2" t="s">
        <v>106</v>
      </c>
      <c r="J46" s="2" t="s">
        <v>94</v>
      </c>
      <c r="K46" s="2">
        <v>1442.14</v>
      </c>
      <c r="L46" s="2" t="str">
        <f t="shared" si="0"/>
        <v>January</v>
      </c>
      <c r="M46" s="2" t="str">
        <f t="shared" si="1"/>
        <v>January</v>
      </c>
      <c r="N46" t="str">
        <f t="shared" si="2"/>
        <v>Delivered</v>
      </c>
      <c r="O46">
        <f t="shared" si="3"/>
        <v>5</v>
      </c>
      <c r="P46" t="str">
        <f t="shared" si="4"/>
        <v>Completed</v>
      </c>
      <c r="Q46" t="str">
        <f t="shared" si="5"/>
        <v>Slow</v>
      </c>
      <c r="R46" t="str">
        <f>_xlfn.XLOOKUP(B46,CustomerMaster!$A$2:$A$287,CustomerMaster!$B$2:$B$287)</f>
        <v>Customer_132</v>
      </c>
      <c r="S46" t="str">
        <f>_xlfn.XLOOKUP(C46,ProductMaster!$A$2:$A$51,ProductMaster!$B$2:$B$51)</f>
        <v>Product_2</v>
      </c>
      <c r="T46" t="str">
        <f>_xlfn.XLOOKUP(G46,RegionMaster!$A$2:$A$5,RegionMaster!$B$2:$B$5)</f>
        <v>A</v>
      </c>
    </row>
    <row r="47" spans="1:20" ht="15.75" customHeight="1">
      <c r="A47" s="2" t="s">
        <v>493</v>
      </c>
      <c r="B47" s="2" t="s">
        <v>166</v>
      </c>
      <c r="C47" s="2" t="s">
        <v>63</v>
      </c>
      <c r="D47" s="3">
        <v>45680</v>
      </c>
      <c r="E47" s="4"/>
      <c r="F47" s="3">
        <v>45682</v>
      </c>
      <c r="G47" s="2" t="s">
        <v>17</v>
      </c>
      <c r="H47" s="2" t="s">
        <v>16</v>
      </c>
      <c r="I47" s="2" t="s">
        <v>90</v>
      </c>
      <c r="J47" s="2" t="s">
        <v>94</v>
      </c>
      <c r="K47" s="2">
        <v>3380.11</v>
      </c>
      <c r="L47" s="2" t="str">
        <f t="shared" si="0"/>
        <v>January</v>
      </c>
      <c r="M47" s="2" t="str">
        <f t="shared" si="1"/>
        <v>Cancelled</v>
      </c>
      <c r="N47" t="str">
        <f t="shared" si="2"/>
        <v>Cancelled</v>
      </c>
      <c r="O47" t="str">
        <f t="shared" si="3"/>
        <v>Order Cancelled</v>
      </c>
      <c r="P47" t="str">
        <f t="shared" si="4"/>
        <v>Cancelled</v>
      </c>
      <c r="Q47" t="str">
        <f t="shared" si="5"/>
        <v>Cancelled</v>
      </c>
      <c r="R47" t="str">
        <f>_xlfn.XLOOKUP(B47,CustomerMaster!$A$2:$A$287,CustomerMaster!$B$2:$B$287)</f>
        <v>Customer_21</v>
      </c>
      <c r="S47" t="str">
        <f>_xlfn.XLOOKUP(C47,ProductMaster!$A$2:$A$51,ProductMaster!$B$2:$B$51)</f>
        <v>Product_8</v>
      </c>
      <c r="T47" t="str">
        <f>_xlfn.XLOOKUP(G47,RegionMaster!$A$2:$A$5,RegionMaster!$B$2:$B$5)</f>
        <v>B</v>
      </c>
    </row>
    <row r="48" spans="1:20" ht="15.75" customHeight="1">
      <c r="A48" s="2" t="s">
        <v>498</v>
      </c>
      <c r="B48" s="2" t="s">
        <v>500</v>
      </c>
      <c r="C48" s="2" t="s">
        <v>204</v>
      </c>
      <c r="D48" s="3">
        <v>45752</v>
      </c>
      <c r="E48" s="3">
        <v>45756</v>
      </c>
      <c r="F48" s="4"/>
      <c r="G48" s="2" t="s">
        <v>7</v>
      </c>
      <c r="H48" s="2" t="s">
        <v>16</v>
      </c>
      <c r="I48" s="2" t="s">
        <v>90</v>
      </c>
      <c r="J48" s="2" t="s">
        <v>133</v>
      </c>
      <c r="K48" s="2">
        <v>1696.21</v>
      </c>
      <c r="L48" s="2" t="str">
        <f t="shared" si="0"/>
        <v>April</v>
      </c>
      <c r="M48" s="2" t="str">
        <f t="shared" si="1"/>
        <v>April</v>
      </c>
      <c r="N48" t="str">
        <f t="shared" si="2"/>
        <v>Delivered</v>
      </c>
      <c r="O48">
        <f t="shared" si="3"/>
        <v>4</v>
      </c>
      <c r="P48" t="str">
        <f t="shared" si="4"/>
        <v>Completed</v>
      </c>
      <c r="Q48" t="str">
        <f t="shared" si="5"/>
        <v>Slow</v>
      </c>
      <c r="R48" t="str">
        <f>_xlfn.XLOOKUP(B48,CustomerMaster!$A$2:$A$287,CustomerMaster!$B$2:$B$287)</f>
        <v>Customer_214</v>
      </c>
      <c r="S48" t="str">
        <f>_xlfn.XLOOKUP(C48,ProductMaster!$A$2:$A$51,ProductMaster!$B$2:$B$51)</f>
        <v>Product_46</v>
      </c>
      <c r="T48" t="str">
        <f>_xlfn.XLOOKUP(G48,RegionMaster!$A$2:$A$5,RegionMaster!$B$2:$B$5)</f>
        <v>A</v>
      </c>
    </row>
    <row r="49" spans="1:20" ht="15.75" customHeight="1">
      <c r="A49" s="2" t="s">
        <v>506</v>
      </c>
      <c r="B49" s="2" t="s">
        <v>507</v>
      </c>
      <c r="C49" s="2" t="s">
        <v>87</v>
      </c>
      <c r="D49" s="3">
        <v>45751</v>
      </c>
      <c r="E49" s="3">
        <v>45753</v>
      </c>
      <c r="F49" s="4"/>
      <c r="G49" s="2" t="s">
        <v>17</v>
      </c>
      <c r="H49" s="2" t="s">
        <v>37</v>
      </c>
      <c r="I49" s="2" t="s">
        <v>195</v>
      </c>
      <c r="J49" s="2" t="s">
        <v>133</v>
      </c>
      <c r="K49" s="2">
        <v>2696.33</v>
      </c>
      <c r="L49" s="2" t="str">
        <f t="shared" si="0"/>
        <v>April</v>
      </c>
      <c r="M49" s="2" t="str">
        <f t="shared" si="1"/>
        <v>April</v>
      </c>
      <c r="N49" t="str">
        <f t="shared" si="2"/>
        <v>Delivered</v>
      </c>
      <c r="O49">
        <f t="shared" si="3"/>
        <v>2</v>
      </c>
      <c r="P49" t="str">
        <f t="shared" si="4"/>
        <v>Completed</v>
      </c>
      <c r="Q49" t="str">
        <f t="shared" si="5"/>
        <v>Fast</v>
      </c>
      <c r="R49" t="str">
        <f>_xlfn.XLOOKUP(B49,CustomerMaster!$A$2:$A$287,CustomerMaster!$B$2:$B$287)</f>
        <v>Customer_269</v>
      </c>
      <c r="S49" t="str">
        <f>_xlfn.XLOOKUP(C49,ProductMaster!$A$2:$A$51,ProductMaster!$B$2:$B$51)</f>
        <v>Product_15</v>
      </c>
      <c r="T49" t="str">
        <f>_xlfn.XLOOKUP(G49,RegionMaster!$A$2:$A$5,RegionMaster!$B$2:$B$5)</f>
        <v>B</v>
      </c>
    </row>
    <row r="50" spans="1:20" ht="15.75" customHeight="1">
      <c r="A50" s="2" t="s">
        <v>513</v>
      </c>
      <c r="B50" s="2" t="s">
        <v>31</v>
      </c>
      <c r="C50" s="2" t="s">
        <v>162</v>
      </c>
      <c r="D50" s="3">
        <v>45717</v>
      </c>
      <c r="E50" s="3">
        <v>45720</v>
      </c>
      <c r="F50" s="4"/>
      <c r="G50" s="2" t="s">
        <v>22</v>
      </c>
      <c r="H50" s="2" t="s">
        <v>27</v>
      </c>
      <c r="I50" s="2" t="s">
        <v>121</v>
      </c>
      <c r="J50" s="2" t="s">
        <v>133</v>
      </c>
      <c r="K50" s="2">
        <v>2824.21</v>
      </c>
      <c r="L50" s="2" t="str">
        <f t="shared" si="0"/>
        <v>March</v>
      </c>
      <c r="M50" s="2" t="str">
        <f t="shared" si="1"/>
        <v>March</v>
      </c>
      <c r="N50" t="str">
        <f t="shared" si="2"/>
        <v>Delivered</v>
      </c>
      <c r="O50">
        <f t="shared" si="3"/>
        <v>3</v>
      </c>
      <c r="P50" t="str">
        <f t="shared" si="4"/>
        <v>Completed</v>
      </c>
      <c r="Q50" t="str">
        <f t="shared" si="5"/>
        <v>Slow</v>
      </c>
      <c r="R50" t="str">
        <f>_xlfn.XLOOKUP(B50,CustomerMaster!$A$2:$A$287,CustomerMaster!$B$2:$B$287)</f>
        <v>Customer_2</v>
      </c>
      <c r="S50" t="str">
        <f>_xlfn.XLOOKUP(C50,ProductMaster!$A$2:$A$51,ProductMaster!$B$2:$B$51)</f>
        <v>Product_35</v>
      </c>
      <c r="T50" t="str">
        <f>_xlfn.XLOOKUP(G50,RegionMaster!$A$2:$A$5,RegionMaster!$B$2:$B$5)</f>
        <v>C</v>
      </c>
    </row>
    <row r="51" spans="1:20" ht="15.75" customHeight="1">
      <c r="A51" s="2" t="s">
        <v>519</v>
      </c>
      <c r="B51" s="2" t="s">
        <v>270</v>
      </c>
      <c r="C51" s="2" t="s">
        <v>122</v>
      </c>
      <c r="D51" s="3">
        <v>45729</v>
      </c>
      <c r="E51" s="3">
        <v>45731</v>
      </c>
      <c r="F51" s="4"/>
      <c r="G51" s="2" t="s">
        <v>17</v>
      </c>
      <c r="H51" s="2" t="s">
        <v>59</v>
      </c>
      <c r="I51" s="2" t="s">
        <v>121</v>
      </c>
      <c r="J51" s="2" t="s">
        <v>107</v>
      </c>
      <c r="K51" s="2">
        <v>1087.3</v>
      </c>
      <c r="L51" s="2" t="str">
        <f t="shared" si="0"/>
        <v>March</v>
      </c>
      <c r="M51" s="2" t="str">
        <f t="shared" si="1"/>
        <v>March</v>
      </c>
      <c r="N51" t="str">
        <f t="shared" si="2"/>
        <v>Delivered</v>
      </c>
      <c r="O51">
        <f t="shared" si="3"/>
        <v>2</v>
      </c>
      <c r="P51" t="str">
        <f t="shared" si="4"/>
        <v>Completed</v>
      </c>
      <c r="Q51" t="str">
        <f t="shared" si="5"/>
        <v>Fast</v>
      </c>
      <c r="R51" t="str">
        <f>_xlfn.XLOOKUP(B51,CustomerMaster!$A$2:$A$287,CustomerMaster!$B$2:$B$287)</f>
        <v>Customer_49</v>
      </c>
      <c r="S51" t="str">
        <f>_xlfn.XLOOKUP(C51,ProductMaster!$A$2:$A$51,ProductMaster!$B$2:$B$51)</f>
        <v>Product_23</v>
      </c>
      <c r="T51" t="str">
        <f>_xlfn.XLOOKUP(G51,RegionMaster!$A$2:$A$5,RegionMaster!$B$2:$B$5)</f>
        <v>B</v>
      </c>
    </row>
    <row r="52" spans="1:20" ht="15.75" customHeight="1">
      <c r="A52" s="2" t="s">
        <v>522</v>
      </c>
      <c r="B52" s="2" t="s">
        <v>523</v>
      </c>
      <c r="C52" s="2" t="s">
        <v>204</v>
      </c>
      <c r="D52" s="3">
        <v>45664</v>
      </c>
      <c r="E52" s="3">
        <v>45667</v>
      </c>
      <c r="F52" s="4"/>
      <c r="G52" s="2" t="s">
        <v>7</v>
      </c>
      <c r="H52" s="2" t="s">
        <v>27</v>
      </c>
      <c r="I52" s="2" t="s">
        <v>195</v>
      </c>
      <c r="J52" s="2" t="s">
        <v>107</v>
      </c>
      <c r="K52" s="2">
        <v>4854.01</v>
      </c>
      <c r="L52" s="2" t="str">
        <f t="shared" si="0"/>
        <v>January</v>
      </c>
      <c r="M52" s="2" t="str">
        <f t="shared" si="1"/>
        <v>January</v>
      </c>
      <c r="N52" t="str">
        <f t="shared" si="2"/>
        <v>Delivered</v>
      </c>
      <c r="O52">
        <f t="shared" si="3"/>
        <v>3</v>
      </c>
      <c r="P52" t="str">
        <f t="shared" si="4"/>
        <v>Completed</v>
      </c>
      <c r="Q52" t="str">
        <f t="shared" si="5"/>
        <v>Slow</v>
      </c>
      <c r="R52" t="str">
        <f>_xlfn.XLOOKUP(B52,CustomerMaster!$A$2:$A$287,CustomerMaster!$B$2:$B$287)</f>
        <v>Customer_229</v>
      </c>
      <c r="S52" t="str">
        <f>_xlfn.XLOOKUP(C52,ProductMaster!$A$2:$A$51,ProductMaster!$B$2:$B$51)</f>
        <v>Product_46</v>
      </c>
      <c r="T52" t="str">
        <f>_xlfn.XLOOKUP(G52,RegionMaster!$A$2:$A$5,RegionMaster!$B$2:$B$5)</f>
        <v>A</v>
      </c>
    </row>
    <row r="53" spans="1:20" ht="15.75" customHeight="1">
      <c r="A53" s="2" t="s">
        <v>526</v>
      </c>
      <c r="B53" s="2" t="s">
        <v>473</v>
      </c>
      <c r="C53" s="2" t="s">
        <v>128</v>
      </c>
      <c r="D53" s="3">
        <v>45699</v>
      </c>
      <c r="E53" s="3">
        <v>45700</v>
      </c>
      <c r="F53" s="4"/>
      <c r="G53" s="2" t="s">
        <v>7</v>
      </c>
      <c r="H53" s="2" t="s">
        <v>16</v>
      </c>
      <c r="I53" s="2" t="s">
        <v>121</v>
      </c>
      <c r="J53" s="2" t="s">
        <v>133</v>
      </c>
      <c r="K53" s="2">
        <v>3920.64</v>
      </c>
      <c r="L53" s="2" t="str">
        <f t="shared" si="0"/>
        <v>February</v>
      </c>
      <c r="M53" s="2" t="str">
        <f t="shared" si="1"/>
        <v>February</v>
      </c>
      <c r="N53" t="str">
        <f t="shared" si="2"/>
        <v>Delivered</v>
      </c>
      <c r="O53">
        <f t="shared" si="3"/>
        <v>1</v>
      </c>
      <c r="P53" t="str">
        <f t="shared" si="4"/>
        <v>Completed</v>
      </c>
      <c r="Q53" t="str">
        <f t="shared" si="5"/>
        <v>Fast</v>
      </c>
      <c r="R53" t="str">
        <f>_xlfn.XLOOKUP(B53,CustomerMaster!$A$2:$A$287,CustomerMaster!$B$2:$B$287)</f>
        <v>Customer_135</v>
      </c>
      <c r="S53" t="str">
        <f>_xlfn.XLOOKUP(C53,ProductMaster!$A$2:$A$51,ProductMaster!$B$2:$B$51)</f>
        <v>Product_25</v>
      </c>
      <c r="T53" t="str">
        <f>_xlfn.XLOOKUP(G53,RegionMaster!$A$2:$A$5,RegionMaster!$B$2:$B$5)</f>
        <v>A</v>
      </c>
    </row>
    <row r="54" spans="1:20" ht="15.75" customHeight="1">
      <c r="A54" s="2" t="s">
        <v>532</v>
      </c>
      <c r="B54" s="2" t="s">
        <v>533</v>
      </c>
      <c r="C54" s="2" t="s">
        <v>162</v>
      </c>
      <c r="D54" s="3">
        <v>45688</v>
      </c>
      <c r="E54" s="3">
        <v>45692</v>
      </c>
      <c r="F54" s="4"/>
      <c r="G54" s="2" t="s">
        <v>17</v>
      </c>
      <c r="H54" s="2" t="s">
        <v>59</v>
      </c>
      <c r="I54" s="2" t="s">
        <v>178</v>
      </c>
      <c r="J54" s="2" t="s">
        <v>94</v>
      </c>
      <c r="K54" s="2">
        <v>4709.59</v>
      </c>
      <c r="L54" s="2" t="str">
        <f t="shared" si="0"/>
        <v>January</v>
      </c>
      <c r="M54" s="2" t="str">
        <f t="shared" si="1"/>
        <v>February</v>
      </c>
      <c r="N54" t="str">
        <f t="shared" si="2"/>
        <v>Delivered</v>
      </c>
      <c r="O54">
        <f t="shared" si="3"/>
        <v>4</v>
      </c>
      <c r="P54" t="str">
        <f t="shared" si="4"/>
        <v>Completed</v>
      </c>
      <c r="Q54" t="str">
        <f t="shared" si="5"/>
        <v>Slow</v>
      </c>
      <c r="R54" t="str">
        <f>_xlfn.XLOOKUP(B54,CustomerMaster!$A$2:$A$287,CustomerMaster!$B$2:$B$287)</f>
        <v>Customer_262</v>
      </c>
      <c r="S54" t="str">
        <f>_xlfn.XLOOKUP(C54,ProductMaster!$A$2:$A$51,ProductMaster!$B$2:$B$51)</f>
        <v>Product_35</v>
      </c>
      <c r="T54" t="str">
        <f>_xlfn.XLOOKUP(G54,RegionMaster!$A$2:$A$5,RegionMaster!$B$2:$B$5)</f>
        <v>B</v>
      </c>
    </row>
    <row r="55" spans="1:20" ht="15.75" customHeight="1">
      <c r="A55" s="2" t="s">
        <v>539</v>
      </c>
      <c r="B55" s="2" t="s">
        <v>541</v>
      </c>
      <c r="C55" s="2" t="s">
        <v>69</v>
      </c>
      <c r="D55" s="3">
        <v>45771</v>
      </c>
      <c r="E55" s="4"/>
      <c r="F55" s="3">
        <v>45772</v>
      </c>
      <c r="G55" s="2" t="s">
        <v>22</v>
      </c>
      <c r="H55" s="2" t="s">
        <v>37</v>
      </c>
      <c r="I55" s="2" t="s">
        <v>90</v>
      </c>
      <c r="J55" s="2" t="s">
        <v>133</v>
      </c>
      <c r="K55" s="2">
        <v>4495.17</v>
      </c>
      <c r="L55" s="2" t="str">
        <f t="shared" si="0"/>
        <v>April</v>
      </c>
      <c r="M55" s="2" t="str">
        <f t="shared" si="1"/>
        <v>Cancelled</v>
      </c>
      <c r="N55" t="str">
        <f t="shared" si="2"/>
        <v>Cancelled</v>
      </c>
      <c r="O55" t="str">
        <f t="shared" si="3"/>
        <v>Order Cancelled</v>
      </c>
      <c r="P55" t="str">
        <f t="shared" si="4"/>
        <v>Cancelled</v>
      </c>
      <c r="Q55" t="str">
        <f t="shared" si="5"/>
        <v>Cancelled</v>
      </c>
      <c r="R55" t="str">
        <f>_xlfn.XLOOKUP(B55,CustomerMaster!$A$2:$A$287,CustomerMaster!$B$2:$B$287)</f>
        <v>Customer_169</v>
      </c>
      <c r="S55" t="str">
        <f>_xlfn.XLOOKUP(C55,ProductMaster!$A$2:$A$51,ProductMaster!$B$2:$B$51)</f>
        <v>Product_9</v>
      </c>
      <c r="T55" t="str">
        <f>_xlfn.XLOOKUP(G55,RegionMaster!$A$2:$A$5,RegionMaster!$B$2:$B$5)</f>
        <v>C</v>
      </c>
    </row>
    <row r="56" spans="1:20" ht="15.75" customHeight="1">
      <c r="A56" s="2" t="s">
        <v>546</v>
      </c>
      <c r="B56" s="2" t="s">
        <v>246</v>
      </c>
      <c r="C56" s="2" t="s">
        <v>102</v>
      </c>
      <c r="D56" s="3">
        <v>45689</v>
      </c>
      <c r="E56" s="3">
        <v>45694</v>
      </c>
      <c r="F56" s="4"/>
      <c r="G56" s="2" t="s">
        <v>22</v>
      </c>
      <c r="H56" s="2" t="s">
        <v>59</v>
      </c>
      <c r="I56" s="2" t="s">
        <v>121</v>
      </c>
      <c r="J56" s="2" t="s">
        <v>94</v>
      </c>
      <c r="K56" s="2">
        <v>3069.92</v>
      </c>
      <c r="L56" s="2" t="str">
        <f t="shared" si="0"/>
        <v>February</v>
      </c>
      <c r="M56" s="2" t="str">
        <f t="shared" si="1"/>
        <v>February</v>
      </c>
      <c r="N56" t="str">
        <f t="shared" si="2"/>
        <v>Delivered</v>
      </c>
      <c r="O56">
        <f t="shared" si="3"/>
        <v>5</v>
      </c>
      <c r="P56" t="str">
        <f t="shared" si="4"/>
        <v>Completed</v>
      </c>
      <c r="Q56" t="str">
        <f t="shared" si="5"/>
        <v>Slow</v>
      </c>
      <c r="R56" t="str">
        <f>_xlfn.XLOOKUP(B56,CustomerMaster!$A$2:$A$287,CustomerMaster!$B$2:$B$287)</f>
        <v>Customer_61</v>
      </c>
      <c r="S56" t="str">
        <f>_xlfn.XLOOKUP(C56,ProductMaster!$A$2:$A$51,ProductMaster!$B$2:$B$51)</f>
        <v>Product_18</v>
      </c>
      <c r="T56" t="str">
        <f>_xlfn.XLOOKUP(G56,RegionMaster!$A$2:$A$5,RegionMaster!$B$2:$B$5)</f>
        <v>C</v>
      </c>
    </row>
    <row r="57" spans="1:20" ht="15.75" customHeight="1">
      <c r="A57" s="2" t="s">
        <v>553</v>
      </c>
      <c r="B57" s="2" t="s">
        <v>451</v>
      </c>
      <c r="C57" s="2" t="s">
        <v>183</v>
      </c>
      <c r="D57" s="3">
        <v>45663</v>
      </c>
      <c r="E57" s="3">
        <v>45666</v>
      </c>
      <c r="F57" s="4"/>
      <c r="G57" s="2" t="s">
        <v>7</v>
      </c>
      <c r="H57" s="2" t="s">
        <v>37</v>
      </c>
      <c r="I57" s="2" t="s">
        <v>195</v>
      </c>
      <c r="J57" s="2" t="s">
        <v>107</v>
      </c>
      <c r="K57" s="2">
        <v>4625</v>
      </c>
      <c r="L57" s="2" t="str">
        <f t="shared" si="0"/>
        <v>January</v>
      </c>
      <c r="M57" s="2" t="str">
        <f t="shared" si="1"/>
        <v>January</v>
      </c>
      <c r="N57" t="str">
        <f t="shared" si="2"/>
        <v>Delivered</v>
      </c>
      <c r="O57">
        <f t="shared" si="3"/>
        <v>3</v>
      </c>
      <c r="P57" t="str">
        <f t="shared" si="4"/>
        <v>Completed</v>
      </c>
      <c r="Q57" t="str">
        <f t="shared" si="5"/>
        <v>Slow</v>
      </c>
      <c r="R57" t="str">
        <f>_xlfn.XLOOKUP(B57,CustomerMaster!$A$2:$A$287,CustomerMaster!$B$2:$B$287)</f>
        <v>Customer_126</v>
      </c>
      <c r="S57" t="str">
        <f>_xlfn.XLOOKUP(C57,ProductMaster!$A$2:$A$51,ProductMaster!$B$2:$B$51)</f>
        <v>Product_41</v>
      </c>
      <c r="T57" t="str">
        <f>_xlfn.XLOOKUP(G57,RegionMaster!$A$2:$A$5,RegionMaster!$B$2:$B$5)</f>
        <v>A</v>
      </c>
    </row>
    <row r="58" spans="1:20" ht="15.75" customHeight="1">
      <c r="A58" s="2" t="s">
        <v>559</v>
      </c>
      <c r="B58" s="2" t="s">
        <v>353</v>
      </c>
      <c r="C58" s="2" t="s">
        <v>153</v>
      </c>
      <c r="D58" s="3">
        <v>45771</v>
      </c>
      <c r="E58" s="3">
        <v>45775</v>
      </c>
      <c r="F58" s="4"/>
      <c r="G58" s="2" t="s">
        <v>17</v>
      </c>
      <c r="H58" s="2" t="s">
        <v>27</v>
      </c>
      <c r="I58" s="2" t="s">
        <v>121</v>
      </c>
      <c r="J58" s="2" t="s">
        <v>94</v>
      </c>
      <c r="K58" s="2">
        <v>624.76</v>
      </c>
      <c r="L58" s="2" t="str">
        <f t="shared" si="0"/>
        <v>April</v>
      </c>
      <c r="M58" s="2" t="str">
        <f t="shared" si="1"/>
        <v>April</v>
      </c>
      <c r="N58" t="str">
        <f t="shared" si="2"/>
        <v>Delivered</v>
      </c>
      <c r="O58">
        <f t="shared" si="3"/>
        <v>4</v>
      </c>
      <c r="P58" t="str">
        <f t="shared" si="4"/>
        <v>Completed</v>
      </c>
      <c r="Q58" t="str">
        <f t="shared" si="5"/>
        <v>Slow</v>
      </c>
      <c r="R58" t="str">
        <f>_xlfn.XLOOKUP(B58,CustomerMaster!$A$2:$A$287,CustomerMaster!$B$2:$B$287)</f>
        <v>Customer_84</v>
      </c>
      <c r="S58" t="str">
        <f>_xlfn.XLOOKUP(C58,ProductMaster!$A$2:$A$51,ProductMaster!$B$2:$B$51)</f>
        <v>Product_32</v>
      </c>
      <c r="T58" t="str">
        <f>_xlfn.XLOOKUP(G58,RegionMaster!$A$2:$A$5,RegionMaster!$B$2:$B$5)</f>
        <v>B</v>
      </c>
    </row>
    <row r="59" spans="1:20" ht="15.75" customHeight="1">
      <c r="A59" s="2" t="s">
        <v>568</v>
      </c>
      <c r="B59" s="2" t="s">
        <v>446</v>
      </c>
      <c r="C59" s="2" t="s">
        <v>162</v>
      </c>
      <c r="D59" s="3">
        <v>45664</v>
      </c>
      <c r="E59" s="3">
        <v>45666</v>
      </c>
      <c r="F59" s="4"/>
      <c r="G59" s="2" t="s">
        <v>45</v>
      </c>
      <c r="H59" s="2" t="s">
        <v>27</v>
      </c>
      <c r="I59" s="2" t="s">
        <v>178</v>
      </c>
      <c r="J59" s="2" t="s">
        <v>107</v>
      </c>
      <c r="K59" s="2">
        <v>1140.72</v>
      </c>
      <c r="L59" s="2" t="str">
        <f t="shared" si="0"/>
        <v>January</v>
      </c>
      <c r="M59" s="2" t="str">
        <f t="shared" si="1"/>
        <v>January</v>
      </c>
      <c r="N59" t="str">
        <f t="shared" si="2"/>
        <v>Delivered</v>
      </c>
      <c r="O59">
        <f t="shared" si="3"/>
        <v>2</v>
      </c>
      <c r="P59" t="str">
        <f t="shared" si="4"/>
        <v>Completed</v>
      </c>
      <c r="Q59" t="str">
        <f t="shared" si="5"/>
        <v>Fast</v>
      </c>
      <c r="R59" t="str">
        <f>_xlfn.XLOOKUP(B59,CustomerMaster!$A$2:$A$287,CustomerMaster!$B$2:$B$287)</f>
        <v>Customer_124</v>
      </c>
      <c r="S59" t="str">
        <f>_xlfn.XLOOKUP(C59,ProductMaster!$A$2:$A$51,ProductMaster!$B$2:$B$51)</f>
        <v>Product_35</v>
      </c>
      <c r="T59" t="str">
        <f>_xlfn.XLOOKUP(G59,RegionMaster!$A$2:$A$5,RegionMaster!$B$2:$B$5)</f>
        <v>D</v>
      </c>
    </row>
    <row r="60" spans="1:20" ht="15.75" customHeight="1">
      <c r="A60" s="2" t="s">
        <v>573</v>
      </c>
      <c r="B60" s="2" t="s">
        <v>275</v>
      </c>
      <c r="C60" s="2" t="s">
        <v>125</v>
      </c>
      <c r="D60" s="3">
        <v>45715</v>
      </c>
      <c r="E60" s="4"/>
      <c r="F60" s="3">
        <v>45717</v>
      </c>
      <c r="G60" s="2" t="s">
        <v>22</v>
      </c>
      <c r="H60" s="2" t="s">
        <v>27</v>
      </c>
      <c r="I60" s="2" t="s">
        <v>178</v>
      </c>
      <c r="J60" s="2" t="s">
        <v>107</v>
      </c>
      <c r="K60" s="2">
        <v>417.09</v>
      </c>
      <c r="L60" s="2" t="str">
        <f t="shared" si="0"/>
        <v>February</v>
      </c>
      <c r="M60" s="2" t="str">
        <f t="shared" si="1"/>
        <v>Cancelled</v>
      </c>
      <c r="N60" t="str">
        <f t="shared" si="2"/>
        <v>Cancelled</v>
      </c>
      <c r="O60" t="str">
        <f t="shared" si="3"/>
        <v>Order Cancelled</v>
      </c>
      <c r="P60" t="str">
        <f t="shared" si="4"/>
        <v>Cancelled</v>
      </c>
      <c r="Q60" t="str">
        <f t="shared" si="5"/>
        <v>Cancelled</v>
      </c>
      <c r="R60" t="str">
        <f>_xlfn.XLOOKUP(B60,CustomerMaster!$A$2:$A$287,CustomerMaster!$B$2:$B$287)</f>
        <v>Customer_199</v>
      </c>
      <c r="S60" t="str">
        <f>_xlfn.XLOOKUP(C60,ProductMaster!$A$2:$A$51,ProductMaster!$B$2:$B$51)</f>
        <v>Product_24</v>
      </c>
      <c r="T60" t="str">
        <f>_xlfn.XLOOKUP(G60,RegionMaster!$A$2:$A$5,RegionMaster!$B$2:$B$5)</f>
        <v>C</v>
      </c>
    </row>
    <row r="61" spans="1:20" ht="15.75" customHeight="1">
      <c r="A61" s="2" t="s">
        <v>575</v>
      </c>
      <c r="B61" s="2" t="s">
        <v>541</v>
      </c>
      <c r="C61" s="2" t="s">
        <v>87</v>
      </c>
      <c r="D61" s="3">
        <v>45692</v>
      </c>
      <c r="E61" s="3">
        <v>45695</v>
      </c>
      <c r="F61" s="4"/>
      <c r="G61" s="2" t="s">
        <v>17</v>
      </c>
      <c r="H61" s="2" t="s">
        <v>27</v>
      </c>
      <c r="I61" s="2" t="s">
        <v>178</v>
      </c>
      <c r="J61" s="2" t="s">
        <v>94</v>
      </c>
      <c r="K61" s="2">
        <v>1761.59</v>
      </c>
      <c r="L61" s="2" t="str">
        <f t="shared" si="0"/>
        <v>February</v>
      </c>
      <c r="M61" s="2" t="str">
        <f t="shared" si="1"/>
        <v>February</v>
      </c>
      <c r="N61" t="str">
        <f t="shared" si="2"/>
        <v>Delivered</v>
      </c>
      <c r="O61">
        <f t="shared" si="3"/>
        <v>3</v>
      </c>
      <c r="P61" t="str">
        <f t="shared" si="4"/>
        <v>Completed</v>
      </c>
      <c r="Q61" t="str">
        <f t="shared" si="5"/>
        <v>Slow</v>
      </c>
      <c r="R61" t="str">
        <f>_xlfn.XLOOKUP(B61,CustomerMaster!$A$2:$A$287,CustomerMaster!$B$2:$B$287)</f>
        <v>Customer_169</v>
      </c>
      <c r="S61" t="str">
        <f>_xlfn.XLOOKUP(C61,ProductMaster!$A$2:$A$51,ProductMaster!$B$2:$B$51)</f>
        <v>Product_15</v>
      </c>
      <c r="T61" t="str">
        <f>_xlfn.XLOOKUP(G61,RegionMaster!$A$2:$A$5,RegionMaster!$B$2:$B$5)</f>
        <v>B</v>
      </c>
    </row>
    <row r="62" spans="1:20" ht="15.75" customHeight="1">
      <c r="A62" s="2" t="s">
        <v>578</v>
      </c>
      <c r="B62" s="2" t="s">
        <v>580</v>
      </c>
      <c r="C62" s="2" t="s">
        <v>138</v>
      </c>
      <c r="D62" s="3">
        <v>45677</v>
      </c>
      <c r="E62" s="3">
        <v>45682</v>
      </c>
      <c r="F62" s="4"/>
      <c r="G62" s="2" t="s">
        <v>7</v>
      </c>
      <c r="H62" s="2" t="s">
        <v>16</v>
      </c>
      <c r="I62" s="2" t="s">
        <v>90</v>
      </c>
      <c r="J62" s="2" t="s">
        <v>133</v>
      </c>
      <c r="K62" s="2">
        <v>2065.65</v>
      </c>
      <c r="L62" s="2" t="str">
        <f t="shared" si="0"/>
        <v>January</v>
      </c>
      <c r="M62" s="2" t="str">
        <f t="shared" si="1"/>
        <v>January</v>
      </c>
      <c r="N62" t="str">
        <f t="shared" si="2"/>
        <v>Delivered</v>
      </c>
      <c r="O62">
        <f t="shared" si="3"/>
        <v>5</v>
      </c>
      <c r="P62" t="str">
        <f t="shared" si="4"/>
        <v>Completed</v>
      </c>
      <c r="Q62" t="str">
        <f t="shared" si="5"/>
        <v>Slow</v>
      </c>
      <c r="R62" t="str">
        <f>_xlfn.XLOOKUP(B62,CustomerMaster!$A$2:$A$287,CustomerMaster!$B$2:$B$287)</f>
        <v>Customer_224</v>
      </c>
      <c r="S62" t="str">
        <f>_xlfn.XLOOKUP(C62,ProductMaster!$A$2:$A$51,ProductMaster!$B$2:$B$51)</f>
        <v>Product_28</v>
      </c>
      <c r="T62" t="str">
        <f>_xlfn.XLOOKUP(G62,RegionMaster!$A$2:$A$5,RegionMaster!$B$2:$B$5)</f>
        <v>A</v>
      </c>
    </row>
    <row r="63" spans="1:20" ht="15.75" customHeight="1">
      <c r="A63" s="2" t="s">
        <v>586</v>
      </c>
      <c r="B63" s="2" t="s">
        <v>89</v>
      </c>
      <c r="C63" s="2" t="s">
        <v>95</v>
      </c>
      <c r="D63" s="3">
        <v>45758</v>
      </c>
      <c r="E63" s="4"/>
      <c r="F63" s="3">
        <v>45760</v>
      </c>
      <c r="G63" s="2" t="s">
        <v>17</v>
      </c>
      <c r="H63" s="2" t="s">
        <v>27</v>
      </c>
      <c r="I63" s="2" t="s">
        <v>106</v>
      </c>
      <c r="J63" s="2" t="s">
        <v>133</v>
      </c>
      <c r="K63" s="2">
        <v>1502.48</v>
      </c>
      <c r="L63" s="2" t="str">
        <f t="shared" si="0"/>
        <v>April</v>
      </c>
      <c r="M63" s="2" t="str">
        <f t="shared" si="1"/>
        <v>Cancelled</v>
      </c>
      <c r="N63" t="str">
        <f t="shared" si="2"/>
        <v>Cancelled</v>
      </c>
      <c r="O63" t="str">
        <f t="shared" si="3"/>
        <v>Order Cancelled</v>
      </c>
      <c r="P63" t="str">
        <f t="shared" si="4"/>
        <v>Cancelled</v>
      </c>
      <c r="Q63" t="str">
        <f t="shared" si="5"/>
        <v>Cancelled</v>
      </c>
      <c r="R63" t="str">
        <f>_xlfn.XLOOKUP(B63,CustomerMaster!$A$2:$A$287,CustomerMaster!$B$2:$B$287)</f>
        <v>Customer_12</v>
      </c>
      <c r="S63" t="str">
        <f>_xlfn.XLOOKUP(C63,ProductMaster!$A$2:$A$51,ProductMaster!$B$2:$B$51)</f>
        <v>Product_17</v>
      </c>
      <c r="T63" t="str">
        <f>_xlfn.XLOOKUP(G63,RegionMaster!$A$2:$A$5,RegionMaster!$B$2:$B$5)</f>
        <v>B</v>
      </c>
    </row>
    <row r="64" spans="1:20" ht="15.75" customHeight="1">
      <c r="A64" s="2" t="s">
        <v>592</v>
      </c>
      <c r="B64" s="2" t="s">
        <v>581</v>
      </c>
      <c r="C64" s="2" t="s">
        <v>141</v>
      </c>
      <c r="D64" s="3">
        <v>45756</v>
      </c>
      <c r="E64" s="3">
        <v>45762</v>
      </c>
      <c r="F64" s="4"/>
      <c r="G64" s="2" t="s">
        <v>22</v>
      </c>
      <c r="H64" s="2" t="s">
        <v>16</v>
      </c>
      <c r="I64" s="2" t="s">
        <v>121</v>
      </c>
      <c r="J64" s="2" t="s">
        <v>133</v>
      </c>
      <c r="K64" s="2">
        <v>4177.9399999999996</v>
      </c>
      <c r="L64" s="2" t="str">
        <f t="shared" si="0"/>
        <v>April</v>
      </c>
      <c r="M64" s="2" t="str">
        <f t="shared" si="1"/>
        <v>April</v>
      </c>
      <c r="N64" t="str">
        <f t="shared" si="2"/>
        <v>Delivered</v>
      </c>
      <c r="O64">
        <f t="shared" si="3"/>
        <v>6</v>
      </c>
      <c r="P64" t="str">
        <f t="shared" si="4"/>
        <v>Completed</v>
      </c>
      <c r="Q64" t="str">
        <f t="shared" si="5"/>
        <v>Slow</v>
      </c>
      <c r="R64" t="str">
        <f>_xlfn.XLOOKUP(B64,CustomerMaster!$A$2:$A$287,CustomerMaster!$B$2:$B$287)</f>
        <v>Customer_179</v>
      </c>
      <c r="S64" t="str">
        <f>_xlfn.XLOOKUP(C64,ProductMaster!$A$2:$A$51,ProductMaster!$B$2:$B$51)</f>
        <v>Product_42</v>
      </c>
      <c r="T64" t="str">
        <f>_xlfn.XLOOKUP(G64,RegionMaster!$A$2:$A$5,RegionMaster!$B$2:$B$5)</f>
        <v>C</v>
      </c>
    </row>
    <row r="65" spans="1:20" ht="15.75" customHeight="1">
      <c r="A65" s="2" t="s">
        <v>598</v>
      </c>
      <c r="B65" s="2" t="s">
        <v>600</v>
      </c>
      <c r="C65" s="2" t="s">
        <v>91</v>
      </c>
      <c r="D65" s="3">
        <v>45750</v>
      </c>
      <c r="E65" s="4"/>
      <c r="F65" s="3">
        <v>45752</v>
      </c>
      <c r="G65" s="2" t="s">
        <v>22</v>
      </c>
      <c r="H65" s="2" t="s">
        <v>59</v>
      </c>
      <c r="I65" s="2" t="s">
        <v>195</v>
      </c>
      <c r="J65" s="2" t="s">
        <v>107</v>
      </c>
      <c r="K65" s="2">
        <v>1912.42</v>
      </c>
      <c r="L65" s="2" t="str">
        <f t="shared" si="0"/>
        <v>April</v>
      </c>
      <c r="M65" s="2" t="str">
        <f t="shared" si="1"/>
        <v>Cancelled</v>
      </c>
      <c r="N65" t="str">
        <f t="shared" si="2"/>
        <v>Cancelled</v>
      </c>
      <c r="O65" t="str">
        <f t="shared" si="3"/>
        <v>Order Cancelled</v>
      </c>
      <c r="P65" t="str">
        <f t="shared" si="4"/>
        <v>Cancelled</v>
      </c>
      <c r="Q65" t="str">
        <f t="shared" si="5"/>
        <v>Cancelled</v>
      </c>
      <c r="R65" t="str">
        <f>_xlfn.XLOOKUP(B65,CustomerMaster!$A$2:$A$287,CustomerMaster!$B$2:$B$287)</f>
        <v>Customer_233</v>
      </c>
      <c r="S65" t="str">
        <f>_xlfn.XLOOKUP(C65,ProductMaster!$A$2:$A$51,ProductMaster!$B$2:$B$51)</f>
        <v>Product_16</v>
      </c>
      <c r="T65" t="str">
        <f>_xlfn.XLOOKUP(G65,RegionMaster!$A$2:$A$5,RegionMaster!$B$2:$B$5)</f>
        <v>C</v>
      </c>
    </row>
    <row r="66" spans="1:20" ht="15.75" customHeight="1">
      <c r="A66" s="2" t="s">
        <v>605</v>
      </c>
      <c r="B66" s="2" t="s">
        <v>216</v>
      </c>
      <c r="C66" s="2" t="s">
        <v>39</v>
      </c>
      <c r="D66" s="3">
        <v>45706</v>
      </c>
      <c r="E66" s="3">
        <v>45711</v>
      </c>
      <c r="F66" s="4"/>
      <c r="G66" s="2" t="s">
        <v>17</v>
      </c>
      <c r="H66" s="2" t="s">
        <v>27</v>
      </c>
      <c r="I66" s="2" t="s">
        <v>90</v>
      </c>
      <c r="J66" s="2" t="s">
        <v>133</v>
      </c>
      <c r="K66" s="2">
        <v>1548.49</v>
      </c>
      <c r="L66" s="2" t="str">
        <f t="shared" si="0"/>
        <v>February</v>
      </c>
      <c r="M66" s="2" t="str">
        <f t="shared" si="1"/>
        <v>February</v>
      </c>
      <c r="N66" t="str">
        <f t="shared" si="2"/>
        <v>Delivered</v>
      </c>
      <c r="O66">
        <f t="shared" si="3"/>
        <v>5</v>
      </c>
      <c r="P66" t="str">
        <f t="shared" si="4"/>
        <v>Completed</v>
      </c>
      <c r="Q66" t="str">
        <f t="shared" si="5"/>
        <v>Slow</v>
      </c>
      <c r="R66" t="str">
        <f>_xlfn.XLOOKUP(B66,CustomerMaster!$A$2:$A$287,CustomerMaster!$B$2:$B$287)</f>
        <v>Customer_29</v>
      </c>
      <c r="S66" t="str">
        <f>_xlfn.XLOOKUP(C66,ProductMaster!$A$2:$A$51,ProductMaster!$B$2:$B$51)</f>
        <v>Product_4</v>
      </c>
      <c r="T66" t="str">
        <f>_xlfn.XLOOKUP(G66,RegionMaster!$A$2:$A$5,RegionMaster!$B$2:$B$5)</f>
        <v>B</v>
      </c>
    </row>
    <row r="67" spans="1:20" ht="15.75" customHeight="1">
      <c r="A67" s="2" t="s">
        <v>612</v>
      </c>
      <c r="B67" s="2" t="s">
        <v>585</v>
      </c>
      <c r="C67" s="2" t="s">
        <v>191</v>
      </c>
      <c r="D67" s="3">
        <v>45701</v>
      </c>
      <c r="E67" s="4"/>
      <c r="F67" s="3">
        <v>45702</v>
      </c>
      <c r="G67" s="2" t="s">
        <v>22</v>
      </c>
      <c r="H67" s="2" t="s">
        <v>27</v>
      </c>
      <c r="I67" s="2" t="s">
        <v>106</v>
      </c>
      <c r="J67" s="2" t="s">
        <v>107</v>
      </c>
      <c r="K67" s="2">
        <v>2804.94</v>
      </c>
      <c r="L67" s="2" t="str">
        <f t="shared" ref="L67:L130" si="6">TEXT(D67,"MMMM")</f>
        <v>February</v>
      </c>
      <c r="M67" s="2" t="str">
        <f t="shared" ref="M67:M130" si="7">IF(NOT(ISBLANK(E67)),TEXT(E67,"MMMM"),"Cancelled")</f>
        <v>Cancelled</v>
      </c>
      <c r="N67" t="str">
        <f t="shared" ref="N67:N130" si="8">IF(F67="","Delivered","Cancelled")</f>
        <v>Cancelled</v>
      </c>
      <c r="O67" t="str">
        <f t="shared" ref="O67:O130" si="9">IF(E67="","Order Cancelled",_xlfn.DAYS(E67,D67))</f>
        <v>Order Cancelled</v>
      </c>
      <c r="P67" t="str">
        <f t="shared" ref="P67:P130" si="10">IF(F67="","Completed","Cancelled")</f>
        <v>Cancelled</v>
      </c>
      <c r="Q67" t="str">
        <f t="shared" ref="Q67:Q130" si="11">IF(O67="Order Cancelled","Cancelled",IF(O67&lt;=2,"Fast","Slow"))</f>
        <v>Cancelled</v>
      </c>
      <c r="R67" t="str">
        <f>_xlfn.XLOOKUP(B67,CustomerMaster!$A$2:$A$287,CustomerMaster!$B$2:$B$287)</f>
        <v>Customer_181</v>
      </c>
      <c r="S67" t="str">
        <f>_xlfn.XLOOKUP(C67,ProductMaster!$A$2:$A$51,ProductMaster!$B$2:$B$51)</f>
        <v>Product_43</v>
      </c>
      <c r="T67" t="str">
        <f>_xlfn.XLOOKUP(G67,RegionMaster!$A$2:$A$5,RegionMaster!$B$2:$B$5)</f>
        <v>C</v>
      </c>
    </row>
    <row r="68" spans="1:20" ht="15.75" customHeight="1">
      <c r="A68" s="2" t="s">
        <v>619</v>
      </c>
      <c r="B68" s="2" t="s">
        <v>620</v>
      </c>
      <c r="C68" s="2" t="s">
        <v>101</v>
      </c>
      <c r="D68" s="3">
        <v>45753</v>
      </c>
      <c r="E68" s="3">
        <v>45756</v>
      </c>
      <c r="F68" s="4"/>
      <c r="G68" s="2" t="s">
        <v>7</v>
      </c>
      <c r="H68" s="2" t="s">
        <v>16</v>
      </c>
      <c r="I68" s="2" t="s">
        <v>90</v>
      </c>
      <c r="J68" s="2" t="s">
        <v>107</v>
      </c>
      <c r="K68" s="2">
        <v>876.44</v>
      </c>
      <c r="L68" s="2" t="str">
        <f t="shared" si="6"/>
        <v>April</v>
      </c>
      <c r="M68" s="2" t="str">
        <f t="shared" si="7"/>
        <v>April</v>
      </c>
      <c r="N68" t="str">
        <f t="shared" si="8"/>
        <v>Delivered</v>
      </c>
      <c r="O68">
        <f t="shared" si="9"/>
        <v>3</v>
      </c>
      <c r="P68" t="str">
        <f t="shared" si="10"/>
        <v>Completed</v>
      </c>
      <c r="Q68" t="str">
        <f t="shared" si="11"/>
        <v>Slow</v>
      </c>
      <c r="R68" t="str">
        <f>_xlfn.XLOOKUP(B68,CustomerMaster!$A$2:$A$287,CustomerMaster!$B$2:$B$287)</f>
        <v>Customer_256</v>
      </c>
      <c r="S68" t="str">
        <f>_xlfn.XLOOKUP(C68,ProductMaster!$A$2:$A$51,ProductMaster!$B$2:$B$51)</f>
        <v>Product_27</v>
      </c>
      <c r="T68" t="str">
        <f>_xlfn.XLOOKUP(G68,RegionMaster!$A$2:$A$5,RegionMaster!$B$2:$B$5)</f>
        <v>A</v>
      </c>
    </row>
    <row r="69" spans="1:20" ht="15.75" customHeight="1">
      <c r="A69" s="2" t="s">
        <v>624</v>
      </c>
      <c r="B69" s="2" t="s">
        <v>251</v>
      </c>
      <c r="C69" s="2" t="s">
        <v>63</v>
      </c>
      <c r="D69" s="3">
        <v>45738</v>
      </c>
      <c r="E69" s="3">
        <v>45741</v>
      </c>
      <c r="F69" s="4"/>
      <c r="G69" s="2" t="s">
        <v>7</v>
      </c>
      <c r="H69" s="2" t="s">
        <v>37</v>
      </c>
      <c r="I69" s="2" t="s">
        <v>121</v>
      </c>
      <c r="J69" s="2" t="s">
        <v>94</v>
      </c>
      <c r="K69" s="2">
        <v>4050.55</v>
      </c>
      <c r="L69" s="2" t="str">
        <f t="shared" si="6"/>
        <v>March</v>
      </c>
      <c r="M69" s="2" t="str">
        <f t="shared" si="7"/>
        <v>March</v>
      </c>
      <c r="N69" t="str">
        <f t="shared" si="8"/>
        <v>Delivered</v>
      </c>
      <c r="O69">
        <f t="shared" si="9"/>
        <v>3</v>
      </c>
      <c r="P69" t="str">
        <f t="shared" si="10"/>
        <v>Completed</v>
      </c>
      <c r="Q69" t="str">
        <f t="shared" si="11"/>
        <v>Slow</v>
      </c>
      <c r="R69" t="str">
        <f>_xlfn.XLOOKUP(B69,CustomerMaster!$A$2:$A$287,CustomerMaster!$B$2:$B$287)</f>
        <v>Customer_42</v>
      </c>
      <c r="S69" t="str">
        <f>_xlfn.XLOOKUP(C69,ProductMaster!$A$2:$A$51,ProductMaster!$B$2:$B$51)</f>
        <v>Product_8</v>
      </c>
      <c r="T69" t="str">
        <f>_xlfn.XLOOKUP(G69,RegionMaster!$A$2:$A$5,RegionMaster!$B$2:$B$5)</f>
        <v>A</v>
      </c>
    </row>
    <row r="70" spans="1:20" ht="15.75" customHeight="1">
      <c r="A70" s="2" t="s">
        <v>628</v>
      </c>
      <c r="B70" s="2" t="s">
        <v>282</v>
      </c>
      <c r="C70" s="2" t="s">
        <v>141</v>
      </c>
      <c r="D70" s="3">
        <v>45723</v>
      </c>
      <c r="E70" s="3">
        <v>45725</v>
      </c>
      <c r="F70" s="4"/>
      <c r="G70" s="2" t="s">
        <v>17</v>
      </c>
      <c r="H70" s="2" t="s">
        <v>16</v>
      </c>
      <c r="I70" s="2" t="s">
        <v>90</v>
      </c>
      <c r="J70" s="2" t="s">
        <v>133</v>
      </c>
      <c r="K70" s="2">
        <v>557.84</v>
      </c>
      <c r="L70" s="2" t="str">
        <f t="shared" si="6"/>
        <v>March</v>
      </c>
      <c r="M70" s="2" t="str">
        <f t="shared" si="7"/>
        <v>March</v>
      </c>
      <c r="N70" t="str">
        <f t="shared" si="8"/>
        <v>Delivered</v>
      </c>
      <c r="O70">
        <f t="shared" si="9"/>
        <v>2</v>
      </c>
      <c r="P70" t="str">
        <f t="shared" si="10"/>
        <v>Completed</v>
      </c>
      <c r="Q70" t="str">
        <f t="shared" si="11"/>
        <v>Fast</v>
      </c>
      <c r="R70" t="str">
        <f>_xlfn.XLOOKUP(B70,CustomerMaster!$A$2:$A$287,CustomerMaster!$B$2:$B$287)</f>
        <v>Customer_95</v>
      </c>
      <c r="S70" t="str">
        <f>_xlfn.XLOOKUP(C70,ProductMaster!$A$2:$A$51,ProductMaster!$B$2:$B$51)</f>
        <v>Product_42</v>
      </c>
      <c r="T70" t="str">
        <f>_xlfn.XLOOKUP(G70,RegionMaster!$A$2:$A$5,RegionMaster!$B$2:$B$5)</f>
        <v>B</v>
      </c>
    </row>
    <row r="71" spans="1:20" ht="15.75" customHeight="1">
      <c r="A71" s="2" t="s">
        <v>635</v>
      </c>
      <c r="B71" s="2" t="s">
        <v>636</v>
      </c>
      <c r="C71" s="2" t="s">
        <v>204</v>
      </c>
      <c r="D71" s="3">
        <v>45737</v>
      </c>
      <c r="E71" s="3">
        <v>45741</v>
      </c>
      <c r="F71" s="4"/>
      <c r="G71" s="2" t="s">
        <v>45</v>
      </c>
      <c r="H71" s="2" t="s">
        <v>27</v>
      </c>
      <c r="I71" s="2" t="s">
        <v>178</v>
      </c>
      <c r="J71" s="2" t="s">
        <v>107</v>
      </c>
      <c r="K71" s="2">
        <v>4937.0600000000004</v>
      </c>
      <c r="L71" s="2" t="str">
        <f t="shared" si="6"/>
        <v>March</v>
      </c>
      <c r="M71" s="2" t="str">
        <f t="shared" si="7"/>
        <v>March</v>
      </c>
      <c r="N71" t="str">
        <f t="shared" si="8"/>
        <v>Delivered</v>
      </c>
      <c r="O71">
        <f t="shared" si="9"/>
        <v>4</v>
      </c>
      <c r="P71" t="str">
        <f t="shared" si="10"/>
        <v>Completed</v>
      </c>
      <c r="Q71" t="str">
        <f t="shared" si="11"/>
        <v>Slow</v>
      </c>
      <c r="R71" t="str">
        <f>_xlfn.XLOOKUP(B71,CustomerMaster!$A$2:$A$287,CustomerMaster!$B$2:$B$287)</f>
        <v>Customer_223</v>
      </c>
      <c r="S71" t="str">
        <f>_xlfn.XLOOKUP(C71,ProductMaster!$A$2:$A$51,ProductMaster!$B$2:$B$51)</f>
        <v>Product_46</v>
      </c>
      <c r="T71" t="str">
        <f>_xlfn.XLOOKUP(G71,RegionMaster!$A$2:$A$5,RegionMaster!$B$2:$B$5)</f>
        <v>D</v>
      </c>
    </row>
    <row r="72" spans="1:20" ht="15.75" customHeight="1">
      <c r="A72" s="2" t="s">
        <v>641</v>
      </c>
      <c r="B72" s="2" t="s">
        <v>235</v>
      </c>
      <c r="C72" s="2" t="s">
        <v>162</v>
      </c>
      <c r="D72" s="3">
        <v>45681</v>
      </c>
      <c r="E72" s="3">
        <v>45686</v>
      </c>
      <c r="F72" s="4"/>
      <c r="G72" s="2" t="s">
        <v>22</v>
      </c>
      <c r="H72" s="2" t="s">
        <v>27</v>
      </c>
      <c r="I72" s="2" t="s">
        <v>106</v>
      </c>
      <c r="J72" s="2" t="s">
        <v>94</v>
      </c>
      <c r="K72" s="2">
        <v>3906.77</v>
      </c>
      <c r="L72" s="2" t="str">
        <f t="shared" si="6"/>
        <v>January</v>
      </c>
      <c r="M72" s="2" t="str">
        <f t="shared" si="7"/>
        <v>January</v>
      </c>
      <c r="N72" t="str">
        <f t="shared" si="8"/>
        <v>Delivered</v>
      </c>
      <c r="O72">
        <f t="shared" si="9"/>
        <v>5</v>
      </c>
      <c r="P72" t="str">
        <f t="shared" si="10"/>
        <v>Completed</v>
      </c>
      <c r="Q72" t="str">
        <f t="shared" si="11"/>
        <v>Slow</v>
      </c>
      <c r="R72" t="str">
        <f>_xlfn.XLOOKUP(B72,CustomerMaster!$A$2:$A$287,CustomerMaster!$B$2:$B$287)</f>
        <v>Customer_36</v>
      </c>
      <c r="S72" t="str">
        <f>_xlfn.XLOOKUP(C72,ProductMaster!$A$2:$A$51,ProductMaster!$B$2:$B$51)</f>
        <v>Product_35</v>
      </c>
      <c r="T72" t="str">
        <f>_xlfn.XLOOKUP(G72,RegionMaster!$A$2:$A$5,RegionMaster!$B$2:$B$5)</f>
        <v>C</v>
      </c>
    </row>
    <row r="73" spans="1:20" ht="15.75" customHeight="1">
      <c r="A73" s="2" t="s">
        <v>647</v>
      </c>
      <c r="B73" s="2" t="s">
        <v>649</v>
      </c>
      <c r="C73" s="2" t="s">
        <v>39</v>
      </c>
      <c r="D73" s="3">
        <v>45748</v>
      </c>
      <c r="E73" s="4"/>
      <c r="F73" s="3">
        <v>45749</v>
      </c>
      <c r="G73" s="2" t="s">
        <v>22</v>
      </c>
      <c r="H73" s="2" t="s">
        <v>54</v>
      </c>
      <c r="I73" s="2" t="s">
        <v>90</v>
      </c>
      <c r="J73" s="2" t="s">
        <v>94</v>
      </c>
      <c r="K73" s="2">
        <v>1153.8399999999999</v>
      </c>
      <c r="L73" s="2" t="str">
        <f t="shared" si="6"/>
        <v>April</v>
      </c>
      <c r="M73" s="2" t="str">
        <f t="shared" si="7"/>
        <v>Cancelled</v>
      </c>
      <c r="N73" t="str">
        <f t="shared" si="8"/>
        <v>Cancelled</v>
      </c>
      <c r="O73" t="str">
        <f t="shared" si="9"/>
        <v>Order Cancelled</v>
      </c>
      <c r="P73" t="str">
        <f t="shared" si="10"/>
        <v>Cancelled</v>
      </c>
      <c r="Q73" t="str">
        <f t="shared" si="11"/>
        <v>Cancelled</v>
      </c>
      <c r="R73" t="str">
        <f>_xlfn.XLOOKUP(B73,CustomerMaster!$A$2:$A$287,CustomerMaster!$B$2:$B$287)</f>
        <v>Customer_257</v>
      </c>
      <c r="S73" t="str">
        <f>_xlfn.XLOOKUP(C73,ProductMaster!$A$2:$A$51,ProductMaster!$B$2:$B$51)</f>
        <v>Product_4</v>
      </c>
      <c r="T73" t="str">
        <f>_xlfn.XLOOKUP(G73,RegionMaster!$A$2:$A$5,RegionMaster!$B$2:$B$5)</f>
        <v>C</v>
      </c>
    </row>
    <row r="74" spans="1:20" ht="15.75" customHeight="1">
      <c r="A74" s="2" t="s">
        <v>654</v>
      </c>
      <c r="B74" s="2" t="s">
        <v>656</v>
      </c>
      <c r="C74" s="2" t="s">
        <v>43</v>
      </c>
      <c r="D74" s="3">
        <v>45766</v>
      </c>
      <c r="E74" s="4"/>
      <c r="F74" s="3">
        <v>45768</v>
      </c>
      <c r="G74" s="2" t="s">
        <v>45</v>
      </c>
      <c r="H74" s="2" t="s">
        <v>27</v>
      </c>
      <c r="I74" s="2" t="s">
        <v>90</v>
      </c>
      <c r="J74" s="2" t="s">
        <v>94</v>
      </c>
      <c r="K74" s="2">
        <v>226.51</v>
      </c>
      <c r="L74" s="2" t="str">
        <f t="shared" si="6"/>
        <v>April</v>
      </c>
      <c r="M74" s="2" t="str">
        <f t="shared" si="7"/>
        <v>Cancelled</v>
      </c>
      <c r="N74" t="str">
        <f t="shared" si="8"/>
        <v>Cancelled</v>
      </c>
      <c r="O74" t="str">
        <f t="shared" si="9"/>
        <v>Order Cancelled</v>
      </c>
      <c r="P74" t="str">
        <f t="shared" si="10"/>
        <v>Cancelled</v>
      </c>
      <c r="Q74" t="str">
        <f t="shared" si="11"/>
        <v>Cancelled</v>
      </c>
      <c r="R74" t="str">
        <f>_xlfn.XLOOKUP(B74,CustomerMaster!$A$2:$A$287,CustomerMaster!$B$2:$B$287)</f>
        <v>Customer_258</v>
      </c>
      <c r="S74" t="str">
        <f>_xlfn.XLOOKUP(C74,ProductMaster!$A$2:$A$51,ProductMaster!$B$2:$B$51)</f>
        <v>Product_5</v>
      </c>
      <c r="T74" t="str">
        <f>_xlfn.XLOOKUP(G74,RegionMaster!$A$2:$A$5,RegionMaster!$B$2:$B$5)</f>
        <v>D</v>
      </c>
    </row>
    <row r="75" spans="1:20" ht="15.75" customHeight="1">
      <c r="A75" s="2" t="s">
        <v>661</v>
      </c>
      <c r="B75" s="2" t="s">
        <v>664</v>
      </c>
      <c r="C75" s="2" t="s">
        <v>104</v>
      </c>
      <c r="D75" s="3">
        <v>45716</v>
      </c>
      <c r="E75" s="3">
        <v>45717</v>
      </c>
      <c r="F75" s="4"/>
      <c r="G75" s="2" t="s">
        <v>22</v>
      </c>
      <c r="H75" s="2" t="s">
        <v>37</v>
      </c>
      <c r="I75" s="2" t="s">
        <v>90</v>
      </c>
      <c r="J75" s="2" t="s">
        <v>107</v>
      </c>
      <c r="K75" s="2">
        <v>4114.21</v>
      </c>
      <c r="L75" s="2" t="str">
        <f t="shared" si="6"/>
        <v>February</v>
      </c>
      <c r="M75" s="2" t="str">
        <f t="shared" si="7"/>
        <v>March</v>
      </c>
      <c r="N75" t="str">
        <f t="shared" si="8"/>
        <v>Delivered</v>
      </c>
      <c r="O75">
        <f t="shared" si="9"/>
        <v>1</v>
      </c>
      <c r="P75" t="str">
        <f t="shared" si="10"/>
        <v>Completed</v>
      </c>
      <c r="Q75" t="str">
        <f t="shared" si="11"/>
        <v>Fast</v>
      </c>
      <c r="R75" t="str">
        <f>_xlfn.XLOOKUP(B75,CustomerMaster!$A$2:$A$287,CustomerMaster!$B$2:$B$287)</f>
        <v>Customer_280</v>
      </c>
      <c r="S75" t="str">
        <f>_xlfn.XLOOKUP(C75,ProductMaster!$A$2:$A$51,ProductMaster!$B$2:$B$51)</f>
        <v>Product_19</v>
      </c>
      <c r="T75" t="str">
        <f>_xlfn.XLOOKUP(G75,RegionMaster!$A$2:$A$5,RegionMaster!$B$2:$B$5)</f>
        <v>C</v>
      </c>
    </row>
    <row r="76" spans="1:20" ht="15.75" customHeight="1">
      <c r="A76" s="2" t="s">
        <v>668</v>
      </c>
      <c r="B76" s="2" t="s">
        <v>270</v>
      </c>
      <c r="C76" s="2" t="s">
        <v>83</v>
      </c>
      <c r="D76" s="3">
        <v>45663</v>
      </c>
      <c r="E76" s="4"/>
      <c r="F76" s="3">
        <v>45663</v>
      </c>
      <c r="G76" s="2" t="s">
        <v>7</v>
      </c>
      <c r="H76" s="2" t="s">
        <v>37</v>
      </c>
      <c r="I76" s="2" t="s">
        <v>195</v>
      </c>
      <c r="J76" s="2" t="s">
        <v>107</v>
      </c>
      <c r="K76" s="2">
        <v>3592.92</v>
      </c>
      <c r="L76" s="2" t="str">
        <f t="shared" si="6"/>
        <v>January</v>
      </c>
      <c r="M76" s="2" t="str">
        <f t="shared" si="7"/>
        <v>Cancelled</v>
      </c>
      <c r="N76" t="str">
        <f t="shared" si="8"/>
        <v>Cancelled</v>
      </c>
      <c r="O76" t="str">
        <f t="shared" si="9"/>
        <v>Order Cancelled</v>
      </c>
      <c r="P76" t="str">
        <f t="shared" si="10"/>
        <v>Cancelled</v>
      </c>
      <c r="Q76" t="str">
        <f t="shared" si="11"/>
        <v>Cancelled</v>
      </c>
      <c r="R76" t="str">
        <f>_xlfn.XLOOKUP(B76,CustomerMaster!$A$2:$A$287,CustomerMaster!$B$2:$B$287)</f>
        <v>Customer_49</v>
      </c>
      <c r="S76" t="str">
        <f>_xlfn.XLOOKUP(C76,ProductMaster!$A$2:$A$51,ProductMaster!$B$2:$B$51)</f>
        <v>Product_14</v>
      </c>
      <c r="T76" t="str">
        <f>_xlfn.XLOOKUP(G76,RegionMaster!$A$2:$A$5,RegionMaster!$B$2:$B$5)</f>
        <v>A</v>
      </c>
    </row>
    <row r="77" spans="1:20" ht="15.75" customHeight="1">
      <c r="A77" s="2" t="s">
        <v>674</v>
      </c>
      <c r="B77" s="2" t="s">
        <v>457</v>
      </c>
      <c r="C77" s="2" t="s">
        <v>164</v>
      </c>
      <c r="D77" s="3">
        <v>45709</v>
      </c>
      <c r="E77" s="3">
        <v>45710</v>
      </c>
      <c r="F77" s="4"/>
      <c r="G77" s="2" t="s">
        <v>22</v>
      </c>
      <c r="H77" s="2" t="s">
        <v>37</v>
      </c>
      <c r="I77" s="2" t="s">
        <v>121</v>
      </c>
      <c r="J77" s="2" t="s">
        <v>94</v>
      </c>
      <c r="K77" s="2">
        <v>3699.23</v>
      </c>
      <c r="L77" s="2" t="str">
        <f t="shared" si="6"/>
        <v>February</v>
      </c>
      <c r="M77" s="2" t="str">
        <f t="shared" si="7"/>
        <v>February</v>
      </c>
      <c r="N77" t="str">
        <f t="shared" si="8"/>
        <v>Delivered</v>
      </c>
      <c r="O77">
        <f t="shared" si="9"/>
        <v>1</v>
      </c>
      <c r="P77" t="str">
        <f t="shared" si="10"/>
        <v>Completed</v>
      </c>
      <c r="Q77" t="str">
        <f t="shared" si="11"/>
        <v>Fast</v>
      </c>
      <c r="R77" t="str">
        <f>_xlfn.XLOOKUP(B77,CustomerMaster!$A$2:$A$287,CustomerMaster!$B$2:$B$287)</f>
        <v>Customer_128</v>
      </c>
      <c r="S77" t="str">
        <f>_xlfn.XLOOKUP(C77,ProductMaster!$A$2:$A$51,ProductMaster!$B$2:$B$51)</f>
        <v>Product_36</v>
      </c>
      <c r="T77" t="str">
        <f>_xlfn.XLOOKUP(G77,RegionMaster!$A$2:$A$5,RegionMaster!$B$2:$B$5)</f>
        <v>C</v>
      </c>
    </row>
    <row r="78" spans="1:20" ht="15.75" customHeight="1">
      <c r="A78" s="2" t="s">
        <v>680</v>
      </c>
      <c r="B78" s="2" t="s">
        <v>636</v>
      </c>
      <c r="C78" s="2" t="s">
        <v>162</v>
      </c>
      <c r="D78" s="3">
        <v>45743</v>
      </c>
      <c r="E78" s="3">
        <v>45747</v>
      </c>
      <c r="F78" s="4"/>
      <c r="G78" s="2" t="s">
        <v>17</v>
      </c>
      <c r="H78" s="2" t="s">
        <v>54</v>
      </c>
      <c r="I78" s="2" t="s">
        <v>121</v>
      </c>
      <c r="J78" s="2" t="s">
        <v>133</v>
      </c>
      <c r="K78" s="2">
        <v>3902.1</v>
      </c>
      <c r="L78" s="2" t="str">
        <f t="shared" si="6"/>
        <v>March</v>
      </c>
      <c r="M78" s="2" t="str">
        <f t="shared" si="7"/>
        <v>March</v>
      </c>
      <c r="N78" t="str">
        <f t="shared" si="8"/>
        <v>Delivered</v>
      </c>
      <c r="O78">
        <f t="shared" si="9"/>
        <v>4</v>
      </c>
      <c r="P78" t="str">
        <f t="shared" si="10"/>
        <v>Completed</v>
      </c>
      <c r="Q78" t="str">
        <f t="shared" si="11"/>
        <v>Slow</v>
      </c>
      <c r="R78" t="str">
        <f>_xlfn.XLOOKUP(B78,CustomerMaster!$A$2:$A$287,CustomerMaster!$B$2:$B$287)</f>
        <v>Customer_223</v>
      </c>
      <c r="S78" t="str">
        <f>_xlfn.XLOOKUP(C78,ProductMaster!$A$2:$A$51,ProductMaster!$B$2:$B$51)</f>
        <v>Product_35</v>
      </c>
      <c r="T78" t="str">
        <f>_xlfn.XLOOKUP(G78,RegionMaster!$A$2:$A$5,RegionMaster!$B$2:$B$5)</f>
        <v>B</v>
      </c>
    </row>
    <row r="79" spans="1:20" ht="15.75" customHeight="1">
      <c r="A79" s="2" t="s">
        <v>685</v>
      </c>
      <c r="B79" s="2" t="s">
        <v>284</v>
      </c>
      <c r="C79" s="2" t="s">
        <v>148</v>
      </c>
      <c r="D79" s="3">
        <v>45755</v>
      </c>
      <c r="E79" s="4"/>
      <c r="F79" s="3">
        <v>45756</v>
      </c>
      <c r="G79" s="2" t="s">
        <v>17</v>
      </c>
      <c r="H79" s="2" t="s">
        <v>37</v>
      </c>
      <c r="I79" s="2" t="s">
        <v>106</v>
      </c>
      <c r="J79" s="2" t="s">
        <v>133</v>
      </c>
      <c r="K79" s="2">
        <v>555.41</v>
      </c>
      <c r="L79" s="2" t="str">
        <f t="shared" si="6"/>
        <v>April</v>
      </c>
      <c r="M79" s="2" t="str">
        <f t="shared" si="7"/>
        <v>Cancelled</v>
      </c>
      <c r="N79" t="str">
        <f t="shared" si="8"/>
        <v>Cancelled</v>
      </c>
      <c r="O79" t="str">
        <f t="shared" si="9"/>
        <v>Order Cancelled</v>
      </c>
      <c r="P79" t="str">
        <f t="shared" si="10"/>
        <v>Cancelled</v>
      </c>
      <c r="Q79" t="str">
        <f t="shared" si="11"/>
        <v>Cancelled</v>
      </c>
      <c r="R79" t="str">
        <f>_xlfn.XLOOKUP(B79,CustomerMaster!$A$2:$A$287,CustomerMaster!$B$2:$B$287)</f>
        <v>Customer_54</v>
      </c>
      <c r="S79" t="str">
        <f>_xlfn.XLOOKUP(C79,ProductMaster!$A$2:$A$51,ProductMaster!$B$2:$B$51)</f>
        <v>Product_31</v>
      </c>
      <c r="T79" t="str">
        <f>_xlfn.XLOOKUP(G79,RegionMaster!$A$2:$A$5,RegionMaster!$B$2:$B$5)</f>
        <v>B</v>
      </c>
    </row>
    <row r="80" spans="1:20" ht="15.75" customHeight="1">
      <c r="A80" s="2" t="s">
        <v>692</v>
      </c>
      <c r="B80" s="2" t="s">
        <v>693</v>
      </c>
      <c r="C80" s="2" t="s">
        <v>43</v>
      </c>
      <c r="D80" s="3">
        <v>45670</v>
      </c>
      <c r="E80" s="3">
        <v>45674</v>
      </c>
      <c r="F80" s="4"/>
      <c r="G80" s="2" t="s">
        <v>45</v>
      </c>
      <c r="H80" s="2" t="s">
        <v>27</v>
      </c>
      <c r="I80" s="2" t="s">
        <v>90</v>
      </c>
      <c r="J80" s="2" t="s">
        <v>133</v>
      </c>
      <c r="K80" s="2">
        <v>1920.64</v>
      </c>
      <c r="L80" s="2" t="str">
        <f t="shared" si="6"/>
        <v>January</v>
      </c>
      <c r="M80" s="2" t="str">
        <f t="shared" si="7"/>
        <v>January</v>
      </c>
      <c r="N80" t="str">
        <f t="shared" si="8"/>
        <v>Delivered</v>
      </c>
      <c r="O80">
        <f t="shared" si="9"/>
        <v>4</v>
      </c>
      <c r="P80" t="str">
        <f t="shared" si="10"/>
        <v>Completed</v>
      </c>
      <c r="Q80" t="str">
        <f t="shared" si="11"/>
        <v>Slow</v>
      </c>
      <c r="R80" t="str">
        <f>_xlfn.XLOOKUP(B80,CustomerMaster!$A$2:$A$287,CustomerMaster!$B$2:$B$287)</f>
        <v>Customer_245</v>
      </c>
      <c r="S80" t="str">
        <f>_xlfn.XLOOKUP(C80,ProductMaster!$A$2:$A$51,ProductMaster!$B$2:$B$51)</f>
        <v>Product_5</v>
      </c>
      <c r="T80" t="str">
        <f>_xlfn.XLOOKUP(G80,RegionMaster!$A$2:$A$5,RegionMaster!$B$2:$B$5)</f>
        <v>D</v>
      </c>
    </row>
    <row r="81" spans="1:20" ht="15.75" customHeight="1">
      <c r="A81" s="2" t="s">
        <v>697</v>
      </c>
      <c r="B81" s="2" t="s">
        <v>340</v>
      </c>
      <c r="C81" s="2" t="s">
        <v>168</v>
      </c>
      <c r="D81" s="3">
        <v>45688</v>
      </c>
      <c r="E81" s="3">
        <v>45692</v>
      </c>
      <c r="F81" s="4"/>
      <c r="G81" s="2" t="s">
        <v>45</v>
      </c>
      <c r="H81" s="2" t="s">
        <v>54</v>
      </c>
      <c r="I81" s="2" t="s">
        <v>195</v>
      </c>
      <c r="J81" s="2" t="s">
        <v>94</v>
      </c>
      <c r="K81" s="2">
        <v>756.17</v>
      </c>
      <c r="L81" s="2" t="str">
        <f t="shared" si="6"/>
        <v>January</v>
      </c>
      <c r="M81" s="2" t="str">
        <f t="shared" si="7"/>
        <v>February</v>
      </c>
      <c r="N81" t="str">
        <f t="shared" si="8"/>
        <v>Delivered</v>
      </c>
      <c r="O81">
        <f t="shared" si="9"/>
        <v>4</v>
      </c>
      <c r="P81" t="str">
        <f t="shared" si="10"/>
        <v>Completed</v>
      </c>
      <c r="Q81" t="str">
        <f t="shared" si="11"/>
        <v>Slow</v>
      </c>
      <c r="R81" t="str">
        <f>_xlfn.XLOOKUP(B81,CustomerMaster!$A$2:$A$287,CustomerMaster!$B$2:$B$287)</f>
        <v>Customer_78</v>
      </c>
      <c r="S81" t="str">
        <f>_xlfn.XLOOKUP(C81,ProductMaster!$A$2:$A$51,ProductMaster!$B$2:$B$51)</f>
        <v>Product_37</v>
      </c>
      <c r="T81" t="str">
        <f>_xlfn.XLOOKUP(G81,RegionMaster!$A$2:$A$5,RegionMaster!$B$2:$B$5)</f>
        <v>D</v>
      </c>
    </row>
    <row r="82" spans="1:20" ht="15.75" customHeight="1">
      <c r="A82" s="2" t="s">
        <v>703</v>
      </c>
      <c r="B82" s="2" t="s">
        <v>704</v>
      </c>
      <c r="C82" s="2" t="s">
        <v>101</v>
      </c>
      <c r="D82" s="3">
        <v>45665</v>
      </c>
      <c r="E82" s="3">
        <v>45667</v>
      </c>
      <c r="F82" s="4"/>
      <c r="G82" s="2" t="s">
        <v>22</v>
      </c>
      <c r="H82" s="2" t="s">
        <v>27</v>
      </c>
      <c r="I82" s="2" t="s">
        <v>195</v>
      </c>
      <c r="J82" s="2" t="s">
        <v>107</v>
      </c>
      <c r="K82" s="2">
        <v>4342.8999999999996</v>
      </c>
      <c r="L82" s="2" t="str">
        <f t="shared" si="6"/>
        <v>January</v>
      </c>
      <c r="M82" s="2" t="str">
        <f t="shared" si="7"/>
        <v>January</v>
      </c>
      <c r="N82" t="str">
        <f t="shared" si="8"/>
        <v>Delivered</v>
      </c>
      <c r="O82">
        <f t="shared" si="9"/>
        <v>2</v>
      </c>
      <c r="P82" t="str">
        <f t="shared" si="10"/>
        <v>Completed</v>
      </c>
      <c r="Q82" t="str">
        <f t="shared" si="11"/>
        <v>Fast</v>
      </c>
      <c r="R82" t="str">
        <f>_xlfn.XLOOKUP(B82,CustomerMaster!$A$2:$A$287,CustomerMaster!$B$2:$B$287)</f>
        <v>Customer_242</v>
      </c>
      <c r="S82" t="str">
        <f>_xlfn.XLOOKUP(C82,ProductMaster!$A$2:$A$51,ProductMaster!$B$2:$B$51)</f>
        <v>Product_27</v>
      </c>
      <c r="T82" t="str">
        <f>_xlfn.XLOOKUP(G82,RegionMaster!$A$2:$A$5,RegionMaster!$B$2:$B$5)</f>
        <v>C</v>
      </c>
    </row>
    <row r="83" spans="1:20" ht="15.75" customHeight="1">
      <c r="A83" s="2" t="s">
        <v>709</v>
      </c>
      <c r="B83" s="2" t="s">
        <v>688</v>
      </c>
      <c r="C83" s="2" t="s">
        <v>130</v>
      </c>
      <c r="D83" s="3">
        <v>45731</v>
      </c>
      <c r="E83" s="3">
        <v>45734</v>
      </c>
      <c r="F83" s="4"/>
      <c r="G83" s="2" t="s">
        <v>45</v>
      </c>
      <c r="H83" s="2" t="s">
        <v>27</v>
      </c>
      <c r="I83" s="2" t="s">
        <v>121</v>
      </c>
      <c r="J83" s="2" t="s">
        <v>94</v>
      </c>
      <c r="K83" s="2">
        <v>3191.83</v>
      </c>
      <c r="L83" s="2" t="str">
        <f t="shared" si="6"/>
        <v>March</v>
      </c>
      <c r="M83" s="2" t="str">
        <f t="shared" si="7"/>
        <v>March</v>
      </c>
      <c r="N83" t="str">
        <f t="shared" si="8"/>
        <v>Delivered</v>
      </c>
      <c r="O83">
        <f t="shared" si="9"/>
        <v>3</v>
      </c>
      <c r="P83" t="str">
        <f t="shared" si="10"/>
        <v>Completed</v>
      </c>
      <c r="Q83" t="str">
        <f t="shared" si="11"/>
        <v>Slow</v>
      </c>
      <c r="R83" t="str">
        <f>_xlfn.XLOOKUP(B83,CustomerMaster!$A$2:$A$287,CustomerMaster!$B$2:$B$287)</f>
        <v>Customer_226</v>
      </c>
      <c r="S83" t="str">
        <f>_xlfn.XLOOKUP(C83,ProductMaster!$A$2:$A$51,ProductMaster!$B$2:$B$51)</f>
        <v>Product_26</v>
      </c>
      <c r="T83" t="str">
        <f>_xlfn.XLOOKUP(G83,RegionMaster!$A$2:$A$5,RegionMaster!$B$2:$B$5)</f>
        <v>D</v>
      </c>
    </row>
    <row r="84" spans="1:20" ht="15.75" customHeight="1">
      <c r="A84" s="2" t="s">
        <v>715</v>
      </c>
      <c r="B84" s="2" t="s">
        <v>430</v>
      </c>
      <c r="C84" s="2" t="s">
        <v>162</v>
      </c>
      <c r="D84" s="3">
        <v>45776</v>
      </c>
      <c r="E84" s="3">
        <v>45778</v>
      </c>
      <c r="F84" s="4"/>
      <c r="G84" s="2" t="s">
        <v>22</v>
      </c>
      <c r="H84" s="2" t="s">
        <v>27</v>
      </c>
      <c r="I84" s="2" t="s">
        <v>90</v>
      </c>
      <c r="J84" s="2" t="s">
        <v>133</v>
      </c>
      <c r="K84" s="2">
        <v>1788.31</v>
      </c>
      <c r="L84" s="2" t="str">
        <f t="shared" si="6"/>
        <v>April</v>
      </c>
      <c r="M84" s="2" t="str">
        <f t="shared" si="7"/>
        <v>May</v>
      </c>
      <c r="N84" t="str">
        <f t="shared" si="8"/>
        <v>Delivered</v>
      </c>
      <c r="O84">
        <f t="shared" si="9"/>
        <v>2</v>
      </c>
      <c r="P84" t="str">
        <f t="shared" si="10"/>
        <v>Completed</v>
      </c>
      <c r="Q84" t="str">
        <f t="shared" si="11"/>
        <v>Fast</v>
      </c>
      <c r="R84" t="str">
        <f>_xlfn.XLOOKUP(B84,CustomerMaster!$A$2:$A$287,CustomerMaster!$B$2:$B$287)</f>
        <v>Customer_118</v>
      </c>
      <c r="S84" t="str">
        <f>_xlfn.XLOOKUP(C84,ProductMaster!$A$2:$A$51,ProductMaster!$B$2:$B$51)</f>
        <v>Product_35</v>
      </c>
      <c r="T84" t="str">
        <f>_xlfn.XLOOKUP(G84,RegionMaster!$A$2:$A$5,RegionMaster!$B$2:$B$5)</f>
        <v>C</v>
      </c>
    </row>
    <row r="85" spans="1:20" ht="15.75" customHeight="1">
      <c r="A85" s="2" t="s">
        <v>724</v>
      </c>
      <c r="B85" s="2" t="s">
        <v>166</v>
      </c>
      <c r="C85" s="2" t="s">
        <v>32</v>
      </c>
      <c r="D85" s="3">
        <v>45735</v>
      </c>
      <c r="E85" s="4"/>
      <c r="F85" s="3">
        <v>45735</v>
      </c>
      <c r="G85" s="2" t="s">
        <v>7</v>
      </c>
      <c r="H85" s="2" t="s">
        <v>54</v>
      </c>
      <c r="I85" s="2" t="s">
        <v>90</v>
      </c>
      <c r="J85" s="2" t="s">
        <v>94</v>
      </c>
      <c r="K85" s="2">
        <v>505.08</v>
      </c>
      <c r="L85" s="2" t="str">
        <f t="shared" si="6"/>
        <v>March</v>
      </c>
      <c r="M85" s="2" t="str">
        <f t="shared" si="7"/>
        <v>Cancelled</v>
      </c>
      <c r="N85" t="str">
        <f t="shared" si="8"/>
        <v>Cancelled</v>
      </c>
      <c r="O85" t="str">
        <f t="shared" si="9"/>
        <v>Order Cancelled</v>
      </c>
      <c r="P85" t="str">
        <f t="shared" si="10"/>
        <v>Cancelled</v>
      </c>
      <c r="Q85" t="str">
        <f t="shared" si="11"/>
        <v>Cancelled</v>
      </c>
      <c r="R85" t="str">
        <f>_xlfn.XLOOKUP(B85,CustomerMaster!$A$2:$A$287,CustomerMaster!$B$2:$B$287)</f>
        <v>Customer_21</v>
      </c>
      <c r="S85" t="str">
        <f>_xlfn.XLOOKUP(C85,ProductMaster!$A$2:$A$51,ProductMaster!$B$2:$B$51)</f>
        <v>Product_3</v>
      </c>
      <c r="T85" t="str">
        <f>_xlfn.XLOOKUP(G85,RegionMaster!$A$2:$A$5,RegionMaster!$B$2:$B$5)</f>
        <v>A</v>
      </c>
    </row>
    <row r="86" spans="1:20" ht="15.75" customHeight="1">
      <c r="A86" s="2" t="s">
        <v>730</v>
      </c>
      <c r="B86" s="2" t="s">
        <v>613</v>
      </c>
      <c r="C86" s="2" t="s">
        <v>69</v>
      </c>
      <c r="D86" s="3">
        <v>45750</v>
      </c>
      <c r="E86" s="3">
        <v>45753</v>
      </c>
      <c r="F86" s="4"/>
      <c r="G86" s="2" t="s">
        <v>45</v>
      </c>
      <c r="H86" s="2" t="s">
        <v>27</v>
      </c>
      <c r="I86" s="2" t="s">
        <v>106</v>
      </c>
      <c r="J86" s="2" t="s">
        <v>94</v>
      </c>
      <c r="K86" s="2">
        <v>1692.72</v>
      </c>
      <c r="L86" s="2" t="str">
        <f t="shared" si="6"/>
        <v>April</v>
      </c>
      <c r="M86" s="2" t="str">
        <f t="shared" si="7"/>
        <v>April</v>
      </c>
      <c r="N86" t="str">
        <f t="shared" si="8"/>
        <v>Delivered</v>
      </c>
      <c r="O86">
        <f t="shared" si="9"/>
        <v>3</v>
      </c>
      <c r="P86" t="str">
        <f t="shared" si="10"/>
        <v>Completed</v>
      </c>
      <c r="Q86" t="str">
        <f t="shared" si="11"/>
        <v>Slow</v>
      </c>
      <c r="R86" t="str">
        <f>_xlfn.XLOOKUP(B86,CustomerMaster!$A$2:$A$287,CustomerMaster!$B$2:$B$287)</f>
        <v>Customer_192</v>
      </c>
      <c r="S86" t="str">
        <f>_xlfn.XLOOKUP(C86,ProductMaster!$A$2:$A$51,ProductMaster!$B$2:$B$51)</f>
        <v>Product_9</v>
      </c>
      <c r="T86" t="str">
        <f>_xlfn.XLOOKUP(G86,RegionMaster!$A$2:$A$5,RegionMaster!$B$2:$B$5)</f>
        <v>D</v>
      </c>
    </row>
    <row r="87" spans="1:20" ht="15.75" customHeight="1">
      <c r="A87" s="2" t="s">
        <v>736</v>
      </c>
      <c r="B87" s="2" t="s">
        <v>681</v>
      </c>
      <c r="C87" s="2" t="s">
        <v>122</v>
      </c>
      <c r="D87" s="3">
        <v>45723</v>
      </c>
      <c r="E87" s="3">
        <v>45727</v>
      </c>
      <c r="F87" s="4"/>
      <c r="G87" s="2" t="s">
        <v>17</v>
      </c>
      <c r="H87" s="2" t="s">
        <v>37</v>
      </c>
      <c r="I87" s="2" t="s">
        <v>178</v>
      </c>
      <c r="J87" s="2" t="s">
        <v>133</v>
      </c>
      <c r="K87" s="2">
        <v>1760.88</v>
      </c>
      <c r="L87" s="2" t="str">
        <f t="shared" si="6"/>
        <v>March</v>
      </c>
      <c r="M87" s="2" t="str">
        <f t="shared" si="7"/>
        <v>March</v>
      </c>
      <c r="N87" t="str">
        <f t="shared" si="8"/>
        <v>Delivered</v>
      </c>
      <c r="O87">
        <f t="shared" si="9"/>
        <v>4</v>
      </c>
      <c r="P87" t="str">
        <f t="shared" si="10"/>
        <v>Completed</v>
      </c>
      <c r="Q87" t="str">
        <f t="shared" si="11"/>
        <v>Slow</v>
      </c>
      <c r="R87" t="str">
        <f>_xlfn.XLOOKUP(B87,CustomerMaster!$A$2:$A$287,CustomerMaster!$B$2:$B$287)</f>
        <v>Customer_222</v>
      </c>
      <c r="S87" t="str">
        <f>_xlfn.XLOOKUP(C87,ProductMaster!$A$2:$A$51,ProductMaster!$B$2:$B$51)</f>
        <v>Product_23</v>
      </c>
      <c r="T87" t="str">
        <f>_xlfn.XLOOKUP(G87,RegionMaster!$A$2:$A$5,RegionMaster!$B$2:$B$5)</f>
        <v>B</v>
      </c>
    </row>
    <row r="88" spans="1:20" ht="15.75" customHeight="1">
      <c r="A88" s="2" t="s">
        <v>741</v>
      </c>
      <c r="B88" s="2" t="s">
        <v>446</v>
      </c>
      <c r="C88" s="2" t="s">
        <v>114</v>
      </c>
      <c r="D88" s="3">
        <v>45679</v>
      </c>
      <c r="E88" s="4"/>
      <c r="F88" s="3">
        <v>45680</v>
      </c>
      <c r="G88" s="2" t="s">
        <v>22</v>
      </c>
      <c r="H88" s="2" t="s">
        <v>16</v>
      </c>
      <c r="I88" s="2" t="s">
        <v>121</v>
      </c>
      <c r="J88" s="2" t="s">
        <v>107</v>
      </c>
      <c r="K88" s="2">
        <v>3702.11</v>
      </c>
      <c r="L88" s="2" t="str">
        <f t="shared" si="6"/>
        <v>January</v>
      </c>
      <c r="M88" s="2" t="str">
        <f t="shared" si="7"/>
        <v>Cancelled</v>
      </c>
      <c r="N88" t="str">
        <f t="shared" si="8"/>
        <v>Cancelled</v>
      </c>
      <c r="O88" t="str">
        <f t="shared" si="9"/>
        <v>Order Cancelled</v>
      </c>
      <c r="P88" t="str">
        <f t="shared" si="10"/>
        <v>Cancelled</v>
      </c>
      <c r="Q88" t="str">
        <f t="shared" si="11"/>
        <v>Cancelled</v>
      </c>
      <c r="R88" t="str">
        <f>_xlfn.XLOOKUP(B88,CustomerMaster!$A$2:$A$287,CustomerMaster!$B$2:$B$287)</f>
        <v>Customer_124</v>
      </c>
      <c r="S88" t="str">
        <f>_xlfn.XLOOKUP(C88,ProductMaster!$A$2:$A$51,ProductMaster!$B$2:$B$51)</f>
        <v>Product_21</v>
      </c>
      <c r="T88" t="str">
        <f>_xlfn.XLOOKUP(G88,RegionMaster!$A$2:$A$5,RegionMaster!$B$2:$B$5)</f>
        <v>C</v>
      </c>
    </row>
    <row r="89" spans="1:20" ht="15.75" customHeight="1">
      <c r="A89" s="2" t="s">
        <v>747</v>
      </c>
      <c r="B89" s="2" t="s">
        <v>625</v>
      </c>
      <c r="C89" s="2" t="s">
        <v>29</v>
      </c>
      <c r="D89" s="3">
        <v>45732</v>
      </c>
      <c r="E89" s="4"/>
      <c r="F89" s="3">
        <v>45733</v>
      </c>
      <c r="G89" s="2" t="s">
        <v>17</v>
      </c>
      <c r="H89" s="2" t="s">
        <v>54</v>
      </c>
      <c r="I89" s="2" t="s">
        <v>195</v>
      </c>
      <c r="J89" s="2" t="s">
        <v>107</v>
      </c>
      <c r="K89" s="2">
        <v>3260.28</v>
      </c>
      <c r="L89" s="2" t="str">
        <f t="shared" si="6"/>
        <v>March</v>
      </c>
      <c r="M89" s="2" t="str">
        <f t="shared" si="7"/>
        <v>Cancelled</v>
      </c>
      <c r="N89" t="str">
        <f t="shared" si="8"/>
        <v>Cancelled</v>
      </c>
      <c r="O89" t="str">
        <f t="shared" si="9"/>
        <v>Order Cancelled</v>
      </c>
      <c r="P89" t="str">
        <f t="shared" si="10"/>
        <v>Cancelled</v>
      </c>
      <c r="Q89" t="str">
        <f t="shared" si="11"/>
        <v>Cancelled</v>
      </c>
      <c r="R89" t="str">
        <f>_xlfn.XLOOKUP(B89,CustomerMaster!$A$2:$A$287,CustomerMaster!$B$2:$B$287)</f>
        <v>Customer_198</v>
      </c>
      <c r="S89" t="str">
        <f>_xlfn.XLOOKUP(C89,ProductMaster!$A$2:$A$51,ProductMaster!$B$2:$B$51)</f>
        <v>Product_2</v>
      </c>
      <c r="T89" t="str">
        <f>_xlfn.XLOOKUP(G89,RegionMaster!$A$2:$A$5,RegionMaster!$B$2:$B$5)</f>
        <v>B</v>
      </c>
    </row>
    <row r="90" spans="1:20" ht="15.75" customHeight="1">
      <c r="A90" s="2" t="s">
        <v>754</v>
      </c>
      <c r="B90" s="2" t="s">
        <v>515</v>
      </c>
      <c r="C90" s="2" t="s">
        <v>207</v>
      </c>
      <c r="D90" s="3">
        <v>45674</v>
      </c>
      <c r="E90" s="3">
        <v>45678</v>
      </c>
      <c r="F90" s="4"/>
      <c r="G90" s="2" t="s">
        <v>7</v>
      </c>
      <c r="H90" s="2" t="s">
        <v>27</v>
      </c>
      <c r="I90" s="2" t="s">
        <v>121</v>
      </c>
      <c r="J90" s="2" t="s">
        <v>94</v>
      </c>
      <c r="K90" s="2">
        <v>4458.62</v>
      </c>
      <c r="L90" s="2" t="str">
        <f t="shared" si="6"/>
        <v>January</v>
      </c>
      <c r="M90" s="2" t="str">
        <f t="shared" si="7"/>
        <v>January</v>
      </c>
      <c r="N90" t="str">
        <f t="shared" si="8"/>
        <v>Delivered</v>
      </c>
      <c r="O90">
        <f t="shared" si="9"/>
        <v>4</v>
      </c>
      <c r="P90" t="str">
        <f t="shared" si="10"/>
        <v>Completed</v>
      </c>
      <c r="Q90" t="str">
        <f t="shared" si="11"/>
        <v>Slow</v>
      </c>
      <c r="R90" t="str">
        <f>_xlfn.XLOOKUP(B90,CustomerMaster!$A$2:$A$287,CustomerMaster!$B$2:$B$287)</f>
        <v>Customer_152</v>
      </c>
      <c r="S90" t="str">
        <f>_xlfn.XLOOKUP(C90,ProductMaster!$A$2:$A$51,ProductMaster!$B$2:$B$51)</f>
        <v>Product_47</v>
      </c>
      <c r="T90" t="str">
        <f>_xlfn.XLOOKUP(G90,RegionMaster!$A$2:$A$5,RegionMaster!$B$2:$B$5)</f>
        <v>A</v>
      </c>
    </row>
    <row r="91" spans="1:20" ht="15.75" customHeight="1">
      <c r="A91" s="2" t="s">
        <v>757</v>
      </c>
      <c r="B91" s="2" t="s">
        <v>392</v>
      </c>
      <c r="C91" s="2" t="s">
        <v>146</v>
      </c>
      <c r="D91" s="3">
        <v>45761</v>
      </c>
      <c r="E91" s="4"/>
      <c r="F91" s="3">
        <v>45763</v>
      </c>
      <c r="G91" s="2" t="s">
        <v>7</v>
      </c>
      <c r="H91" s="2" t="s">
        <v>59</v>
      </c>
      <c r="I91" s="2" t="s">
        <v>121</v>
      </c>
      <c r="J91" s="2" t="s">
        <v>133</v>
      </c>
      <c r="K91" s="2">
        <v>2466.63</v>
      </c>
      <c r="L91" s="2" t="str">
        <f t="shared" si="6"/>
        <v>April</v>
      </c>
      <c r="M91" s="2" t="str">
        <f t="shared" si="7"/>
        <v>Cancelled</v>
      </c>
      <c r="N91" t="str">
        <f t="shared" si="8"/>
        <v>Cancelled</v>
      </c>
      <c r="O91" t="str">
        <f t="shared" si="9"/>
        <v>Order Cancelled</v>
      </c>
      <c r="P91" t="str">
        <f t="shared" si="10"/>
        <v>Cancelled</v>
      </c>
      <c r="Q91" t="str">
        <f t="shared" si="11"/>
        <v>Cancelled</v>
      </c>
      <c r="R91" t="str">
        <f>_xlfn.XLOOKUP(B91,CustomerMaster!$A$2:$A$287,CustomerMaster!$B$2:$B$287)</f>
        <v>Customer_101</v>
      </c>
      <c r="S91" t="str">
        <f>_xlfn.XLOOKUP(C91,ProductMaster!$A$2:$A$51,ProductMaster!$B$2:$B$51)</f>
        <v>Product_30</v>
      </c>
      <c r="T91" t="str">
        <f>_xlfn.XLOOKUP(G91,RegionMaster!$A$2:$A$5,RegionMaster!$B$2:$B$5)</f>
        <v>A</v>
      </c>
    </row>
    <row r="92" spans="1:20" ht="15.75" customHeight="1">
      <c r="A92" s="2" t="s">
        <v>764</v>
      </c>
      <c r="B92" s="2" t="s">
        <v>565</v>
      </c>
      <c r="C92" s="2" t="s">
        <v>125</v>
      </c>
      <c r="D92" s="3">
        <v>45707</v>
      </c>
      <c r="E92" s="3">
        <v>45712</v>
      </c>
      <c r="F92" s="4"/>
      <c r="G92" s="2" t="s">
        <v>22</v>
      </c>
      <c r="H92" s="2" t="s">
        <v>59</v>
      </c>
      <c r="I92" s="2" t="s">
        <v>106</v>
      </c>
      <c r="J92" s="2" t="s">
        <v>94</v>
      </c>
      <c r="K92" s="2">
        <v>774.05</v>
      </c>
      <c r="L92" s="2" t="str">
        <f t="shared" si="6"/>
        <v>February</v>
      </c>
      <c r="M92" s="2" t="str">
        <f t="shared" si="7"/>
        <v>February</v>
      </c>
      <c r="N92" t="str">
        <f t="shared" si="8"/>
        <v>Delivered</v>
      </c>
      <c r="O92">
        <f t="shared" si="9"/>
        <v>5</v>
      </c>
      <c r="P92" t="str">
        <f t="shared" si="10"/>
        <v>Completed</v>
      </c>
      <c r="Q92" t="str">
        <f t="shared" si="11"/>
        <v>Slow</v>
      </c>
      <c r="R92" t="str">
        <f>_xlfn.XLOOKUP(B92,CustomerMaster!$A$2:$A$287,CustomerMaster!$B$2:$B$287)</f>
        <v>Customer_173</v>
      </c>
      <c r="S92" t="str">
        <f>_xlfn.XLOOKUP(C92,ProductMaster!$A$2:$A$51,ProductMaster!$B$2:$B$51)</f>
        <v>Product_24</v>
      </c>
      <c r="T92" t="str">
        <f>_xlfn.XLOOKUP(G92,RegionMaster!$A$2:$A$5,RegionMaster!$B$2:$B$5)</f>
        <v>C</v>
      </c>
    </row>
    <row r="93" spans="1:20" ht="15.75" customHeight="1">
      <c r="A93" s="2" t="s">
        <v>803</v>
      </c>
      <c r="B93" s="2" t="s">
        <v>606</v>
      </c>
      <c r="C93" s="2" t="s">
        <v>160</v>
      </c>
      <c r="D93" s="3">
        <v>45658</v>
      </c>
      <c r="E93" s="4"/>
      <c r="F93" s="3">
        <v>45658</v>
      </c>
      <c r="G93" s="2" t="s">
        <v>22</v>
      </c>
      <c r="H93" s="2" t="s">
        <v>37</v>
      </c>
      <c r="I93" s="2" t="s">
        <v>195</v>
      </c>
      <c r="J93" s="2" t="s">
        <v>133</v>
      </c>
      <c r="K93" s="2">
        <v>3623.57</v>
      </c>
      <c r="L93" s="2" t="str">
        <f t="shared" si="6"/>
        <v>January</v>
      </c>
      <c r="M93" s="2" t="str">
        <f t="shared" si="7"/>
        <v>Cancelled</v>
      </c>
      <c r="N93" t="str">
        <f t="shared" si="8"/>
        <v>Cancelled</v>
      </c>
      <c r="O93" t="str">
        <f t="shared" si="9"/>
        <v>Order Cancelled</v>
      </c>
      <c r="P93" t="str">
        <f t="shared" si="10"/>
        <v>Cancelled</v>
      </c>
      <c r="Q93" t="str">
        <f t="shared" si="11"/>
        <v>Cancelled</v>
      </c>
      <c r="R93" t="str">
        <f>_xlfn.XLOOKUP(B93,CustomerMaster!$A$2:$A$287,CustomerMaster!$B$2:$B$287)</f>
        <v>Customer_189</v>
      </c>
      <c r="S93" t="str">
        <f>_xlfn.XLOOKUP(C93,ProductMaster!$A$2:$A$51,ProductMaster!$B$2:$B$51)</f>
        <v>Product_34</v>
      </c>
      <c r="T93" t="str">
        <f>_xlfn.XLOOKUP(G93,RegionMaster!$A$2:$A$5,RegionMaster!$B$2:$B$5)</f>
        <v>C</v>
      </c>
    </row>
    <row r="94" spans="1:20" ht="15.75" customHeight="1">
      <c r="A94" s="2" t="s">
        <v>804</v>
      </c>
      <c r="B94" s="2" t="s">
        <v>459</v>
      </c>
      <c r="C94" s="2" t="s">
        <v>29</v>
      </c>
      <c r="D94" s="3">
        <v>45739</v>
      </c>
      <c r="E94" s="3">
        <v>45744</v>
      </c>
      <c r="F94" s="4"/>
      <c r="G94" s="2" t="s">
        <v>7</v>
      </c>
      <c r="H94" s="2" t="s">
        <v>59</v>
      </c>
      <c r="I94" s="2" t="s">
        <v>178</v>
      </c>
      <c r="J94" s="2" t="s">
        <v>107</v>
      </c>
      <c r="K94" s="2">
        <v>3851.77</v>
      </c>
      <c r="L94" s="2" t="str">
        <f t="shared" si="6"/>
        <v>March</v>
      </c>
      <c r="M94" s="2" t="str">
        <f t="shared" si="7"/>
        <v>March</v>
      </c>
      <c r="N94" t="str">
        <f t="shared" si="8"/>
        <v>Delivered</v>
      </c>
      <c r="O94">
        <f t="shared" si="9"/>
        <v>5</v>
      </c>
      <c r="P94" t="str">
        <f t="shared" si="10"/>
        <v>Completed</v>
      </c>
      <c r="Q94" t="str">
        <f t="shared" si="11"/>
        <v>Slow</v>
      </c>
      <c r="R94" t="str">
        <f>_xlfn.XLOOKUP(B94,CustomerMaster!$A$2:$A$287,CustomerMaster!$B$2:$B$287)</f>
        <v>Customer_129</v>
      </c>
      <c r="S94" t="str">
        <f>_xlfn.XLOOKUP(C94,ProductMaster!$A$2:$A$51,ProductMaster!$B$2:$B$51)</f>
        <v>Product_2</v>
      </c>
      <c r="T94" t="str">
        <f>_xlfn.XLOOKUP(G94,RegionMaster!$A$2:$A$5,RegionMaster!$B$2:$B$5)</f>
        <v>A</v>
      </c>
    </row>
    <row r="95" spans="1:20" ht="15.75" customHeight="1">
      <c r="A95" s="2" t="s">
        <v>805</v>
      </c>
      <c r="B95" s="2" t="s">
        <v>85</v>
      </c>
      <c r="C95" s="2" t="s">
        <v>180</v>
      </c>
      <c r="D95" s="3">
        <v>45663</v>
      </c>
      <c r="E95" s="4"/>
      <c r="F95" s="3">
        <v>45665</v>
      </c>
      <c r="G95" s="2" t="s">
        <v>7</v>
      </c>
      <c r="H95" s="2" t="s">
        <v>59</v>
      </c>
      <c r="I95" s="2" t="s">
        <v>195</v>
      </c>
      <c r="J95" s="2" t="s">
        <v>133</v>
      </c>
      <c r="K95" s="2">
        <v>2894.13</v>
      </c>
      <c r="L95" s="2" t="str">
        <f t="shared" si="6"/>
        <v>January</v>
      </c>
      <c r="M95" s="2" t="str">
        <f t="shared" si="7"/>
        <v>Cancelled</v>
      </c>
      <c r="N95" t="str">
        <f t="shared" si="8"/>
        <v>Cancelled</v>
      </c>
      <c r="O95" t="str">
        <f t="shared" si="9"/>
        <v>Order Cancelled</v>
      </c>
      <c r="P95" t="str">
        <f t="shared" si="10"/>
        <v>Cancelled</v>
      </c>
      <c r="Q95" t="str">
        <f t="shared" si="11"/>
        <v>Cancelled</v>
      </c>
      <c r="R95" t="str">
        <f>_xlfn.XLOOKUP(B95,CustomerMaster!$A$2:$A$287,CustomerMaster!$B$2:$B$287)</f>
        <v>Customer_11</v>
      </c>
      <c r="S95" t="str">
        <f>_xlfn.XLOOKUP(C95,ProductMaster!$A$2:$A$51,ProductMaster!$B$2:$B$51)</f>
        <v>Product_40</v>
      </c>
      <c r="T95" t="str">
        <f>_xlfn.XLOOKUP(G95,RegionMaster!$A$2:$A$5,RegionMaster!$B$2:$B$5)</f>
        <v>A</v>
      </c>
    </row>
    <row r="96" spans="1:20" ht="15.75" customHeight="1">
      <c r="A96" s="2" t="s">
        <v>806</v>
      </c>
      <c r="B96" s="2" t="s">
        <v>407</v>
      </c>
      <c r="C96" s="2" t="s">
        <v>91</v>
      </c>
      <c r="D96" s="3">
        <v>45770</v>
      </c>
      <c r="E96" s="4"/>
      <c r="F96" s="3">
        <v>45770</v>
      </c>
      <c r="G96" s="2" t="s">
        <v>17</v>
      </c>
      <c r="H96" s="2" t="s">
        <v>16</v>
      </c>
      <c r="I96" s="2" t="s">
        <v>195</v>
      </c>
      <c r="J96" s="2" t="s">
        <v>94</v>
      </c>
      <c r="K96" s="2">
        <v>3900.64</v>
      </c>
      <c r="L96" s="2" t="str">
        <f t="shared" si="6"/>
        <v>April</v>
      </c>
      <c r="M96" s="2" t="str">
        <f t="shared" si="7"/>
        <v>Cancelled</v>
      </c>
      <c r="N96" t="str">
        <f t="shared" si="8"/>
        <v>Cancelled</v>
      </c>
      <c r="O96" t="str">
        <f t="shared" si="9"/>
        <v>Order Cancelled</v>
      </c>
      <c r="P96" t="str">
        <f t="shared" si="10"/>
        <v>Cancelled</v>
      </c>
      <c r="Q96" t="str">
        <f t="shared" si="11"/>
        <v>Cancelled</v>
      </c>
      <c r="R96" t="str">
        <f>_xlfn.XLOOKUP(B96,CustomerMaster!$A$2:$A$287,CustomerMaster!$B$2:$B$287)</f>
        <v>Customer_215</v>
      </c>
      <c r="S96" t="str">
        <f>_xlfn.XLOOKUP(C96,ProductMaster!$A$2:$A$51,ProductMaster!$B$2:$B$51)</f>
        <v>Product_16</v>
      </c>
      <c r="T96" t="str">
        <f>_xlfn.XLOOKUP(G96,RegionMaster!$A$2:$A$5,RegionMaster!$B$2:$B$5)</f>
        <v>B</v>
      </c>
    </row>
    <row r="97" spans="1:20" ht="15.75" customHeight="1">
      <c r="A97" s="2" t="s">
        <v>807</v>
      </c>
      <c r="B97" s="2" t="s">
        <v>504</v>
      </c>
      <c r="C97" s="2" t="s">
        <v>183</v>
      </c>
      <c r="D97" s="3">
        <v>45680</v>
      </c>
      <c r="E97" s="3">
        <v>45684</v>
      </c>
      <c r="F97" s="4"/>
      <c r="G97" s="2" t="s">
        <v>7</v>
      </c>
      <c r="H97" s="2" t="s">
        <v>37</v>
      </c>
      <c r="I97" s="2" t="s">
        <v>90</v>
      </c>
      <c r="J97" s="2" t="s">
        <v>133</v>
      </c>
      <c r="K97" s="2">
        <v>2570.2199999999998</v>
      </c>
      <c r="L97" s="2" t="str">
        <f t="shared" si="6"/>
        <v>January</v>
      </c>
      <c r="M97" s="2" t="str">
        <f t="shared" si="7"/>
        <v>January</v>
      </c>
      <c r="N97" t="str">
        <f t="shared" si="8"/>
        <v>Delivered</v>
      </c>
      <c r="O97">
        <f t="shared" si="9"/>
        <v>4</v>
      </c>
      <c r="P97" t="str">
        <f t="shared" si="10"/>
        <v>Completed</v>
      </c>
      <c r="Q97" t="str">
        <f t="shared" si="11"/>
        <v>Slow</v>
      </c>
      <c r="R97" t="str">
        <f>_xlfn.XLOOKUP(B97,CustomerMaster!$A$2:$A$287,CustomerMaster!$B$2:$B$287)</f>
        <v>Customer_148</v>
      </c>
      <c r="S97" t="str">
        <f>_xlfn.XLOOKUP(C97,ProductMaster!$A$2:$A$51,ProductMaster!$B$2:$B$51)</f>
        <v>Product_41</v>
      </c>
      <c r="T97" t="str">
        <f>_xlfn.XLOOKUP(G97,RegionMaster!$A$2:$A$5,RegionMaster!$B$2:$B$5)</f>
        <v>A</v>
      </c>
    </row>
    <row r="98" spans="1:20" ht="15.75" customHeight="1">
      <c r="A98" s="2" t="s">
        <v>808</v>
      </c>
      <c r="B98" s="2" t="s">
        <v>766</v>
      </c>
      <c r="C98" s="2" t="s">
        <v>130</v>
      </c>
      <c r="D98" s="3">
        <v>45667</v>
      </c>
      <c r="E98" s="3">
        <v>45670</v>
      </c>
      <c r="F98" s="4"/>
      <c r="G98" s="2" t="s">
        <v>45</v>
      </c>
      <c r="H98" s="2" t="s">
        <v>37</v>
      </c>
      <c r="I98" s="2" t="s">
        <v>106</v>
      </c>
      <c r="J98" s="2" t="s">
        <v>133</v>
      </c>
      <c r="K98" s="2">
        <v>2709.12</v>
      </c>
      <c r="L98" s="2" t="str">
        <f t="shared" si="6"/>
        <v>January</v>
      </c>
      <c r="M98" s="2" t="str">
        <f t="shared" si="7"/>
        <v>January</v>
      </c>
      <c r="N98" t="str">
        <f t="shared" si="8"/>
        <v>Delivered</v>
      </c>
      <c r="O98">
        <f t="shared" si="9"/>
        <v>3</v>
      </c>
      <c r="P98" t="str">
        <f t="shared" si="10"/>
        <v>Completed</v>
      </c>
      <c r="Q98" t="str">
        <f t="shared" si="11"/>
        <v>Slow</v>
      </c>
      <c r="R98" t="str">
        <f>_xlfn.XLOOKUP(B98,CustomerMaster!$A$2:$A$287,CustomerMaster!$B$2:$B$287)</f>
        <v>Customer_263</v>
      </c>
      <c r="S98" t="str">
        <f>_xlfn.XLOOKUP(C98,ProductMaster!$A$2:$A$51,ProductMaster!$B$2:$B$51)</f>
        <v>Product_26</v>
      </c>
      <c r="T98" t="str">
        <f>_xlfn.XLOOKUP(G98,RegionMaster!$A$2:$A$5,RegionMaster!$B$2:$B$5)</f>
        <v>D</v>
      </c>
    </row>
    <row r="99" spans="1:20" ht="15.75" customHeight="1">
      <c r="A99" s="2" t="s">
        <v>809</v>
      </c>
      <c r="B99" s="2" t="s">
        <v>523</v>
      </c>
      <c r="C99" s="2" t="s">
        <v>102</v>
      </c>
      <c r="D99" s="3">
        <v>45758</v>
      </c>
      <c r="E99" s="4"/>
      <c r="F99" s="3">
        <v>45758</v>
      </c>
      <c r="G99" s="2" t="s">
        <v>17</v>
      </c>
      <c r="H99" s="2" t="s">
        <v>27</v>
      </c>
      <c r="I99" s="2" t="s">
        <v>195</v>
      </c>
      <c r="J99" s="2" t="s">
        <v>107</v>
      </c>
      <c r="K99" s="2">
        <v>2252.1999999999998</v>
      </c>
      <c r="L99" s="2" t="str">
        <f t="shared" si="6"/>
        <v>April</v>
      </c>
      <c r="M99" s="2" t="str">
        <f t="shared" si="7"/>
        <v>Cancelled</v>
      </c>
      <c r="N99" t="str">
        <f t="shared" si="8"/>
        <v>Cancelled</v>
      </c>
      <c r="O99" t="str">
        <f t="shared" si="9"/>
        <v>Order Cancelled</v>
      </c>
      <c r="P99" t="str">
        <f t="shared" si="10"/>
        <v>Cancelled</v>
      </c>
      <c r="Q99" t="str">
        <f t="shared" si="11"/>
        <v>Cancelled</v>
      </c>
      <c r="R99" t="str">
        <f>_xlfn.XLOOKUP(B99,CustomerMaster!$A$2:$A$287,CustomerMaster!$B$2:$B$287)</f>
        <v>Customer_229</v>
      </c>
      <c r="S99" t="str">
        <f>_xlfn.XLOOKUP(C99,ProductMaster!$A$2:$A$51,ProductMaster!$B$2:$B$51)</f>
        <v>Product_18</v>
      </c>
      <c r="T99" t="str">
        <f>_xlfn.XLOOKUP(G99,RegionMaster!$A$2:$A$5,RegionMaster!$B$2:$B$5)</f>
        <v>B</v>
      </c>
    </row>
    <row r="100" spans="1:20" ht="15.75" customHeight="1">
      <c r="A100" s="2" t="s">
        <v>810</v>
      </c>
      <c r="B100" s="2" t="s">
        <v>739</v>
      </c>
      <c r="C100" s="2" t="s">
        <v>75</v>
      </c>
      <c r="D100" s="3">
        <v>45678</v>
      </c>
      <c r="E100" s="3">
        <v>45680</v>
      </c>
      <c r="F100" s="4"/>
      <c r="G100" s="2" t="s">
        <v>45</v>
      </c>
      <c r="H100" s="2" t="s">
        <v>27</v>
      </c>
      <c r="I100" s="2" t="s">
        <v>195</v>
      </c>
      <c r="J100" s="2" t="s">
        <v>94</v>
      </c>
      <c r="K100" s="2">
        <v>322.01</v>
      </c>
      <c r="L100" s="2" t="str">
        <f t="shared" si="6"/>
        <v>January</v>
      </c>
      <c r="M100" s="2" t="str">
        <f t="shared" si="7"/>
        <v>January</v>
      </c>
      <c r="N100" t="str">
        <f t="shared" si="8"/>
        <v>Delivered</v>
      </c>
      <c r="O100">
        <f t="shared" si="9"/>
        <v>2</v>
      </c>
      <c r="P100" t="str">
        <f t="shared" si="10"/>
        <v>Completed</v>
      </c>
      <c r="Q100" t="str">
        <f t="shared" si="11"/>
        <v>Fast</v>
      </c>
      <c r="R100" t="str">
        <f>_xlfn.XLOOKUP(B100,CustomerMaster!$A$2:$A$287,CustomerMaster!$B$2:$B$287)</f>
        <v>Customer_249</v>
      </c>
      <c r="S100" t="str">
        <f>_xlfn.XLOOKUP(C100,ProductMaster!$A$2:$A$51,ProductMaster!$B$2:$B$51)</f>
        <v>Product_11</v>
      </c>
      <c r="T100" t="str">
        <f>_xlfn.XLOOKUP(G100,RegionMaster!$A$2:$A$5,RegionMaster!$B$2:$B$5)</f>
        <v>D</v>
      </c>
    </row>
    <row r="101" spans="1:20" ht="15.75" customHeight="1">
      <c r="A101" s="2" t="s">
        <v>811</v>
      </c>
      <c r="B101" s="2" t="s">
        <v>454</v>
      </c>
      <c r="C101" s="2" t="s">
        <v>183</v>
      </c>
      <c r="D101" s="3">
        <v>45696</v>
      </c>
      <c r="E101" s="3">
        <v>45700</v>
      </c>
      <c r="F101" s="4"/>
      <c r="G101" s="2" t="s">
        <v>22</v>
      </c>
      <c r="H101" s="2" t="s">
        <v>16</v>
      </c>
      <c r="I101" s="2" t="s">
        <v>106</v>
      </c>
      <c r="J101" s="2" t="s">
        <v>94</v>
      </c>
      <c r="K101" s="2">
        <v>717.88</v>
      </c>
      <c r="L101" s="2" t="str">
        <f t="shared" si="6"/>
        <v>February</v>
      </c>
      <c r="M101" s="2" t="str">
        <f t="shared" si="7"/>
        <v>February</v>
      </c>
      <c r="N101" t="str">
        <f t="shared" si="8"/>
        <v>Delivered</v>
      </c>
      <c r="O101">
        <f t="shared" si="9"/>
        <v>4</v>
      </c>
      <c r="P101" t="str">
        <f t="shared" si="10"/>
        <v>Completed</v>
      </c>
      <c r="Q101" t="str">
        <f t="shared" si="11"/>
        <v>Slow</v>
      </c>
      <c r="R101" t="str">
        <f>_xlfn.XLOOKUP(B101,CustomerMaster!$A$2:$A$287,CustomerMaster!$B$2:$B$287)</f>
        <v>Customer_197</v>
      </c>
      <c r="S101" t="str">
        <f>_xlfn.XLOOKUP(C101,ProductMaster!$A$2:$A$51,ProductMaster!$B$2:$B$51)</f>
        <v>Product_41</v>
      </c>
      <c r="T101" t="str">
        <f>_xlfn.XLOOKUP(G101,RegionMaster!$A$2:$A$5,RegionMaster!$B$2:$B$5)</f>
        <v>C</v>
      </c>
    </row>
    <row r="102" spans="1:20" ht="15.75" customHeight="1">
      <c r="A102" s="2" t="s">
        <v>812</v>
      </c>
      <c r="B102" s="2" t="s">
        <v>653</v>
      </c>
      <c r="C102" s="2" t="s">
        <v>191</v>
      </c>
      <c r="D102" s="3">
        <v>45766</v>
      </c>
      <c r="E102" s="3">
        <v>45770</v>
      </c>
      <c r="F102" s="4"/>
      <c r="G102" s="2" t="s">
        <v>7</v>
      </c>
      <c r="H102" s="2" t="s">
        <v>37</v>
      </c>
      <c r="I102" s="2" t="s">
        <v>90</v>
      </c>
      <c r="J102" s="2" t="s">
        <v>133</v>
      </c>
      <c r="K102" s="2">
        <v>350.86</v>
      </c>
      <c r="L102" s="2" t="str">
        <f t="shared" si="6"/>
        <v>April</v>
      </c>
      <c r="M102" s="2" t="str">
        <f t="shared" si="7"/>
        <v>April</v>
      </c>
      <c r="N102" t="str">
        <f t="shared" si="8"/>
        <v>Delivered</v>
      </c>
      <c r="O102">
        <f t="shared" si="9"/>
        <v>4</v>
      </c>
      <c r="P102" t="str">
        <f t="shared" si="10"/>
        <v>Completed</v>
      </c>
      <c r="Q102" t="str">
        <f t="shared" si="11"/>
        <v>Slow</v>
      </c>
      <c r="R102" t="str">
        <f>_xlfn.XLOOKUP(B102,CustomerMaster!$A$2:$A$287,CustomerMaster!$B$2:$B$287)</f>
        <v>Customer_210</v>
      </c>
      <c r="S102" t="str">
        <f>_xlfn.XLOOKUP(C102,ProductMaster!$A$2:$A$51,ProductMaster!$B$2:$B$51)</f>
        <v>Product_43</v>
      </c>
      <c r="T102" t="str">
        <f>_xlfn.XLOOKUP(G102,RegionMaster!$A$2:$A$5,RegionMaster!$B$2:$B$5)</f>
        <v>A</v>
      </c>
    </row>
    <row r="103" spans="1:20" ht="15.75" customHeight="1">
      <c r="A103" s="2" t="s">
        <v>813</v>
      </c>
      <c r="B103" s="2" t="s">
        <v>728</v>
      </c>
      <c r="C103" s="2" t="s">
        <v>102</v>
      </c>
      <c r="D103" s="3">
        <v>45685</v>
      </c>
      <c r="E103" s="3">
        <v>45688</v>
      </c>
      <c r="F103" s="4"/>
      <c r="G103" s="2" t="s">
        <v>45</v>
      </c>
      <c r="H103" s="2" t="s">
        <v>27</v>
      </c>
      <c r="I103" s="2" t="s">
        <v>178</v>
      </c>
      <c r="J103" s="2" t="s">
        <v>133</v>
      </c>
      <c r="K103" s="2">
        <v>3254.77</v>
      </c>
      <c r="L103" s="2" t="str">
        <f t="shared" si="6"/>
        <v>January</v>
      </c>
      <c r="M103" s="2" t="str">
        <f t="shared" si="7"/>
        <v>January</v>
      </c>
      <c r="N103" t="str">
        <f t="shared" si="8"/>
        <v>Delivered</v>
      </c>
      <c r="O103">
        <f t="shared" si="9"/>
        <v>3</v>
      </c>
      <c r="P103" t="str">
        <f t="shared" si="10"/>
        <v>Completed</v>
      </c>
      <c r="Q103" t="str">
        <f t="shared" si="11"/>
        <v>Slow</v>
      </c>
      <c r="R103" t="str">
        <f>_xlfn.XLOOKUP(B103,CustomerMaster!$A$2:$A$287,CustomerMaster!$B$2:$B$287)</f>
        <v>Customer_244</v>
      </c>
      <c r="S103" t="str">
        <f>_xlfn.XLOOKUP(C103,ProductMaster!$A$2:$A$51,ProductMaster!$B$2:$B$51)</f>
        <v>Product_18</v>
      </c>
      <c r="T103" t="str">
        <f>_xlfn.XLOOKUP(G103,RegionMaster!$A$2:$A$5,RegionMaster!$B$2:$B$5)</f>
        <v>D</v>
      </c>
    </row>
    <row r="104" spans="1:20" ht="15.75" customHeight="1">
      <c r="A104" s="2" t="s">
        <v>814</v>
      </c>
      <c r="B104" s="2" t="s">
        <v>388</v>
      </c>
      <c r="C104" s="2" t="s">
        <v>125</v>
      </c>
      <c r="D104" s="3">
        <v>45765</v>
      </c>
      <c r="E104" s="3">
        <v>45770</v>
      </c>
      <c r="F104" s="4"/>
      <c r="G104" s="2" t="s">
        <v>22</v>
      </c>
      <c r="H104" s="2" t="s">
        <v>37</v>
      </c>
      <c r="I104" s="2" t="s">
        <v>90</v>
      </c>
      <c r="J104" s="2" t="s">
        <v>94</v>
      </c>
      <c r="K104" s="2">
        <v>1708.91</v>
      </c>
      <c r="L104" s="2" t="str">
        <f t="shared" si="6"/>
        <v>April</v>
      </c>
      <c r="M104" s="2" t="str">
        <f t="shared" si="7"/>
        <v>April</v>
      </c>
      <c r="N104" t="str">
        <f t="shared" si="8"/>
        <v>Delivered</v>
      </c>
      <c r="O104">
        <f t="shared" si="9"/>
        <v>5</v>
      </c>
      <c r="P104" t="str">
        <f t="shared" si="10"/>
        <v>Completed</v>
      </c>
      <c r="Q104" t="str">
        <f t="shared" si="11"/>
        <v>Slow</v>
      </c>
      <c r="R104" t="str">
        <f>_xlfn.XLOOKUP(B104,CustomerMaster!$A$2:$A$287,CustomerMaster!$B$2:$B$287)</f>
        <v>Customer_100</v>
      </c>
      <c r="S104" t="str">
        <f>_xlfn.XLOOKUP(C104,ProductMaster!$A$2:$A$51,ProductMaster!$B$2:$B$51)</f>
        <v>Product_24</v>
      </c>
      <c r="T104" t="str">
        <f>_xlfn.XLOOKUP(G104,RegionMaster!$A$2:$A$5,RegionMaster!$B$2:$B$5)</f>
        <v>C</v>
      </c>
    </row>
    <row r="105" spans="1:20" ht="15.75" customHeight="1">
      <c r="A105" s="2" t="s">
        <v>815</v>
      </c>
      <c r="B105" s="2" t="s">
        <v>328</v>
      </c>
      <c r="C105" s="2" t="s">
        <v>141</v>
      </c>
      <c r="D105" s="3">
        <v>45718</v>
      </c>
      <c r="E105" s="4"/>
      <c r="F105" s="3">
        <v>45719</v>
      </c>
      <c r="G105" s="2" t="s">
        <v>17</v>
      </c>
      <c r="H105" s="2" t="s">
        <v>27</v>
      </c>
      <c r="I105" s="2" t="s">
        <v>178</v>
      </c>
      <c r="J105" s="2" t="s">
        <v>107</v>
      </c>
      <c r="K105" s="2">
        <v>2641.14</v>
      </c>
      <c r="L105" s="2" t="str">
        <f t="shared" si="6"/>
        <v>March</v>
      </c>
      <c r="M105" s="2" t="str">
        <f t="shared" si="7"/>
        <v>Cancelled</v>
      </c>
      <c r="N105" t="str">
        <f t="shared" si="8"/>
        <v>Cancelled</v>
      </c>
      <c r="O105" t="str">
        <f t="shared" si="9"/>
        <v>Order Cancelled</v>
      </c>
      <c r="P105" t="str">
        <f t="shared" si="10"/>
        <v>Cancelled</v>
      </c>
      <c r="Q105" t="str">
        <f t="shared" si="11"/>
        <v>Cancelled</v>
      </c>
      <c r="R105" t="str">
        <f>_xlfn.XLOOKUP(B105,CustomerMaster!$A$2:$A$287,CustomerMaster!$B$2:$B$287)</f>
        <v>Customer_73</v>
      </c>
      <c r="S105" t="str">
        <f>_xlfn.XLOOKUP(C105,ProductMaster!$A$2:$A$51,ProductMaster!$B$2:$B$51)</f>
        <v>Product_42</v>
      </c>
      <c r="T105" t="str">
        <f>_xlfn.XLOOKUP(G105,RegionMaster!$A$2:$A$5,RegionMaster!$B$2:$B$5)</f>
        <v>B</v>
      </c>
    </row>
    <row r="106" spans="1:20" ht="15.75" customHeight="1">
      <c r="A106" s="2" t="s">
        <v>816</v>
      </c>
      <c r="B106" s="2" t="s">
        <v>585</v>
      </c>
      <c r="C106" s="2" t="s">
        <v>101</v>
      </c>
      <c r="D106" s="3">
        <v>45774</v>
      </c>
      <c r="E106" s="4"/>
      <c r="F106" s="3">
        <v>45774</v>
      </c>
      <c r="G106" s="2" t="s">
        <v>45</v>
      </c>
      <c r="H106" s="2" t="s">
        <v>27</v>
      </c>
      <c r="I106" s="2" t="s">
        <v>106</v>
      </c>
      <c r="J106" s="2" t="s">
        <v>107</v>
      </c>
      <c r="K106" s="2">
        <v>4556.32</v>
      </c>
      <c r="L106" s="2" t="str">
        <f t="shared" si="6"/>
        <v>April</v>
      </c>
      <c r="M106" s="2" t="str">
        <f t="shared" si="7"/>
        <v>Cancelled</v>
      </c>
      <c r="N106" t="str">
        <f t="shared" si="8"/>
        <v>Cancelled</v>
      </c>
      <c r="O106" t="str">
        <f t="shared" si="9"/>
        <v>Order Cancelled</v>
      </c>
      <c r="P106" t="str">
        <f t="shared" si="10"/>
        <v>Cancelled</v>
      </c>
      <c r="Q106" t="str">
        <f t="shared" si="11"/>
        <v>Cancelled</v>
      </c>
      <c r="R106" t="str">
        <f>_xlfn.XLOOKUP(B106,CustomerMaster!$A$2:$A$287,CustomerMaster!$B$2:$B$287)</f>
        <v>Customer_181</v>
      </c>
      <c r="S106" t="str">
        <f>_xlfn.XLOOKUP(C106,ProductMaster!$A$2:$A$51,ProductMaster!$B$2:$B$51)</f>
        <v>Product_27</v>
      </c>
      <c r="T106" t="str">
        <f>_xlfn.XLOOKUP(G106,RegionMaster!$A$2:$A$5,RegionMaster!$B$2:$B$5)</f>
        <v>D</v>
      </c>
    </row>
    <row r="107" spans="1:20" ht="15.75" customHeight="1">
      <c r="A107" s="2" t="s">
        <v>817</v>
      </c>
      <c r="B107" s="2" t="s">
        <v>438</v>
      </c>
      <c r="C107" s="2" t="s">
        <v>95</v>
      </c>
      <c r="D107" s="3">
        <v>45750</v>
      </c>
      <c r="E107" s="3">
        <v>45754</v>
      </c>
      <c r="F107" s="4"/>
      <c r="G107" s="2" t="s">
        <v>22</v>
      </c>
      <c r="H107" s="2" t="s">
        <v>16</v>
      </c>
      <c r="I107" s="2" t="s">
        <v>121</v>
      </c>
      <c r="J107" s="2" t="s">
        <v>107</v>
      </c>
      <c r="K107" s="2">
        <v>1396.6</v>
      </c>
      <c r="L107" s="2" t="str">
        <f t="shared" si="6"/>
        <v>April</v>
      </c>
      <c r="M107" s="2" t="str">
        <f t="shared" si="7"/>
        <v>April</v>
      </c>
      <c r="N107" t="str">
        <f t="shared" si="8"/>
        <v>Delivered</v>
      </c>
      <c r="O107">
        <f t="shared" si="9"/>
        <v>4</v>
      </c>
      <c r="P107" t="str">
        <f t="shared" si="10"/>
        <v>Completed</v>
      </c>
      <c r="Q107" t="str">
        <f t="shared" si="11"/>
        <v>Slow</v>
      </c>
      <c r="R107" t="str">
        <f>_xlfn.XLOOKUP(B107,CustomerMaster!$A$2:$A$287,CustomerMaster!$B$2:$B$287)</f>
        <v>Customer_121</v>
      </c>
      <c r="S107" t="str">
        <f>_xlfn.XLOOKUP(C107,ProductMaster!$A$2:$A$51,ProductMaster!$B$2:$B$51)</f>
        <v>Product_17</v>
      </c>
      <c r="T107" t="str">
        <f>_xlfn.XLOOKUP(G107,RegionMaster!$A$2:$A$5,RegionMaster!$B$2:$B$5)</f>
        <v>C</v>
      </c>
    </row>
    <row r="108" spans="1:20" ht="15.75" customHeight="1">
      <c r="A108" s="2" t="s">
        <v>818</v>
      </c>
      <c r="B108" s="2" t="s">
        <v>483</v>
      </c>
      <c r="C108" s="2" t="s">
        <v>173</v>
      </c>
      <c r="D108" s="3">
        <v>45722</v>
      </c>
      <c r="E108" s="3">
        <v>45723</v>
      </c>
      <c r="F108" s="4"/>
      <c r="G108" s="2" t="s">
        <v>45</v>
      </c>
      <c r="H108" s="2" t="s">
        <v>37</v>
      </c>
      <c r="I108" s="2" t="s">
        <v>178</v>
      </c>
      <c r="J108" s="2" t="s">
        <v>133</v>
      </c>
      <c r="K108" s="2">
        <v>2169.84</v>
      </c>
      <c r="L108" s="2" t="str">
        <f t="shared" si="6"/>
        <v>March</v>
      </c>
      <c r="M108" s="2" t="str">
        <f t="shared" si="7"/>
        <v>March</v>
      </c>
      <c r="N108" t="str">
        <f t="shared" si="8"/>
        <v>Delivered</v>
      </c>
      <c r="O108">
        <f t="shared" si="9"/>
        <v>1</v>
      </c>
      <c r="P108" t="str">
        <f t="shared" si="10"/>
        <v>Completed</v>
      </c>
      <c r="Q108" t="str">
        <f t="shared" si="11"/>
        <v>Fast</v>
      </c>
      <c r="R108" t="str">
        <f>_xlfn.XLOOKUP(B108,CustomerMaster!$A$2:$A$287,CustomerMaster!$B$2:$B$287)</f>
        <v>Customer_139</v>
      </c>
      <c r="S108" t="str">
        <f>_xlfn.XLOOKUP(C108,ProductMaster!$A$2:$A$51,ProductMaster!$B$2:$B$51)</f>
        <v>Product_38</v>
      </c>
      <c r="T108" t="str">
        <f>_xlfn.XLOOKUP(G108,RegionMaster!$A$2:$A$5,RegionMaster!$B$2:$B$5)</f>
        <v>D</v>
      </c>
    </row>
    <row r="109" spans="1:20" ht="15.75" customHeight="1">
      <c r="A109" s="2" t="s">
        <v>819</v>
      </c>
      <c r="B109" s="2" t="s">
        <v>530</v>
      </c>
      <c r="C109" s="2" t="s">
        <v>20</v>
      </c>
      <c r="D109" s="3">
        <v>45674</v>
      </c>
      <c r="E109" s="3">
        <v>45677</v>
      </c>
      <c r="F109" s="4"/>
      <c r="G109" s="2" t="s">
        <v>45</v>
      </c>
      <c r="H109" s="2" t="s">
        <v>37</v>
      </c>
      <c r="I109" s="2" t="s">
        <v>90</v>
      </c>
      <c r="J109" s="2" t="s">
        <v>94</v>
      </c>
      <c r="K109" s="2">
        <v>3826.65</v>
      </c>
      <c r="L109" s="2" t="str">
        <f t="shared" si="6"/>
        <v>January</v>
      </c>
      <c r="M109" s="2" t="str">
        <f t="shared" si="7"/>
        <v>January</v>
      </c>
      <c r="N109" t="str">
        <f t="shared" si="8"/>
        <v>Delivered</v>
      </c>
      <c r="O109">
        <f t="shared" si="9"/>
        <v>3</v>
      </c>
      <c r="P109" t="str">
        <f t="shared" si="10"/>
        <v>Completed</v>
      </c>
      <c r="Q109" t="str">
        <f t="shared" si="11"/>
        <v>Slow</v>
      </c>
      <c r="R109" t="str">
        <f>_xlfn.XLOOKUP(B109,CustomerMaster!$A$2:$A$287,CustomerMaster!$B$2:$B$287)</f>
        <v>Customer_158</v>
      </c>
      <c r="S109" t="str">
        <f>_xlfn.XLOOKUP(C109,ProductMaster!$A$2:$A$51,ProductMaster!$B$2:$B$51)</f>
        <v>Product_1</v>
      </c>
      <c r="T109" t="str">
        <f>_xlfn.XLOOKUP(G109,RegionMaster!$A$2:$A$5,RegionMaster!$B$2:$B$5)</f>
        <v>D</v>
      </c>
    </row>
    <row r="110" spans="1:20" ht="15.75" customHeight="1">
      <c r="A110" s="2" t="s">
        <v>820</v>
      </c>
      <c r="B110" s="2" t="s">
        <v>443</v>
      </c>
      <c r="C110" s="2" t="s">
        <v>162</v>
      </c>
      <c r="D110" s="3">
        <v>45664</v>
      </c>
      <c r="E110" s="4"/>
      <c r="F110" s="3">
        <v>45665</v>
      </c>
      <c r="G110" s="2" t="s">
        <v>7</v>
      </c>
      <c r="H110" s="2" t="s">
        <v>59</v>
      </c>
      <c r="I110" s="2" t="s">
        <v>121</v>
      </c>
      <c r="J110" s="2" t="s">
        <v>133</v>
      </c>
      <c r="K110" s="2">
        <v>1298.23</v>
      </c>
      <c r="L110" s="2" t="str">
        <f t="shared" si="6"/>
        <v>January</v>
      </c>
      <c r="M110" s="2" t="str">
        <f t="shared" si="7"/>
        <v>Cancelled</v>
      </c>
      <c r="N110" t="str">
        <f t="shared" si="8"/>
        <v>Cancelled</v>
      </c>
      <c r="O110" t="str">
        <f t="shared" si="9"/>
        <v>Order Cancelled</v>
      </c>
      <c r="P110" t="str">
        <f t="shared" si="10"/>
        <v>Cancelled</v>
      </c>
      <c r="Q110" t="str">
        <f t="shared" si="11"/>
        <v>Cancelled</v>
      </c>
      <c r="R110" t="str">
        <f>_xlfn.XLOOKUP(B110,CustomerMaster!$A$2:$A$287,CustomerMaster!$B$2:$B$287)</f>
        <v>Customer_123</v>
      </c>
      <c r="S110" t="str">
        <f>_xlfn.XLOOKUP(C110,ProductMaster!$A$2:$A$51,ProductMaster!$B$2:$B$51)</f>
        <v>Product_35</v>
      </c>
      <c r="T110" t="str">
        <f>_xlfn.XLOOKUP(G110,RegionMaster!$A$2:$A$5,RegionMaster!$B$2:$B$5)</f>
        <v>A</v>
      </c>
    </row>
    <row r="111" spans="1:20" ht="15.75" customHeight="1">
      <c r="A111" s="2" t="s">
        <v>821</v>
      </c>
      <c r="B111" s="2" t="s">
        <v>38</v>
      </c>
      <c r="C111" s="2" t="s">
        <v>173</v>
      </c>
      <c r="D111" s="3">
        <v>45765</v>
      </c>
      <c r="E111" s="4"/>
      <c r="F111" s="3">
        <v>45767</v>
      </c>
      <c r="G111" s="2" t="s">
        <v>22</v>
      </c>
      <c r="H111" s="2" t="s">
        <v>16</v>
      </c>
      <c r="I111" s="2" t="s">
        <v>178</v>
      </c>
      <c r="J111" s="2" t="s">
        <v>107</v>
      </c>
      <c r="K111" s="2">
        <v>569.5</v>
      </c>
      <c r="L111" s="2" t="str">
        <f t="shared" si="6"/>
        <v>April</v>
      </c>
      <c r="M111" s="2" t="str">
        <f t="shared" si="7"/>
        <v>Cancelled</v>
      </c>
      <c r="N111" t="str">
        <f t="shared" si="8"/>
        <v>Cancelled</v>
      </c>
      <c r="O111" t="str">
        <f t="shared" si="9"/>
        <v>Order Cancelled</v>
      </c>
      <c r="P111" t="str">
        <f t="shared" si="10"/>
        <v>Cancelled</v>
      </c>
      <c r="Q111" t="str">
        <f t="shared" si="11"/>
        <v>Cancelled</v>
      </c>
      <c r="R111" t="str">
        <f>_xlfn.XLOOKUP(B111,CustomerMaster!$A$2:$A$287,CustomerMaster!$B$2:$B$287)</f>
        <v>Customer_3</v>
      </c>
      <c r="S111" t="str">
        <f>_xlfn.XLOOKUP(C111,ProductMaster!$A$2:$A$51,ProductMaster!$B$2:$B$51)</f>
        <v>Product_38</v>
      </c>
      <c r="T111" t="str">
        <f>_xlfn.XLOOKUP(G111,RegionMaster!$A$2:$A$5,RegionMaster!$B$2:$B$5)</f>
        <v>C</v>
      </c>
    </row>
    <row r="112" spans="1:20" ht="15.75" customHeight="1">
      <c r="A112" s="2" t="s">
        <v>822</v>
      </c>
      <c r="B112" s="2" t="s">
        <v>720</v>
      </c>
      <c r="C112" s="2" t="s">
        <v>172</v>
      </c>
      <c r="D112" s="3">
        <v>45662</v>
      </c>
      <c r="E112" s="4"/>
      <c r="F112" s="3">
        <v>45662</v>
      </c>
      <c r="G112" s="2" t="s">
        <v>7</v>
      </c>
      <c r="H112" s="2" t="s">
        <v>37</v>
      </c>
      <c r="I112" s="2" t="s">
        <v>121</v>
      </c>
      <c r="J112" s="2" t="s">
        <v>94</v>
      </c>
      <c r="K112" s="2">
        <v>1590.81</v>
      </c>
      <c r="L112" s="2" t="str">
        <f t="shared" si="6"/>
        <v>January</v>
      </c>
      <c r="M112" s="2" t="str">
        <f t="shared" si="7"/>
        <v>Cancelled</v>
      </c>
      <c r="N112" t="str">
        <f t="shared" si="8"/>
        <v>Cancelled</v>
      </c>
      <c r="O112" t="str">
        <f t="shared" si="9"/>
        <v>Order Cancelled</v>
      </c>
      <c r="P112" t="str">
        <f t="shared" si="10"/>
        <v>Cancelled</v>
      </c>
      <c r="Q112" t="str">
        <f t="shared" si="11"/>
        <v>Cancelled</v>
      </c>
      <c r="R112" t="str">
        <f>_xlfn.XLOOKUP(B112,CustomerMaster!$A$2:$A$287,CustomerMaster!$B$2:$B$287)</f>
        <v>Customer_240</v>
      </c>
      <c r="S112" t="str">
        <f>_xlfn.XLOOKUP(C112,ProductMaster!$A$2:$A$51,ProductMaster!$B$2:$B$51)</f>
        <v>Product_39</v>
      </c>
      <c r="T112" t="str">
        <f>_xlfn.XLOOKUP(G112,RegionMaster!$A$2:$A$5,RegionMaster!$B$2:$B$5)</f>
        <v>A</v>
      </c>
    </row>
    <row r="113" spans="1:20" ht="15.75" customHeight="1">
      <c r="A113" s="2" t="s">
        <v>823</v>
      </c>
      <c r="B113" s="2" t="s">
        <v>507</v>
      </c>
      <c r="C113" s="2" t="s">
        <v>87</v>
      </c>
      <c r="D113" s="3">
        <v>45750</v>
      </c>
      <c r="E113" s="4"/>
      <c r="F113" s="3">
        <v>45752</v>
      </c>
      <c r="G113" s="2" t="s">
        <v>17</v>
      </c>
      <c r="H113" s="2" t="s">
        <v>16</v>
      </c>
      <c r="I113" s="2" t="s">
        <v>195</v>
      </c>
      <c r="J113" s="2" t="s">
        <v>107</v>
      </c>
      <c r="K113" s="2">
        <v>973.86</v>
      </c>
      <c r="L113" s="2" t="str">
        <f t="shared" si="6"/>
        <v>April</v>
      </c>
      <c r="M113" s="2" t="str">
        <f t="shared" si="7"/>
        <v>Cancelled</v>
      </c>
      <c r="N113" t="str">
        <f t="shared" si="8"/>
        <v>Cancelled</v>
      </c>
      <c r="O113" t="str">
        <f t="shared" si="9"/>
        <v>Order Cancelled</v>
      </c>
      <c r="P113" t="str">
        <f t="shared" si="10"/>
        <v>Cancelled</v>
      </c>
      <c r="Q113" t="str">
        <f t="shared" si="11"/>
        <v>Cancelled</v>
      </c>
      <c r="R113" t="str">
        <f>_xlfn.XLOOKUP(B113,CustomerMaster!$A$2:$A$287,CustomerMaster!$B$2:$B$287)</f>
        <v>Customer_269</v>
      </c>
      <c r="S113" t="str">
        <f>_xlfn.XLOOKUP(C113,ProductMaster!$A$2:$A$51,ProductMaster!$B$2:$B$51)</f>
        <v>Product_15</v>
      </c>
      <c r="T113" t="str">
        <f>_xlfn.XLOOKUP(G113,RegionMaster!$A$2:$A$5,RegionMaster!$B$2:$B$5)</f>
        <v>B</v>
      </c>
    </row>
    <row r="114" spans="1:20" ht="15.75" customHeight="1">
      <c r="A114" s="2" t="s">
        <v>824</v>
      </c>
      <c r="B114" s="2" t="s">
        <v>536</v>
      </c>
      <c r="C114" s="2" t="s">
        <v>109</v>
      </c>
      <c r="D114" s="3">
        <v>45726</v>
      </c>
      <c r="E114" s="3">
        <v>45731</v>
      </c>
      <c r="F114" s="4"/>
      <c r="G114" s="2" t="s">
        <v>22</v>
      </c>
      <c r="H114" s="2" t="s">
        <v>54</v>
      </c>
      <c r="I114" s="2" t="s">
        <v>195</v>
      </c>
      <c r="J114" s="2" t="s">
        <v>133</v>
      </c>
      <c r="K114" s="2">
        <v>4662.55</v>
      </c>
      <c r="L114" s="2" t="str">
        <f t="shared" si="6"/>
        <v>March</v>
      </c>
      <c r="M114" s="2" t="str">
        <f t="shared" si="7"/>
        <v>March</v>
      </c>
      <c r="N114" t="str">
        <f t="shared" si="8"/>
        <v>Delivered</v>
      </c>
      <c r="O114">
        <f t="shared" si="9"/>
        <v>5</v>
      </c>
      <c r="P114" t="str">
        <f t="shared" si="10"/>
        <v>Completed</v>
      </c>
      <c r="Q114" t="str">
        <f t="shared" si="11"/>
        <v>Slow</v>
      </c>
      <c r="R114" t="str">
        <f>_xlfn.XLOOKUP(B114,CustomerMaster!$A$2:$A$287,CustomerMaster!$B$2:$B$287)</f>
        <v>Customer_160</v>
      </c>
      <c r="S114" t="str">
        <f>_xlfn.XLOOKUP(C114,ProductMaster!$A$2:$A$51,ProductMaster!$B$2:$B$51)</f>
        <v>Product_20</v>
      </c>
      <c r="T114" t="str">
        <f>_xlfn.XLOOKUP(G114,RegionMaster!$A$2:$A$5,RegionMaster!$B$2:$B$5)</f>
        <v>C</v>
      </c>
    </row>
    <row r="115" spans="1:20" ht="15.75" customHeight="1">
      <c r="A115" s="2" t="s">
        <v>825</v>
      </c>
      <c r="B115" s="2" t="s">
        <v>289</v>
      </c>
      <c r="C115" s="2" t="s">
        <v>72</v>
      </c>
      <c r="D115" s="3">
        <v>45673</v>
      </c>
      <c r="E115" s="3">
        <v>45678</v>
      </c>
      <c r="F115" s="4"/>
      <c r="G115" s="2" t="s">
        <v>22</v>
      </c>
      <c r="H115" s="2" t="s">
        <v>27</v>
      </c>
      <c r="I115" s="2" t="s">
        <v>106</v>
      </c>
      <c r="J115" s="2" t="s">
        <v>133</v>
      </c>
      <c r="K115" s="2">
        <v>4078.98</v>
      </c>
      <c r="L115" s="2" t="str">
        <f t="shared" si="6"/>
        <v>January</v>
      </c>
      <c r="M115" s="2" t="str">
        <f t="shared" si="7"/>
        <v>January</v>
      </c>
      <c r="N115" t="str">
        <f t="shared" si="8"/>
        <v>Delivered</v>
      </c>
      <c r="O115">
        <f t="shared" si="9"/>
        <v>5</v>
      </c>
      <c r="P115" t="str">
        <f t="shared" si="10"/>
        <v>Completed</v>
      </c>
      <c r="Q115" t="str">
        <f t="shared" si="11"/>
        <v>Slow</v>
      </c>
      <c r="R115" t="str">
        <f>_xlfn.XLOOKUP(B115,CustomerMaster!$A$2:$A$287,CustomerMaster!$B$2:$B$287)</f>
        <v>Customer_283</v>
      </c>
      <c r="S115" t="str">
        <f>_xlfn.XLOOKUP(C115,ProductMaster!$A$2:$A$51,ProductMaster!$B$2:$B$51)</f>
        <v>Product_10</v>
      </c>
      <c r="T115" t="str">
        <f>_xlfn.XLOOKUP(G115,RegionMaster!$A$2:$A$5,RegionMaster!$B$2:$B$5)</f>
        <v>C</v>
      </c>
    </row>
    <row r="116" spans="1:20" ht="15.75" customHeight="1">
      <c r="A116" s="2" t="s">
        <v>826</v>
      </c>
      <c r="B116" s="2" t="s">
        <v>238</v>
      </c>
      <c r="C116" s="2" t="s">
        <v>160</v>
      </c>
      <c r="D116" s="3">
        <v>45674</v>
      </c>
      <c r="E116" s="3">
        <v>45675</v>
      </c>
      <c r="F116" s="4"/>
      <c r="G116" s="2" t="s">
        <v>22</v>
      </c>
      <c r="H116" s="2" t="s">
        <v>16</v>
      </c>
      <c r="I116" s="2" t="s">
        <v>178</v>
      </c>
      <c r="J116" s="2" t="s">
        <v>94</v>
      </c>
      <c r="K116" s="2">
        <v>3240.34</v>
      </c>
      <c r="L116" s="2" t="str">
        <f t="shared" si="6"/>
        <v>January</v>
      </c>
      <c r="M116" s="2" t="str">
        <f t="shared" si="7"/>
        <v>January</v>
      </c>
      <c r="N116" t="str">
        <f t="shared" si="8"/>
        <v>Delivered</v>
      </c>
      <c r="O116">
        <f t="shared" si="9"/>
        <v>1</v>
      </c>
      <c r="P116" t="str">
        <f t="shared" si="10"/>
        <v>Completed</v>
      </c>
      <c r="Q116" t="str">
        <f t="shared" si="11"/>
        <v>Fast</v>
      </c>
      <c r="R116" t="str">
        <f>_xlfn.XLOOKUP(B116,CustomerMaster!$A$2:$A$287,CustomerMaster!$B$2:$B$287)</f>
        <v>Customer_37</v>
      </c>
      <c r="S116" t="str">
        <f>_xlfn.XLOOKUP(C116,ProductMaster!$A$2:$A$51,ProductMaster!$B$2:$B$51)</f>
        <v>Product_34</v>
      </c>
      <c r="T116" t="str">
        <f>_xlfn.XLOOKUP(G116,RegionMaster!$A$2:$A$5,RegionMaster!$B$2:$B$5)</f>
        <v>C</v>
      </c>
    </row>
    <row r="117" spans="1:20" ht="15.75" customHeight="1">
      <c r="A117" s="2" t="s">
        <v>827</v>
      </c>
      <c r="B117" s="2" t="s">
        <v>281</v>
      </c>
      <c r="C117" s="2" t="s">
        <v>191</v>
      </c>
      <c r="D117" s="3">
        <v>45718</v>
      </c>
      <c r="E117" s="3">
        <v>45721</v>
      </c>
      <c r="F117" s="4"/>
      <c r="G117" s="2" t="s">
        <v>45</v>
      </c>
      <c r="H117" s="2" t="s">
        <v>37</v>
      </c>
      <c r="I117" s="2" t="s">
        <v>106</v>
      </c>
      <c r="J117" s="2" t="s">
        <v>133</v>
      </c>
      <c r="K117" s="2">
        <v>4383.01</v>
      </c>
      <c r="L117" s="2" t="str">
        <f t="shared" si="6"/>
        <v>March</v>
      </c>
      <c r="M117" s="2" t="str">
        <f t="shared" si="7"/>
        <v>March</v>
      </c>
      <c r="N117" t="str">
        <f t="shared" si="8"/>
        <v>Delivered</v>
      </c>
      <c r="O117">
        <f t="shared" si="9"/>
        <v>3</v>
      </c>
      <c r="P117" t="str">
        <f t="shared" si="10"/>
        <v>Completed</v>
      </c>
      <c r="Q117" t="str">
        <f t="shared" si="11"/>
        <v>Slow</v>
      </c>
      <c r="R117" t="str">
        <f>_xlfn.XLOOKUP(B117,CustomerMaster!$A$2:$A$287,CustomerMaster!$B$2:$B$287)</f>
        <v>Customer_53</v>
      </c>
      <c r="S117" t="str">
        <f>_xlfn.XLOOKUP(C117,ProductMaster!$A$2:$A$51,ProductMaster!$B$2:$B$51)</f>
        <v>Product_43</v>
      </c>
      <c r="T117" t="str">
        <f>_xlfn.XLOOKUP(G117,RegionMaster!$A$2:$A$5,RegionMaster!$B$2:$B$5)</f>
        <v>D</v>
      </c>
    </row>
    <row r="118" spans="1:20" ht="15.75" customHeight="1">
      <c r="A118" s="2" t="s">
        <v>828</v>
      </c>
      <c r="B118" s="2" t="s">
        <v>120</v>
      </c>
      <c r="C118" s="2" t="s">
        <v>194</v>
      </c>
      <c r="D118" s="3">
        <v>45750</v>
      </c>
      <c r="E118" s="3">
        <v>45754</v>
      </c>
      <c r="F118" s="4"/>
      <c r="G118" s="2" t="s">
        <v>17</v>
      </c>
      <c r="H118" s="2" t="s">
        <v>27</v>
      </c>
      <c r="I118" s="2" t="s">
        <v>195</v>
      </c>
      <c r="J118" s="2" t="s">
        <v>94</v>
      </c>
      <c r="K118" s="2">
        <v>4057.63</v>
      </c>
      <c r="L118" s="2" t="str">
        <f t="shared" si="6"/>
        <v>April</v>
      </c>
      <c r="M118" s="2" t="str">
        <f t="shared" si="7"/>
        <v>April</v>
      </c>
      <c r="N118" t="str">
        <f t="shared" si="8"/>
        <v>Delivered</v>
      </c>
      <c r="O118">
        <f t="shared" si="9"/>
        <v>4</v>
      </c>
      <c r="P118" t="str">
        <f t="shared" si="10"/>
        <v>Completed</v>
      </c>
      <c r="Q118" t="str">
        <f t="shared" si="11"/>
        <v>Slow</v>
      </c>
      <c r="R118" t="str">
        <f>_xlfn.XLOOKUP(B118,CustomerMaster!$A$2:$A$287,CustomerMaster!$B$2:$B$287)</f>
        <v>Customer_16</v>
      </c>
      <c r="S118" t="str">
        <f>_xlfn.XLOOKUP(C118,ProductMaster!$A$2:$A$51,ProductMaster!$B$2:$B$51)</f>
        <v>Product_44</v>
      </c>
      <c r="T118" t="str">
        <f>_xlfn.XLOOKUP(G118,RegionMaster!$A$2:$A$5,RegionMaster!$B$2:$B$5)</f>
        <v>B</v>
      </c>
    </row>
    <row r="119" spans="1:20" ht="15.75" customHeight="1">
      <c r="A119" s="2" t="s">
        <v>829</v>
      </c>
      <c r="B119" s="2" t="s">
        <v>739</v>
      </c>
      <c r="C119" s="2" t="s">
        <v>162</v>
      </c>
      <c r="D119" s="3">
        <v>45687</v>
      </c>
      <c r="E119" s="4"/>
      <c r="F119" s="3">
        <v>45689</v>
      </c>
      <c r="G119" s="2" t="s">
        <v>22</v>
      </c>
      <c r="H119" s="2" t="s">
        <v>54</v>
      </c>
      <c r="I119" s="2" t="s">
        <v>90</v>
      </c>
      <c r="J119" s="2" t="s">
        <v>94</v>
      </c>
      <c r="K119" s="2">
        <v>1095.54</v>
      </c>
      <c r="L119" s="2" t="str">
        <f t="shared" si="6"/>
        <v>January</v>
      </c>
      <c r="M119" s="2" t="str">
        <f t="shared" si="7"/>
        <v>Cancelled</v>
      </c>
      <c r="N119" t="str">
        <f t="shared" si="8"/>
        <v>Cancelled</v>
      </c>
      <c r="O119" t="str">
        <f t="shared" si="9"/>
        <v>Order Cancelled</v>
      </c>
      <c r="P119" t="str">
        <f t="shared" si="10"/>
        <v>Cancelled</v>
      </c>
      <c r="Q119" t="str">
        <f t="shared" si="11"/>
        <v>Cancelled</v>
      </c>
      <c r="R119" t="str">
        <f>_xlfn.XLOOKUP(B119,CustomerMaster!$A$2:$A$287,CustomerMaster!$B$2:$B$287)</f>
        <v>Customer_249</v>
      </c>
      <c r="S119" t="str">
        <f>_xlfn.XLOOKUP(C119,ProductMaster!$A$2:$A$51,ProductMaster!$B$2:$B$51)</f>
        <v>Product_35</v>
      </c>
      <c r="T119" t="str">
        <f>_xlfn.XLOOKUP(G119,RegionMaster!$A$2:$A$5,RegionMaster!$B$2:$B$5)</f>
        <v>C</v>
      </c>
    </row>
    <row r="120" spans="1:20" ht="15.75" customHeight="1">
      <c r="A120" s="2" t="s">
        <v>830</v>
      </c>
      <c r="B120" s="2" t="s">
        <v>292</v>
      </c>
      <c r="C120" s="2" t="s">
        <v>162</v>
      </c>
      <c r="D120" s="3">
        <v>45667</v>
      </c>
      <c r="E120" s="3">
        <v>45670</v>
      </c>
      <c r="F120" s="4"/>
      <c r="G120" s="2" t="s">
        <v>45</v>
      </c>
      <c r="H120" s="2" t="s">
        <v>59</v>
      </c>
      <c r="I120" s="2" t="s">
        <v>178</v>
      </c>
      <c r="J120" s="2" t="s">
        <v>133</v>
      </c>
      <c r="K120" s="2">
        <v>4484.28</v>
      </c>
      <c r="L120" s="2" t="str">
        <f t="shared" si="6"/>
        <v>January</v>
      </c>
      <c r="M120" s="2" t="str">
        <f t="shared" si="7"/>
        <v>January</v>
      </c>
      <c r="N120" t="str">
        <f t="shared" si="8"/>
        <v>Delivered</v>
      </c>
      <c r="O120">
        <f t="shared" si="9"/>
        <v>3</v>
      </c>
      <c r="P120" t="str">
        <f t="shared" si="10"/>
        <v>Completed</v>
      </c>
      <c r="Q120" t="str">
        <f t="shared" si="11"/>
        <v>Slow</v>
      </c>
      <c r="R120" t="str">
        <f>_xlfn.XLOOKUP(B120,CustomerMaster!$A$2:$A$287,CustomerMaster!$B$2:$B$287)</f>
        <v>Customer_57</v>
      </c>
      <c r="S120" t="str">
        <f>_xlfn.XLOOKUP(C120,ProductMaster!$A$2:$A$51,ProductMaster!$B$2:$B$51)</f>
        <v>Product_35</v>
      </c>
      <c r="T120" t="str">
        <f>_xlfn.XLOOKUP(G120,RegionMaster!$A$2:$A$5,RegionMaster!$B$2:$B$5)</f>
        <v>D</v>
      </c>
    </row>
    <row r="121" spans="1:20" ht="15.75" customHeight="1">
      <c r="A121" s="2" t="s">
        <v>831</v>
      </c>
      <c r="B121" s="2" t="s">
        <v>326</v>
      </c>
      <c r="C121" s="2" t="s">
        <v>63</v>
      </c>
      <c r="D121" s="3">
        <v>45663</v>
      </c>
      <c r="E121" s="3">
        <v>45669</v>
      </c>
      <c r="F121" s="4"/>
      <c r="G121" s="2" t="s">
        <v>7</v>
      </c>
      <c r="H121" s="2" t="s">
        <v>54</v>
      </c>
      <c r="I121" s="2" t="s">
        <v>121</v>
      </c>
      <c r="J121" s="2" t="s">
        <v>133</v>
      </c>
      <c r="K121" s="2">
        <v>2788.84</v>
      </c>
      <c r="L121" s="2" t="str">
        <f t="shared" si="6"/>
        <v>January</v>
      </c>
      <c r="M121" s="2" t="str">
        <f t="shared" si="7"/>
        <v>January</v>
      </c>
      <c r="N121" t="str">
        <f t="shared" si="8"/>
        <v>Delivered</v>
      </c>
      <c r="O121">
        <f t="shared" si="9"/>
        <v>6</v>
      </c>
      <c r="P121" t="str">
        <f t="shared" si="10"/>
        <v>Completed</v>
      </c>
      <c r="Q121" t="str">
        <f t="shared" si="11"/>
        <v>Slow</v>
      </c>
      <c r="R121" t="str">
        <f>_xlfn.XLOOKUP(B121,CustomerMaster!$A$2:$A$287,CustomerMaster!$B$2:$B$287)</f>
        <v>Customer_72</v>
      </c>
      <c r="S121" t="str">
        <f>_xlfn.XLOOKUP(C121,ProductMaster!$A$2:$A$51,ProductMaster!$B$2:$B$51)</f>
        <v>Product_8</v>
      </c>
      <c r="T121" t="str">
        <f>_xlfn.XLOOKUP(G121,RegionMaster!$A$2:$A$5,RegionMaster!$B$2:$B$5)</f>
        <v>A</v>
      </c>
    </row>
    <row r="122" spans="1:20" ht="15.75" customHeight="1">
      <c r="A122" s="2" t="s">
        <v>832</v>
      </c>
      <c r="B122" s="2" t="s">
        <v>561</v>
      </c>
      <c r="C122" s="2" t="s">
        <v>68</v>
      </c>
      <c r="D122" s="3">
        <v>45738</v>
      </c>
      <c r="E122" s="3">
        <v>45743</v>
      </c>
      <c r="F122" s="4"/>
      <c r="G122" s="2" t="s">
        <v>7</v>
      </c>
      <c r="H122" s="2" t="s">
        <v>16</v>
      </c>
      <c r="I122" s="2" t="s">
        <v>178</v>
      </c>
      <c r="J122" s="2" t="s">
        <v>107</v>
      </c>
      <c r="K122" s="2">
        <v>4075.71</v>
      </c>
      <c r="L122" s="2" t="str">
        <f t="shared" si="6"/>
        <v>March</v>
      </c>
      <c r="M122" s="2" t="str">
        <f t="shared" si="7"/>
        <v>March</v>
      </c>
      <c r="N122" t="str">
        <f t="shared" si="8"/>
        <v>Delivered</v>
      </c>
      <c r="O122">
        <f t="shared" si="9"/>
        <v>5</v>
      </c>
      <c r="P122" t="str">
        <f t="shared" si="10"/>
        <v>Completed</v>
      </c>
      <c r="Q122" t="str">
        <f t="shared" si="11"/>
        <v>Slow</v>
      </c>
      <c r="R122" t="str">
        <f>_xlfn.XLOOKUP(B122,CustomerMaster!$A$2:$A$287,CustomerMaster!$B$2:$B$287)</f>
        <v>Customer_171</v>
      </c>
      <c r="S122" t="str">
        <f>_xlfn.XLOOKUP(C122,ProductMaster!$A$2:$A$51,ProductMaster!$B$2:$B$51)</f>
        <v>Product_13</v>
      </c>
      <c r="T122" t="str">
        <f>_xlfn.XLOOKUP(G122,RegionMaster!$A$2:$A$5,RegionMaster!$B$2:$B$5)</f>
        <v>A</v>
      </c>
    </row>
    <row r="123" spans="1:20" ht="15.75" customHeight="1">
      <c r="A123" s="2" t="s">
        <v>833</v>
      </c>
      <c r="B123" s="2" t="s">
        <v>643</v>
      </c>
      <c r="C123" s="2" t="s">
        <v>172</v>
      </c>
      <c r="D123" s="3">
        <v>45707</v>
      </c>
      <c r="E123" s="3">
        <v>45711</v>
      </c>
      <c r="F123" s="4"/>
      <c r="G123" s="2" t="s">
        <v>45</v>
      </c>
      <c r="H123" s="2" t="s">
        <v>37</v>
      </c>
      <c r="I123" s="2" t="s">
        <v>178</v>
      </c>
      <c r="J123" s="2" t="s">
        <v>94</v>
      </c>
      <c r="K123" s="2">
        <v>4501.24</v>
      </c>
      <c r="L123" s="2" t="str">
        <f t="shared" si="6"/>
        <v>February</v>
      </c>
      <c r="M123" s="2" t="str">
        <f t="shared" si="7"/>
        <v>February</v>
      </c>
      <c r="N123" t="str">
        <f t="shared" si="8"/>
        <v>Delivered</v>
      </c>
      <c r="O123">
        <f t="shared" si="9"/>
        <v>4</v>
      </c>
      <c r="P123" t="str">
        <f t="shared" si="10"/>
        <v>Completed</v>
      </c>
      <c r="Q123" t="str">
        <f t="shared" si="11"/>
        <v>Slow</v>
      </c>
      <c r="R123" t="str">
        <f>_xlfn.XLOOKUP(B123,CustomerMaster!$A$2:$A$287,CustomerMaster!$B$2:$B$287)</f>
        <v>Customer_206</v>
      </c>
      <c r="S123" t="str">
        <f>_xlfn.XLOOKUP(C123,ProductMaster!$A$2:$A$51,ProductMaster!$B$2:$B$51)</f>
        <v>Product_39</v>
      </c>
      <c r="T123" t="str">
        <f>_xlfn.XLOOKUP(G123,RegionMaster!$A$2:$A$5,RegionMaster!$B$2:$B$5)</f>
        <v>D</v>
      </c>
    </row>
    <row r="124" spans="1:20" ht="15.75" customHeight="1">
      <c r="A124" s="2" t="s">
        <v>834</v>
      </c>
      <c r="B124" s="2" t="s">
        <v>631</v>
      </c>
      <c r="C124" s="2" t="s">
        <v>128</v>
      </c>
      <c r="D124" s="3">
        <v>45674</v>
      </c>
      <c r="E124" s="3">
        <v>45676</v>
      </c>
      <c r="F124" s="4"/>
      <c r="G124" s="2" t="s">
        <v>22</v>
      </c>
      <c r="H124" s="2" t="s">
        <v>16</v>
      </c>
      <c r="I124" s="2" t="s">
        <v>178</v>
      </c>
      <c r="J124" s="2" t="s">
        <v>107</v>
      </c>
      <c r="K124" s="2">
        <v>1726.42</v>
      </c>
      <c r="L124" s="2" t="str">
        <f t="shared" si="6"/>
        <v>January</v>
      </c>
      <c r="M124" s="2" t="str">
        <f t="shared" si="7"/>
        <v>January</v>
      </c>
      <c r="N124" t="str">
        <f t="shared" si="8"/>
        <v>Delivered</v>
      </c>
      <c r="O124">
        <f t="shared" si="9"/>
        <v>2</v>
      </c>
      <c r="P124" t="str">
        <f t="shared" si="10"/>
        <v>Completed</v>
      </c>
      <c r="Q124" t="str">
        <f t="shared" si="11"/>
        <v>Fast</v>
      </c>
      <c r="R124" t="str">
        <f>_xlfn.XLOOKUP(B124,CustomerMaster!$A$2:$A$287,CustomerMaster!$B$2:$B$287)</f>
        <v>Customer_201</v>
      </c>
      <c r="S124" t="str">
        <f>_xlfn.XLOOKUP(C124,ProductMaster!$A$2:$A$51,ProductMaster!$B$2:$B$51)</f>
        <v>Product_25</v>
      </c>
      <c r="T124" t="str">
        <f>_xlfn.XLOOKUP(G124,RegionMaster!$A$2:$A$5,RegionMaster!$B$2:$B$5)</f>
        <v>C</v>
      </c>
    </row>
    <row r="125" spans="1:20" ht="15.75" customHeight="1">
      <c r="A125" s="2" t="s">
        <v>835</v>
      </c>
      <c r="B125" s="2" t="s">
        <v>779</v>
      </c>
      <c r="C125" s="2" t="s">
        <v>141</v>
      </c>
      <c r="D125" s="3">
        <v>45742</v>
      </c>
      <c r="E125" s="3">
        <v>45747</v>
      </c>
      <c r="F125" s="4"/>
      <c r="G125" s="2" t="s">
        <v>17</v>
      </c>
      <c r="H125" s="2" t="s">
        <v>16</v>
      </c>
      <c r="I125" s="2" t="s">
        <v>195</v>
      </c>
      <c r="J125" s="2" t="s">
        <v>94</v>
      </c>
      <c r="K125" s="2">
        <v>728.25</v>
      </c>
      <c r="L125" s="2" t="str">
        <f t="shared" si="6"/>
        <v>March</v>
      </c>
      <c r="M125" s="2" t="str">
        <f t="shared" si="7"/>
        <v>March</v>
      </c>
      <c r="N125" t="str">
        <f t="shared" si="8"/>
        <v>Delivered</v>
      </c>
      <c r="O125">
        <f t="shared" si="9"/>
        <v>5</v>
      </c>
      <c r="P125" t="str">
        <f t="shared" si="10"/>
        <v>Completed</v>
      </c>
      <c r="Q125" t="str">
        <f t="shared" si="11"/>
        <v>Slow</v>
      </c>
      <c r="R125" t="str">
        <f>_xlfn.XLOOKUP(B125,CustomerMaster!$A$2:$A$287,CustomerMaster!$B$2:$B$287)</f>
        <v>Customer_272</v>
      </c>
      <c r="S125" t="str">
        <f>_xlfn.XLOOKUP(C125,ProductMaster!$A$2:$A$51,ProductMaster!$B$2:$B$51)</f>
        <v>Product_42</v>
      </c>
      <c r="T125" t="str">
        <f>_xlfn.XLOOKUP(G125,RegionMaster!$A$2:$A$5,RegionMaster!$B$2:$B$5)</f>
        <v>B</v>
      </c>
    </row>
    <row r="126" spans="1:20" ht="15.75" customHeight="1">
      <c r="A126" s="2" t="s">
        <v>836</v>
      </c>
      <c r="B126" s="2" t="s">
        <v>76</v>
      </c>
      <c r="C126" s="2" t="s">
        <v>109</v>
      </c>
      <c r="D126" s="3">
        <v>45698</v>
      </c>
      <c r="E126" s="3">
        <v>45700</v>
      </c>
      <c r="F126" s="4"/>
      <c r="G126" s="2" t="s">
        <v>17</v>
      </c>
      <c r="H126" s="2" t="s">
        <v>27</v>
      </c>
      <c r="I126" s="2" t="s">
        <v>195</v>
      </c>
      <c r="J126" s="2" t="s">
        <v>133</v>
      </c>
      <c r="K126" s="2">
        <v>1294.0899999999999</v>
      </c>
      <c r="L126" s="2" t="str">
        <f t="shared" si="6"/>
        <v>February</v>
      </c>
      <c r="M126" s="2" t="str">
        <f t="shared" si="7"/>
        <v>February</v>
      </c>
      <c r="N126" t="str">
        <f t="shared" si="8"/>
        <v>Delivered</v>
      </c>
      <c r="O126">
        <f t="shared" si="9"/>
        <v>2</v>
      </c>
      <c r="P126" t="str">
        <f t="shared" si="10"/>
        <v>Completed</v>
      </c>
      <c r="Q126" t="str">
        <f t="shared" si="11"/>
        <v>Fast</v>
      </c>
      <c r="R126" t="str">
        <f>_xlfn.XLOOKUP(B126,CustomerMaster!$A$2:$A$287,CustomerMaster!$B$2:$B$287)</f>
        <v>Customer_9</v>
      </c>
      <c r="S126" t="str">
        <f>_xlfn.XLOOKUP(C126,ProductMaster!$A$2:$A$51,ProductMaster!$B$2:$B$51)</f>
        <v>Product_20</v>
      </c>
      <c r="T126" t="str">
        <f>_xlfn.XLOOKUP(G126,RegionMaster!$A$2:$A$5,RegionMaster!$B$2:$B$5)</f>
        <v>B</v>
      </c>
    </row>
    <row r="127" spans="1:20" ht="15.75" customHeight="1">
      <c r="A127" s="2" t="s">
        <v>837</v>
      </c>
      <c r="B127" s="2" t="s">
        <v>700</v>
      </c>
      <c r="C127" s="2" t="s">
        <v>153</v>
      </c>
      <c r="D127" s="3">
        <v>45749</v>
      </c>
      <c r="E127" s="3">
        <v>45750</v>
      </c>
      <c r="F127" s="4"/>
      <c r="G127" s="2" t="s">
        <v>22</v>
      </c>
      <c r="H127" s="2" t="s">
        <v>27</v>
      </c>
      <c r="I127" s="2" t="s">
        <v>178</v>
      </c>
      <c r="J127" s="2" t="s">
        <v>133</v>
      </c>
      <c r="K127" s="2">
        <v>2250.12</v>
      </c>
      <c r="L127" s="2" t="str">
        <f t="shared" si="6"/>
        <v>April</v>
      </c>
      <c r="M127" s="2" t="str">
        <f t="shared" si="7"/>
        <v>April</v>
      </c>
      <c r="N127" t="str">
        <f t="shared" si="8"/>
        <v>Delivered</v>
      </c>
      <c r="O127">
        <f t="shared" si="9"/>
        <v>1</v>
      </c>
      <c r="P127" t="str">
        <f t="shared" si="10"/>
        <v>Completed</v>
      </c>
      <c r="Q127" t="str">
        <f t="shared" si="11"/>
        <v>Fast</v>
      </c>
      <c r="R127" t="str">
        <f>_xlfn.XLOOKUP(B127,CustomerMaster!$A$2:$A$287,CustomerMaster!$B$2:$B$287)</f>
        <v>Customer_231</v>
      </c>
      <c r="S127" t="str">
        <f>_xlfn.XLOOKUP(C127,ProductMaster!$A$2:$A$51,ProductMaster!$B$2:$B$51)</f>
        <v>Product_32</v>
      </c>
      <c r="T127" t="str">
        <f>_xlfn.XLOOKUP(G127,RegionMaster!$A$2:$A$5,RegionMaster!$B$2:$B$5)</f>
        <v>C</v>
      </c>
    </row>
    <row r="128" spans="1:20" ht="15.75" customHeight="1">
      <c r="A128" s="2" t="s">
        <v>838</v>
      </c>
      <c r="B128" s="2" t="s">
        <v>570</v>
      </c>
      <c r="C128" s="2" t="s">
        <v>207</v>
      </c>
      <c r="D128" s="3">
        <v>45719</v>
      </c>
      <c r="E128" s="3">
        <v>45724</v>
      </c>
      <c r="F128" s="4"/>
      <c r="G128" s="2" t="s">
        <v>17</v>
      </c>
      <c r="H128" s="2" t="s">
        <v>16</v>
      </c>
      <c r="I128" s="2" t="s">
        <v>195</v>
      </c>
      <c r="J128" s="2" t="s">
        <v>133</v>
      </c>
      <c r="K128" s="2">
        <v>4126.47</v>
      </c>
      <c r="L128" s="2" t="str">
        <f t="shared" si="6"/>
        <v>March</v>
      </c>
      <c r="M128" s="2" t="str">
        <f t="shared" si="7"/>
        <v>March</v>
      </c>
      <c r="N128" t="str">
        <f t="shared" si="8"/>
        <v>Delivered</v>
      </c>
      <c r="O128">
        <f t="shared" si="9"/>
        <v>5</v>
      </c>
      <c r="P128" t="str">
        <f t="shared" si="10"/>
        <v>Completed</v>
      </c>
      <c r="Q128" t="str">
        <f t="shared" si="11"/>
        <v>Slow</v>
      </c>
      <c r="R128" t="str">
        <f>_xlfn.XLOOKUP(B128,CustomerMaster!$A$2:$A$287,CustomerMaster!$B$2:$B$287)</f>
        <v>Customer_175</v>
      </c>
      <c r="S128" t="str">
        <f>_xlfn.XLOOKUP(C128,ProductMaster!$A$2:$A$51,ProductMaster!$B$2:$B$51)</f>
        <v>Product_47</v>
      </c>
      <c r="T128" t="str">
        <f>_xlfn.XLOOKUP(G128,RegionMaster!$A$2:$A$5,RegionMaster!$B$2:$B$5)</f>
        <v>B</v>
      </c>
    </row>
    <row r="129" spans="1:20" ht="15.75" customHeight="1">
      <c r="A129" s="2" t="s">
        <v>839</v>
      </c>
      <c r="B129" s="2" t="s">
        <v>480</v>
      </c>
      <c r="C129" s="2" t="s">
        <v>32</v>
      </c>
      <c r="D129" s="3">
        <v>45743</v>
      </c>
      <c r="E129" s="3">
        <v>45749</v>
      </c>
      <c r="F129" s="4"/>
      <c r="G129" s="2" t="s">
        <v>22</v>
      </c>
      <c r="H129" s="2" t="s">
        <v>27</v>
      </c>
      <c r="I129" s="2" t="s">
        <v>90</v>
      </c>
      <c r="J129" s="2" t="s">
        <v>107</v>
      </c>
      <c r="K129" s="2">
        <v>4331.51</v>
      </c>
      <c r="L129" s="2" t="str">
        <f t="shared" si="6"/>
        <v>March</v>
      </c>
      <c r="M129" s="2" t="str">
        <f t="shared" si="7"/>
        <v>April</v>
      </c>
      <c r="N129" t="str">
        <f t="shared" si="8"/>
        <v>Delivered</v>
      </c>
      <c r="O129">
        <f t="shared" si="9"/>
        <v>6</v>
      </c>
      <c r="P129" t="str">
        <f t="shared" si="10"/>
        <v>Completed</v>
      </c>
      <c r="Q129" t="str">
        <f t="shared" si="11"/>
        <v>Slow</v>
      </c>
      <c r="R129" t="str">
        <f>_xlfn.XLOOKUP(B129,CustomerMaster!$A$2:$A$287,CustomerMaster!$B$2:$B$287)</f>
        <v>Customer_138</v>
      </c>
      <c r="S129" t="str">
        <f>_xlfn.XLOOKUP(C129,ProductMaster!$A$2:$A$51,ProductMaster!$B$2:$B$51)</f>
        <v>Product_3</v>
      </c>
      <c r="T129" t="str">
        <f>_xlfn.XLOOKUP(G129,RegionMaster!$A$2:$A$5,RegionMaster!$B$2:$B$5)</f>
        <v>C</v>
      </c>
    </row>
    <row r="130" spans="1:20" ht="15.75" customHeight="1">
      <c r="A130" s="2" t="s">
        <v>840</v>
      </c>
      <c r="B130" s="2" t="s">
        <v>31</v>
      </c>
      <c r="C130" s="2" t="s">
        <v>160</v>
      </c>
      <c r="D130" s="3">
        <v>45726</v>
      </c>
      <c r="E130" s="3">
        <v>45728</v>
      </c>
      <c r="F130" s="4"/>
      <c r="G130" s="2" t="s">
        <v>22</v>
      </c>
      <c r="H130" s="2" t="s">
        <v>54</v>
      </c>
      <c r="I130" s="2" t="s">
        <v>178</v>
      </c>
      <c r="J130" s="2" t="s">
        <v>94</v>
      </c>
      <c r="K130" s="2">
        <v>233.37</v>
      </c>
      <c r="L130" s="2" t="str">
        <f t="shared" si="6"/>
        <v>March</v>
      </c>
      <c r="M130" s="2" t="str">
        <f t="shared" si="7"/>
        <v>March</v>
      </c>
      <c r="N130" t="str">
        <f t="shared" si="8"/>
        <v>Delivered</v>
      </c>
      <c r="O130">
        <f t="shared" si="9"/>
        <v>2</v>
      </c>
      <c r="P130" t="str">
        <f t="shared" si="10"/>
        <v>Completed</v>
      </c>
      <c r="Q130" t="str">
        <f t="shared" si="11"/>
        <v>Fast</v>
      </c>
      <c r="R130" t="str">
        <f>_xlfn.XLOOKUP(B130,CustomerMaster!$A$2:$A$287,CustomerMaster!$B$2:$B$287)</f>
        <v>Customer_2</v>
      </c>
      <c r="S130" t="str">
        <f>_xlfn.XLOOKUP(C130,ProductMaster!$A$2:$A$51,ProductMaster!$B$2:$B$51)</f>
        <v>Product_34</v>
      </c>
      <c r="T130" t="str">
        <f>_xlfn.XLOOKUP(G130,RegionMaster!$A$2:$A$5,RegionMaster!$B$2:$B$5)</f>
        <v>C</v>
      </c>
    </row>
    <row r="131" spans="1:20" ht="15.75" customHeight="1">
      <c r="A131" s="2" t="s">
        <v>841</v>
      </c>
      <c r="B131" s="2" t="s">
        <v>190</v>
      </c>
      <c r="C131" s="2" t="s">
        <v>210</v>
      </c>
      <c r="D131" s="3">
        <v>45763</v>
      </c>
      <c r="E131" s="4"/>
      <c r="F131" s="3">
        <v>45764</v>
      </c>
      <c r="G131" s="2" t="s">
        <v>45</v>
      </c>
      <c r="H131" s="2" t="s">
        <v>59</v>
      </c>
      <c r="I131" s="2" t="s">
        <v>121</v>
      </c>
      <c r="J131" s="2" t="s">
        <v>107</v>
      </c>
      <c r="K131" s="2">
        <v>2651.59</v>
      </c>
      <c r="L131" s="2" t="str">
        <f t="shared" ref="L131:L194" si="12">TEXT(D131,"MMMM")</f>
        <v>April</v>
      </c>
      <c r="M131" s="2" t="str">
        <f t="shared" ref="M131:M194" si="13">IF(NOT(ISBLANK(E131)),TEXT(E131,"MMMM"),"Cancelled")</f>
        <v>Cancelled</v>
      </c>
      <c r="N131" t="str">
        <f t="shared" ref="N131:N194" si="14">IF(F131="","Delivered","Cancelled")</f>
        <v>Cancelled</v>
      </c>
      <c r="O131" t="str">
        <f t="shared" ref="O131:O194" si="15">IF(E131="","Order Cancelled",_xlfn.DAYS(E131,D131))</f>
        <v>Order Cancelled</v>
      </c>
      <c r="P131" t="str">
        <f t="shared" ref="P131:P194" si="16">IF(F131="","Completed","Cancelled")</f>
        <v>Cancelled</v>
      </c>
      <c r="Q131" t="str">
        <f t="shared" ref="Q131:Q194" si="17">IF(O131="Order Cancelled","Cancelled",IF(O131&lt;=2,"Fast","Slow"))</f>
        <v>Cancelled</v>
      </c>
      <c r="R131" t="str">
        <f>_xlfn.XLOOKUP(B131,CustomerMaster!$A$2:$A$287,CustomerMaster!$B$2:$B$287)</f>
        <v>Customer_25</v>
      </c>
      <c r="S131" t="str">
        <f>_xlfn.XLOOKUP(C131,ProductMaster!$A$2:$A$51,ProductMaster!$B$2:$B$51)</f>
        <v>Product_48</v>
      </c>
      <c r="T131" t="str">
        <f>_xlfn.XLOOKUP(G131,RegionMaster!$A$2:$A$5,RegionMaster!$B$2:$B$5)</f>
        <v>D</v>
      </c>
    </row>
    <row r="132" spans="1:20" ht="15.75" customHeight="1">
      <c r="A132" s="2" t="s">
        <v>842</v>
      </c>
      <c r="B132" s="2" t="s">
        <v>494</v>
      </c>
      <c r="C132" s="2" t="s">
        <v>56</v>
      </c>
      <c r="D132" s="3">
        <v>45690</v>
      </c>
      <c r="E132" s="3">
        <v>45692</v>
      </c>
      <c r="F132" s="4"/>
      <c r="G132" s="2" t="s">
        <v>22</v>
      </c>
      <c r="H132" s="2" t="s">
        <v>59</v>
      </c>
      <c r="I132" s="2" t="s">
        <v>195</v>
      </c>
      <c r="J132" s="2" t="s">
        <v>107</v>
      </c>
      <c r="K132" s="2">
        <v>2203.5700000000002</v>
      </c>
      <c r="L132" s="2" t="str">
        <f t="shared" si="12"/>
        <v>February</v>
      </c>
      <c r="M132" s="2" t="str">
        <f t="shared" si="13"/>
        <v>February</v>
      </c>
      <c r="N132" t="str">
        <f t="shared" si="14"/>
        <v>Delivered</v>
      </c>
      <c r="O132">
        <f t="shared" si="15"/>
        <v>2</v>
      </c>
      <c r="P132" t="str">
        <f t="shared" si="16"/>
        <v>Completed</v>
      </c>
      <c r="Q132" t="str">
        <f t="shared" si="17"/>
        <v>Fast</v>
      </c>
      <c r="R132" t="str">
        <f>_xlfn.XLOOKUP(B132,CustomerMaster!$A$2:$A$287,CustomerMaster!$B$2:$B$287)</f>
        <v>Customer_144</v>
      </c>
      <c r="S132" t="str">
        <f>_xlfn.XLOOKUP(C132,ProductMaster!$A$2:$A$51,ProductMaster!$B$2:$B$51)</f>
        <v>Product_7</v>
      </c>
      <c r="T132" t="str">
        <f>_xlfn.XLOOKUP(G132,RegionMaster!$A$2:$A$5,RegionMaster!$B$2:$B$5)</f>
        <v>C</v>
      </c>
    </row>
    <row r="133" spans="1:20" ht="15.75" customHeight="1">
      <c r="A133" s="2" t="s">
        <v>843</v>
      </c>
      <c r="B133" s="2" t="s">
        <v>796</v>
      </c>
      <c r="C133" s="2" t="s">
        <v>125</v>
      </c>
      <c r="D133" s="3">
        <v>45750</v>
      </c>
      <c r="E133" s="4"/>
      <c r="F133" s="3">
        <v>45750</v>
      </c>
      <c r="G133" s="2" t="s">
        <v>7</v>
      </c>
      <c r="H133" s="2" t="s">
        <v>27</v>
      </c>
      <c r="I133" s="2" t="s">
        <v>195</v>
      </c>
      <c r="J133" s="2" t="s">
        <v>94</v>
      </c>
      <c r="K133" s="2">
        <v>1266.1199999999999</v>
      </c>
      <c r="L133" s="2" t="str">
        <f t="shared" si="12"/>
        <v>April</v>
      </c>
      <c r="M133" s="2" t="str">
        <f t="shared" si="13"/>
        <v>Cancelled</v>
      </c>
      <c r="N133" t="str">
        <f t="shared" si="14"/>
        <v>Cancelled</v>
      </c>
      <c r="O133" t="str">
        <f t="shared" si="15"/>
        <v>Order Cancelled</v>
      </c>
      <c r="P133" t="str">
        <f t="shared" si="16"/>
        <v>Cancelled</v>
      </c>
      <c r="Q133" t="str">
        <f t="shared" si="17"/>
        <v>Cancelled</v>
      </c>
      <c r="R133" t="str">
        <f>_xlfn.XLOOKUP(B133,CustomerMaster!$A$2:$A$287,CustomerMaster!$B$2:$B$287)</f>
        <v>Customer_282</v>
      </c>
      <c r="S133" t="str">
        <f>_xlfn.XLOOKUP(C133,ProductMaster!$A$2:$A$51,ProductMaster!$B$2:$B$51)</f>
        <v>Product_24</v>
      </c>
      <c r="T133" t="str">
        <f>_xlfn.XLOOKUP(G133,RegionMaster!$A$2:$A$5,RegionMaster!$B$2:$B$5)</f>
        <v>A</v>
      </c>
    </row>
    <row r="134" spans="1:20" ht="15.75" customHeight="1">
      <c r="A134" s="2" t="s">
        <v>844</v>
      </c>
      <c r="B134" s="2" t="s">
        <v>391</v>
      </c>
      <c r="C134" s="2" t="s">
        <v>32</v>
      </c>
      <c r="D134" s="3">
        <v>45724</v>
      </c>
      <c r="E134" s="3">
        <v>45727</v>
      </c>
      <c r="F134" s="4"/>
      <c r="G134" s="2" t="s">
        <v>22</v>
      </c>
      <c r="H134" s="2" t="s">
        <v>59</v>
      </c>
      <c r="I134" s="2" t="s">
        <v>178</v>
      </c>
      <c r="J134" s="2" t="s">
        <v>107</v>
      </c>
      <c r="K134" s="2">
        <v>775.35</v>
      </c>
      <c r="L134" s="2" t="str">
        <f t="shared" si="12"/>
        <v>March</v>
      </c>
      <c r="M134" s="2" t="str">
        <f t="shared" si="13"/>
        <v>March</v>
      </c>
      <c r="N134" t="str">
        <f t="shared" si="14"/>
        <v>Delivered</v>
      </c>
      <c r="O134">
        <f t="shared" si="15"/>
        <v>3</v>
      </c>
      <c r="P134" t="str">
        <f t="shared" si="16"/>
        <v>Completed</v>
      </c>
      <c r="Q134" t="str">
        <f t="shared" si="17"/>
        <v>Slow</v>
      </c>
      <c r="R134" t="str">
        <f>_xlfn.XLOOKUP(B134,CustomerMaster!$A$2:$A$287,CustomerMaster!$B$2:$B$287)</f>
        <v>Customer_178</v>
      </c>
      <c r="S134" t="str">
        <f>_xlfn.XLOOKUP(C134,ProductMaster!$A$2:$A$51,ProductMaster!$B$2:$B$51)</f>
        <v>Product_3</v>
      </c>
      <c r="T134" t="str">
        <f>_xlfn.XLOOKUP(G134,RegionMaster!$A$2:$A$5,RegionMaster!$B$2:$B$5)</f>
        <v>C</v>
      </c>
    </row>
    <row r="135" spans="1:20" ht="15.75" customHeight="1">
      <c r="A135" s="2" t="s">
        <v>845</v>
      </c>
      <c r="B135" s="2" t="s">
        <v>392</v>
      </c>
      <c r="C135" s="2" t="s">
        <v>162</v>
      </c>
      <c r="D135" s="3">
        <v>45690</v>
      </c>
      <c r="E135" s="3">
        <v>45696</v>
      </c>
      <c r="F135" s="4"/>
      <c r="G135" s="2" t="s">
        <v>7</v>
      </c>
      <c r="H135" s="2" t="s">
        <v>59</v>
      </c>
      <c r="I135" s="2" t="s">
        <v>178</v>
      </c>
      <c r="J135" s="2" t="s">
        <v>94</v>
      </c>
      <c r="K135" s="2">
        <v>1820.55</v>
      </c>
      <c r="L135" s="2" t="str">
        <f t="shared" si="12"/>
        <v>February</v>
      </c>
      <c r="M135" s="2" t="str">
        <f t="shared" si="13"/>
        <v>February</v>
      </c>
      <c r="N135" t="str">
        <f t="shared" si="14"/>
        <v>Delivered</v>
      </c>
      <c r="O135">
        <f t="shared" si="15"/>
        <v>6</v>
      </c>
      <c r="P135" t="str">
        <f t="shared" si="16"/>
        <v>Completed</v>
      </c>
      <c r="Q135" t="str">
        <f t="shared" si="17"/>
        <v>Slow</v>
      </c>
      <c r="R135" t="str">
        <f>_xlfn.XLOOKUP(B135,CustomerMaster!$A$2:$A$287,CustomerMaster!$B$2:$B$287)</f>
        <v>Customer_101</v>
      </c>
      <c r="S135" t="str">
        <f>_xlfn.XLOOKUP(C135,ProductMaster!$A$2:$A$51,ProductMaster!$B$2:$B$51)</f>
        <v>Product_35</v>
      </c>
      <c r="T135" t="str">
        <f>_xlfn.XLOOKUP(G135,RegionMaster!$A$2:$A$5,RegionMaster!$B$2:$B$5)</f>
        <v>A</v>
      </c>
    </row>
    <row r="136" spans="1:20" ht="15.75" customHeight="1">
      <c r="A136" s="2" t="s">
        <v>846</v>
      </c>
      <c r="B136" s="2" t="s">
        <v>373</v>
      </c>
      <c r="C136" s="2" t="s">
        <v>50</v>
      </c>
      <c r="D136" s="3">
        <v>45685</v>
      </c>
      <c r="E136" s="4"/>
      <c r="F136" s="3">
        <v>45685</v>
      </c>
      <c r="G136" s="2" t="s">
        <v>22</v>
      </c>
      <c r="H136" s="2" t="s">
        <v>27</v>
      </c>
      <c r="I136" s="2" t="s">
        <v>90</v>
      </c>
      <c r="J136" s="2" t="s">
        <v>94</v>
      </c>
      <c r="K136" s="2">
        <v>4725.97</v>
      </c>
      <c r="L136" s="2" t="str">
        <f t="shared" si="12"/>
        <v>January</v>
      </c>
      <c r="M136" s="2" t="str">
        <f t="shared" si="13"/>
        <v>Cancelled</v>
      </c>
      <c r="N136" t="str">
        <f t="shared" si="14"/>
        <v>Cancelled</v>
      </c>
      <c r="O136" t="str">
        <f t="shared" si="15"/>
        <v>Order Cancelled</v>
      </c>
      <c r="P136" t="str">
        <f t="shared" si="16"/>
        <v>Cancelled</v>
      </c>
      <c r="Q136" t="str">
        <f t="shared" si="17"/>
        <v>Cancelled</v>
      </c>
      <c r="R136" t="str">
        <f>_xlfn.XLOOKUP(B136,CustomerMaster!$A$2:$A$287,CustomerMaster!$B$2:$B$287)</f>
        <v>Customer_94</v>
      </c>
      <c r="S136" t="str">
        <f>_xlfn.XLOOKUP(C136,ProductMaster!$A$2:$A$51,ProductMaster!$B$2:$B$51)</f>
        <v>Product_6</v>
      </c>
      <c r="T136" t="str">
        <f>_xlfn.XLOOKUP(G136,RegionMaster!$A$2:$A$5,RegionMaster!$B$2:$B$5)</f>
        <v>C</v>
      </c>
    </row>
    <row r="137" spans="1:20" ht="15.75" customHeight="1">
      <c r="A137" s="2" t="s">
        <v>847</v>
      </c>
      <c r="B137" s="2" t="s">
        <v>378</v>
      </c>
      <c r="C137" s="2" t="s">
        <v>141</v>
      </c>
      <c r="D137" s="3">
        <v>45688</v>
      </c>
      <c r="E137" s="3">
        <v>45690</v>
      </c>
      <c r="F137" s="4"/>
      <c r="G137" s="2" t="s">
        <v>7</v>
      </c>
      <c r="H137" s="2" t="s">
        <v>16</v>
      </c>
      <c r="I137" s="2" t="s">
        <v>178</v>
      </c>
      <c r="J137" s="2" t="s">
        <v>94</v>
      </c>
      <c r="K137" s="2">
        <v>1751.37</v>
      </c>
      <c r="L137" s="2" t="str">
        <f t="shared" si="12"/>
        <v>January</v>
      </c>
      <c r="M137" s="2" t="str">
        <f t="shared" si="13"/>
        <v>February</v>
      </c>
      <c r="N137" t="str">
        <f t="shared" si="14"/>
        <v>Delivered</v>
      </c>
      <c r="O137">
        <f t="shared" si="15"/>
        <v>2</v>
      </c>
      <c r="P137" t="str">
        <f t="shared" si="16"/>
        <v>Completed</v>
      </c>
      <c r="Q137" t="str">
        <f t="shared" si="17"/>
        <v>Fast</v>
      </c>
      <c r="R137" t="str">
        <f>_xlfn.XLOOKUP(B137,CustomerMaster!$A$2:$A$287,CustomerMaster!$B$2:$B$287)</f>
        <v>Customer_96</v>
      </c>
      <c r="S137" t="str">
        <f>_xlfn.XLOOKUP(C137,ProductMaster!$A$2:$A$51,ProductMaster!$B$2:$B$51)</f>
        <v>Product_42</v>
      </c>
      <c r="T137" t="str">
        <f>_xlfn.XLOOKUP(G137,RegionMaster!$A$2:$A$5,RegionMaster!$B$2:$B$5)</f>
        <v>A</v>
      </c>
    </row>
    <row r="138" spans="1:20" ht="15.75" customHeight="1">
      <c r="A138" s="2" t="s">
        <v>848</v>
      </c>
      <c r="B138" s="2" t="s">
        <v>419</v>
      </c>
      <c r="C138" s="2" t="s">
        <v>164</v>
      </c>
      <c r="D138" s="3">
        <v>45771</v>
      </c>
      <c r="E138" s="3">
        <v>45776</v>
      </c>
      <c r="F138" s="4"/>
      <c r="G138" s="2" t="s">
        <v>7</v>
      </c>
      <c r="H138" s="2" t="s">
        <v>37</v>
      </c>
      <c r="I138" s="2" t="s">
        <v>178</v>
      </c>
      <c r="J138" s="2" t="s">
        <v>133</v>
      </c>
      <c r="K138" s="2">
        <v>2690.19</v>
      </c>
      <c r="L138" s="2" t="str">
        <f t="shared" si="12"/>
        <v>April</v>
      </c>
      <c r="M138" s="2" t="str">
        <f t="shared" si="13"/>
        <v>April</v>
      </c>
      <c r="N138" t="str">
        <f t="shared" si="14"/>
        <v>Delivered</v>
      </c>
      <c r="O138">
        <f t="shared" si="15"/>
        <v>5</v>
      </c>
      <c r="P138" t="str">
        <f t="shared" si="16"/>
        <v>Completed</v>
      </c>
      <c r="Q138" t="str">
        <f t="shared" si="17"/>
        <v>Slow</v>
      </c>
      <c r="R138" t="str">
        <f>_xlfn.XLOOKUP(B138,CustomerMaster!$A$2:$A$287,CustomerMaster!$B$2:$B$287)</f>
        <v>Customer_113</v>
      </c>
      <c r="S138" t="str">
        <f>_xlfn.XLOOKUP(C138,ProductMaster!$A$2:$A$51,ProductMaster!$B$2:$B$51)</f>
        <v>Product_36</v>
      </c>
      <c r="T138" t="str">
        <f>_xlfn.XLOOKUP(G138,RegionMaster!$A$2:$A$5,RegionMaster!$B$2:$B$5)</f>
        <v>A</v>
      </c>
    </row>
    <row r="139" spans="1:20" ht="15.75" customHeight="1">
      <c r="A139" s="2" t="s">
        <v>849</v>
      </c>
      <c r="B139" s="2" t="s">
        <v>718</v>
      </c>
      <c r="C139" s="2" t="s">
        <v>95</v>
      </c>
      <c r="D139" s="3">
        <v>45769</v>
      </c>
      <c r="E139" s="3">
        <v>45774</v>
      </c>
      <c r="F139" s="4"/>
      <c r="G139" s="2" t="s">
        <v>22</v>
      </c>
      <c r="H139" s="2" t="s">
        <v>27</v>
      </c>
      <c r="I139" s="2" t="s">
        <v>195</v>
      </c>
      <c r="J139" s="2" t="s">
        <v>107</v>
      </c>
      <c r="K139" s="2">
        <v>3574.49</v>
      </c>
      <c r="L139" s="2" t="str">
        <f t="shared" si="12"/>
        <v>April</v>
      </c>
      <c r="M139" s="2" t="str">
        <f t="shared" si="13"/>
        <v>April</v>
      </c>
      <c r="N139" t="str">
        <f t="shared" si="14"/>
        <v>Delivered</v>
      </c>
      <c r="O139">
        <f t="shared" si="15"/>
        <v>5</v>
      </c>
      <c r="P139" t="str">
        <f t="shared" si="16"/>
        <v>Completed</v>
      </c>
      <c r="Q139" t="str">
        <f t="shared" si="17"/>
        <v>Slow</v>
      </c>
      <c r="R139" t="str">
        <f>_xlfn.XLOOKUP(B139,CustomerMaster!$A$2:$A$287,CustomerMaster!$B$2:$B$287)</f>
        <v>Customer_239</v>
      </c>
      <c r="S139" t="str">
        <f>_xlfn.XLOOKUP(C139,ProductMaster!$A$2:$A$51,ProductMaster!$B$2:$B$51)</f>
        <v>Product_17</v>
      </c>
      <c r="T139" t="str">
        <f>_xlfn.XLOOKUP(G139,RegionMaster!$A$2:$A$5,RegionMaster!$B$2:$B$5)</f>
        <v>C</v>
      </c>
    </row>
    <row r="140" spans="1:20" ht="15.75" customHeight="1">
      <c r="A140" s="2" t="s">
        <v>850</v>
      </c>
      <c r="B140" s="2" t="s">
        <v>693</v>
      </c>
      <c r="C140" s="2" t="s">
        <v>68</v>
      </c>
      <c r="D140" s="3">
        <v>45691</v>
      </c>
      <c r="E140" s="3">
        <v>45693</v>
      </c>
      <c r="F140" s="4"/>
      <c r="G140" s="2" t="s">
        <v>7</v>
      </c>
      <c r="H140" s="2" t="s">
        <v>27</v>
      </c>
      <c r="I140" s="2" t="s">
        <v>90</v>
      </c>
      <c r="J140" s="2" t="s">
        <v>107</v>
      </c>
      <c r="K140" s="2">
        <v>1945.42</v>
      </c>
      <c r="L140" s="2" t="str">
        <f t="shared" si="12"/>
        <v>February</v>
      </c>
      <c r="M140" s="2" t="str">
        <f t="shared" si="13"/>
        <v>February</v>
      </c>
      <c r="N140" t="str">
        <f t="shared" si="14"/>
        <v>Delivered</v>
      </c>
      <c r="O140">
        <f t="shared" si="15"/>
        <v>2</v>
      </c>
      <c r="P140" t="str">
        <f t="shared" si="16"/>
        <v>Completed</v>
      </c>
      <c r="Q140" t="str">
        <f t="shared" si="17"/>
        <v>Fast</v>
      </c>
      <c r="R140" t="str">
        <f>_xlfn.XLOOKUP(B140,CustomerMaster!$A$2:$A$287,CustomerMaster!$B$2:$B$287)</f>
        <v>Customer_245</v>
      </c>
      <c r="S140" t="str">
        <f>_xlfn.XLOOKUP(C140,ProductMaster!$A$2:$A$51,ProductMaster!$B$2:$B$51)</f>
        <v>Product_13</v>
      </c>
      <c r="T140" t="str">
        <f>_xlfn.XLOOKUP(G140,RegionMaster!$A$2:$A$5,RegionMaster!$B$2:$B$5)</f>
        <v>A</v>
      </c>
    </row>
    <row r="141" spans="1:20" ht="15.75" customHeight="1">
      <c r="A141" s="2" t="s">
        <v>851</v>
      </c>
      <c r="B141" s="2" t="s">
        <v>533</v>
      </c>
      <c r="C141" s="2" t="s">
        <v>191</v>
      </c>
      <c r="D141" s="3">
        <v>45745</v>
      </c>
      <c r="E141" s="3">
        <v>45747</v>
      </c>
      <c r="F141" s="4"/>
      <c r="G141" s="2" t="s">
        <v>45</v>
      </c>
      <c r="H141" s="2" t="s">
        <v>59</v>
      </c>
      <c r="I141" s="2" t="s">
        <v>121</v>
      </c>
      <c r="J141" s="2" t="s">
        <v>133</v>
      </c>
      <c r="K141" s="2">
        <v>4864.55</v>
      </c>
      <c r="L141" s="2" t="str">
        <f t="shared" si="12"/>
        <v>March</v>
      </c>
      <c r="M141" s="2" t="str">
        <f t="shared" si="13"/>
        <v>March</v>
      </c>
      <c r="N141" t="str">
        <f t="shared" si="14"/>
        <v>Delivered</v>
      </c>
      <c r="O141">
        <f t="shared" si="15"/>
        <v>2</v>
      </c>
      <c r="P141" t="str">
        <f t="shared" si="16"/>
        <v>Completed</v>
      </c>
      <c r="Q141" t="str">
        <f t="shared" si="17"/>
        <v>Fast</v>
      </c>
      <c r="R141" t="str">
        <f>_xlfn.XLOOKUP(B141,CustomerMaster!$A$2:$A$287,CustomerMaster!$B$2:$B$287)</f>
        <v>Customer_262</v>
      </c>
      <c r="S141" t="str">
        <f>_xlfn.XLOOKUP(C141,ProductMaster!$A$2:$A$51,ProductMaster!$B$2:$B$51)</f>
        <v>Product_43</v>
      </c>
      <c r="T141" t="str">
        <f>_xlfn.XLOOKUP(G141,RegionMaster!$A$2:$A$5,RegionMaster!$B$2:$B$5)</f>
        <v>D</v>
      </c>
    </row>
    <row r="142" spans="1:20" ht="15.75" customHeight="1">
      <c r="A142" s="2" t="s">
        <v>852</v>
      </c>
      <c r="B142" s="2" t="s">
        <v>318</v>
      </c>
      <c r="C142" s="2" t="s">
        <v>56</v>
      </c>
      <c r="D142" s="3">
        <v>45742</v>
      </c>
      <c r="E142" s="3">
        <v>45747</v>
      </c>
      <c r="F142" s="4"/>
      <c r="G142" s="2" t="s">
        <v>45</v>
      </c>
      <c r="H142" s="2" t="s">
        <v>27</v>
      </c>
      <c r="I142" s="2" t="s">
        <v>90</v>
      </c>
      <c r="J142" s="2" t="s">
        <v>94</v>
      </c>
      <c r="K142" s="2">
        <v>4819.75</v>
      </c>
      <c r="L142" s="2" t="str">
        <f t="shared" si="12"/>
        <v>March</v>
      </c>
      <c r="M142" s="2" t="str">
        <f t="shared" si="13"/>
        <v>March</v>
      </c>
      <c r="N142" t="str">
        <f t="shared" si="14"/>
        <v>Delivered</v>
      </c>
      <c r="O142">
        <f t="shared" si="15"/>
        <v>5</v>
      </c>
      <c r="P142" t="str">
        <f t="shared" si="16"/>
        <v>Completed</v>
      </c>
      <c r="Q142" t="str">
        <f t="shared" si="17"/>
        <v>Slow</v>
      </c>
      <c r="R142" t="str">
        <f>_xlfn.XLOOKUP(B142,CustomerMaster!$A$2:$A$287,CustomerMaster!$B$2:$B$287)</f>
        <v>Customer_69</v>
      </c>
      <c r="S142" t="str">
        <f>_xlfn.XLOOKUP(C142,ProductMaster!$A$2:$A$51,ProductMaster!$B$2:$B$51)</f>
        <v>Product_7</v>
      </c>
      <c r="T142" t="str">
        <f>_xlfn.XLOOKUP(G142,RegionMaster!$A$2:$A$5,RegionMaster!$B$2:$B$5)</f>
        <v>D</v>
      </c>
    </row>
    <row r="143" spans="1:20" ht="15.75" customHeight="1">
      <c r="A143" s="2" t="s">
        <v>853</v>
      </c>
      <c r="B143" s="2" t="s">
        <v>433</v>
      </c>
      <c r="C143" s="2" t="s">
        <v>122</v>
      </c>
      <c r="D143" s="3">
        <v>45735</v>
      </c>
      <c r="E143" s="3">
        <v>45737</v>
      </c>
      <c r="F143" s="4"/>
      <c r="G143" s="2" t="s">
        <v>45</v>
      </c>
      <c r="H143" s="2" t="s">
        <v>54</v>
      </c>
      <c r="I143" s="2" t="s">
        <v>121</v>
      </c>
      <c r="J143" s="2" t="s">
        <v>133</v>
      </c>
      <c r="K143" s="2">
        <v>1408.56</v>
      </c>
      <c r="L143" s="2" t="str">
        <f t="shared" si="12"/>
        <v>March</v>
      </c>
      <c r="M143" s="2" t="str">
        <f t="shared" si="13"/>
        <v>March</v>
      </c>
      <c r="N143" t="str">
        <f t="shared" si="14"/>
        <v>Delivered</v>
      </c>
      <c r="O143">
        <f t="shared" si="15"/>
        <v>2</v>
      </c>
      <c r="P143" t="str">
        <f t="shared" si="16"/>
        <v>Completed</v>
      </c>
      <c r="Q143" t="str">
        <f t="shared" si="17"/>
        <v>Fast</v>
      </c>
      <c r="R143" t="str">
        <f>_xlfn.XLOOKUP(B143,CustomerMaster!$A$2:$A$287,CustomerMaster!$B$2:$B$287)</f>
        <v>Customer_281</v>
      </c>
      <c r="S143" t="str">
        <f>_xlfn.XLOOKUP(C143,ProductMaster!$A$2:$A$51,ProductMaster!$B$2:$B$51)</f>
        <v>Product_23</v>
      </c>
      <c r="T143" t="str">
        <f>_xlfn.XLOOKUP(G143,RegionMaster!$A$2:$A$5,RegionMaster!$B$2:$B$5)</f>
        <v>D</v>
      </c>
    </row>
    <row r="144" spans="1:20" ht="15.75" customHeight="1">
      <c r="A144" s="2" t="s">
        <v>854</v>
      </c>
      <c r="B144" s="2" t="s">
        <v>534</v>
      </c>
      <c r="C144" s="2" t="s">
        <v>204</v>
      </c>
      <c r="D144" s="3">
        <v>45729</v>
      </c>
      <c r="E144" s="4"/>
      <c r="F144" s="3">
        <v>45730</v>
      </c>
      <c r="G144" s="2" t="s">
        <v>17</v>
      </c>
      <c r="H144" s="2" t="s">
        <v>16</v>
      </c>
      <c r="I144" s="2" t="s">
        <v>106</v>
      </c>
      <c r="J144" s="2" t="s">
        <v>133</v>
      </c>
      <c r="K144" s="2">
        <v>2586.79</v>
      </c>
      <c r="L144" s="2" t="str">
        <f t="shared" si="12"/>
        <v>March</v>
      </c>
      <c r="M144" s="2" t="str">
        <f t="shared" si="13"/>
        <v>Cancelled</v>
      </c>
      <c r="N144" t="str">
        <f t="shared" si="14"/>
        <v>Cancelled</v>
      </c>
      <c r="O144" t="str">
        <f t="shared" si="15"/>
        <v>Order Cancelled</v>
      </c>
      <c r="P144" t="str">
        <f t="shared" si="16"/>
        <v>Cancelled</v>
      </c>
      <c r="Q144" t="str">
        <f t="shared" si="17"/>
        <v>Cancelled</v>
      </c>
      <c r="R144" t="str">
        <f>_xlfn.XLOOKUP(B144,CustomerMaster!$A$2:$A$287,CustomerMaster!$B$2:$B$287)</f>
        <v>Customer_159</v>
      </c>
      <c r="S144" t="str">
        <f>_xlfn.XLOOKUP(C144,ProductMaster!$A$2:$A$51,ProductMaster!$B$2:$B$51)</f>
        <v>Product_46</v>
      </c>
      <c r="T144" t="str">
        <f>_xlfn.XLOOKUP(G144,RegionMaster!$A$2:$A$5,RegionMaster!$B$2:$B$5)</f>
        <v>B</v>
      </c>
    </row>
    <row r="145" spans="1:20" ht="15.75" customHeight="1">
      <c r="A145" s="2" t="s">
        <v>855</v>
      </c>
      <c r="B145" s="2" t="s">
        <v>179</v>
      </c>
      <c r="C145" s="2" t="s">
        <v>101</v>
      </c>
      <c r="D145" s="3">
        <v>45768</v>
      </c>
      <c r="E145" s="3">
        <v>45774</v>
      </c>
      <c r="F145" s="4"/>
      <c r="G145" s="2" t="s">
        <v>7</v>
      </c>
      <c r="H145" s="2" t="s">
        <v>27</v>
      </c>
      <c r="I145" s="2" t="s">
        <v>106</v>
      </c>
      <c r="J145" s="2" t="s">
        <v>107</v>
      </c>
      <c r="K145" s="2">
        <v>1644.22</v>
      </c>
      <c r="L145" s="2" t="str">
        <f t="shared" si="12"/>
        <v>April</v>
      </c>
      <c r="M145" s="2" t="str">
        <f t="shared" si="13"/>
        <v>April</v>
      </c>
      <c r="N145" t="str">
        <f t="shared" si="14"/>
        <v>Delivered</v>
      </c>
      <c r="O145">
        <f t="shared" si="15"/>
        <v>6</v>
      </c>
      <c r="P145" t="str">
        <f t="shared" si="16"/>
        <v>Completed</v>
      </c>
      <c r="Q145" t="str">
        <f t="shared" si="17"/>
        <v>Slow</v>
      </c>
      <c r="R145" t="str">
        <f>_xlfn.XLOOKUP(B145,CustomerMaster!$A$2:$A$287,CustomerMaster!$B$2:$B$287)</f>
        <v>Customer_23</v>
      </c>
      <c r="S145" t="str">
        <f>_xlfn.XLOOKUP(C145,ProductMaster!$A$2:$A$51,ProductMaster!$B$2:$B$51)</f>
        <v>Product_27</v>
      </c>
      <c r="T145" t="str">
        <f>_xlfn.XLOOKUP(G145,RegionMaster!$A$2:$A$5,RegionMaster!$B$2:$B$5)</f>
        <v>A</v>
      </c>
    </row>
    <row r="146" spans="1:20" ht="15.75" customHeight="1">
      <c r="A146" s="2" t="s">
        <v>856</v>
      </c>
      <c r="B146" s="2" t="s">
        <v>76</v>
      </c>
      <c r="C146" s="2" t="s">
        <v>72</v>
      </c>
      <c r="D146" s="3">
        <v>45702</v>
      </c>
      <c r="E146" s="3">
        <v>45705</v>
      </c>
      <c r="F146" s="4"/>
      <c r="G146" s="2" t="s">
        <v>7</v>
      </c>
      <c r="H146" s="2" t="s">
        <v>27</v>
      </c>
      <c r="I146" s="2" t="s">
        <v>121</v>
      </c>
      <c r="J146" s="2" t="s">
        <v>94</v>
      </c>
      <c r="K146" s="2">
        <v>1567.23</v>
      </c>
      <c r="L146" s="2" t="str">
        <f t="shared" si="12"/>
        <v>February</v>
      </c>
      <c r="M146" s="2" t="str">
        <f t="shared" si="13"/>
        <v>February</v>
      </c>
      <c r="N146" t="str">
        <f t="shared" si="14"/>
        <v>Delivered</v>
      </c>
      <c r="O146">
        <f t="shared" si="15"/>
        <v>3</v>
      </c>
      <c r="P146" t="str">
        <f t="shared" si="16"/>
        <v>Completed</v>
      </c>
      <c r="Q146" t="str">
        <f t="shared" si="17"/>
        <v>Slow</v>
      </c>
      <c r="R146" t="str">
        <f>_xlfn.XLOOKUP(B146,CustomerMaster!$A$2:$A$287,CustomerMaster!$B$2:$B$287)</f>
        <v>Customer_9</v>
      </c>
      <c r="S146" t="str">
        <f>_xlfn.XLOOKUP(C146,ProductMaster!$A$2:$A$51,ProductMaster!$B$2:$B$51)</f>
        <v>Product_10</v>
      </c>
      <c r="T146" t="str">
        <f>_xlfn.XLOOKUP(G146,RegionMaster!$A$2:$A$5,RegionMaster!$B$2:$B$5)</f>
        <v>A</v>
      </c>
    </row>
    <row r="147" spans="1:20" ht="15.75" customHeight="1">
      <c r="A147" s="2" t="s">
        <v>857</v>
      </c>
      <c r="B147" s="2" t="s">
        <v>403</v>
      </c>
      <c r="C147" s="2" t="s">
        <v>83</v>
      </c>
      <c r="D147" s="3">
        <v>45769</v>
      </c>
      <c r="E147" s="4"/>
      <c r="F147" s="3">
        <v>45769</v>
      </c>
      <c r="G147" s="2" t="s">
        <v>7</v>
      </c>
      <c r="H147" s="2" t="s">
        <v>54</v>
      </c>
      <c r="I147" s="2" t="s">
        <v>121</v>
      </c>
      <c r="J147" s="2" t="s">
        <v>94</v>
      </c>
      <c r="K147" s="2">
        <v>377.06</v>
      </c>
      <c r="L147" s="2" t="str">
        <f t="shared" si="12"/>
        <v>April</v>
      </c>
      <c r="M147" s="2" t="str">
        <f t="shared" si="13"/>
        <v>Cancelled</v>
      </c>
      <c r="N147" t="str">
        <f t="shared" si="14"/>
        <v>Cancelled</v>
      </c>
      <c r="O147" t="str">
        <f t="shared" si="15"/>
        <v>Order Cancelled</v>
      </c>
      <c r="P147" t="str">
        <f t="shared" si="16"/>
        <v>Cancelled</v>
      </c>
      <c r="Q147" t="str">
        <f t="shared" si="17"/>
        <v>Cancelled</v>
      </c>
      <c r="R147" t="str">
        <f>_xlfn.XLOOKUP(B147,CustomerMaster!$A$2:$A$287,CustomerMaster!$B$2:$B$287)</f>
        <v>Customer_106</v>
      </c>
      <c r="S147" t="str">
        <f>_xlfn.XLOOKUP(C147,ProductMaster!$A$2:$A$51,ProductMaster!$B$2:$B$51)</f>
        <v>Product_14</v>
      </c>
      <c r="T147" t="str">
        <f>_xlfn.XLOOKUP(G147,RegionMaster!$A$2:$A$5,RegionMaster!$B$2:$B$5)</f>
        <v>A</v>
      </c>
    </row>
    <row r="148" spans="1:20" ht="15.75" customHeight="1">
      <c r="A148" s="2" t="s">
        <v>858</v>
      </c>
      <c r="B148" s="2" t="s">
        <v>412</v>
      </c>
      <c r="C148" s="2" t="s">
        <v>83</v>
      </c>
      <c r="D148" s="3">
        <v>45754</v>
      </c>
      <c r="E148" s="3">
        <v>45756</v>
      </c>
      <c r="F148" s="4"/>
      <c r="G148" s="2" t="s">
        <v>45</v>
      </c>
      <c r="H148" s="2" t="s">
        <v>37</v>
      </c>
      <c r="I148" s="2" t="s">
        <v>121</v>
      </c>
      <c r="J148" s="2" t="s">
        <v>94</v>
      </c>
      <c r="K148" s="2">
        <v>3125.91</v>
      </c>
      <c r="L148" s="2" t="str">
        <f t="shared" si="12"/>
        <v>April</v>
      </c>
      <c r="M148" s="2" t="str">
        <f t="shared" si="13"/>
        <v>April</v>
      </c>
      <c r="N148" t="str">
        <f t="shared" si="14"/>
        <v>Delivered</v>
      </c>
      <c r="O148">
        <f t="shared" si="15"/>
        <v>2</v>
      </c>
      <c r="P148" t="str">
        <f t="shared" si="16"/>
        <v>Completed</v>
      </c>
      <c r="Q148" t="str">
        <f t="shared" si="17"/>
        <v>Fast</v>
      </c>
      <c r="R148" t="str">
        <f>_xlfn.XLOOKUP(B148,CustomerMaster!$A$2:$A$287,CustomerMaster!$B$2:$B$287)</f>
        <v>Customer_110</v>
      </c>
      <c r="S148" t="str">
        <f>_xlfn.XLOOKUP(C148,ProductMaster!$A$2:$A$51,ProductMaster!$B$2:$B$51)</f>
        <v>Product_14</v>
      </c>
      <c r="T148" t="str">
        <f>_xlfn.XLOOKUP(G148,RegionMaster!$A$2:$A$5,RegionMaster!$B$2:$B$5)</f>
        <v>D</v>
      </c>
    </row>
    <row r="149" spans="1:20" ht="15.75" customHeight="1">
      <c r="A149" s="2" t="s">
        <v>859</v>
      </c>
      <c r="B149" s="2" t="s">
        <v>789</v>
      </c>
      <c r="C149" s="2" t="s">
        <v>122</v>
      </c>
      <c r="D149" s="3">
        <v>45700</v>
      </c>
      <c r="E149" s="3">
        <v>45701</v>
      </c>
      <c r="F149" s="4"/>
      <c r="G149" s="2" t="s">
        <v>22</v>
      </c>
      <c r="H149" s="2" t="s">
        <v>16</v>
      </c>
      <c r="I149" s="2" t="s">
        <v>178</v>
      </c>
      <c r="J149" s="2" t="s">
        <v>107</v>
      </c>
      <c r="K149" s="2">
        <v>2612.86</v>
      </c>
      <c r="L149" s="2" t="str">
        <f t="shared" si="12"/>
        <v>February</v>
      </c>
      <c r="M149" s="2" t="str">
        <f t="shared" si="13"/>
        <v>February</v>
      </c>
      <c r="N149" t="str">
        <f t="shared" si="14"/>
        <v>Delivered</v>
      </c>
      <c r="O149">
        <f t="shared" si="15"/>
        <v>1</v>
      </c>
      <c r="P149" t="str">
        <f t="shared" si="16"/>
        <v>Completed</v>
      </c>
      <c r="Q149" t="str">
        <f t="shared" si="17"/>
        <v>Fast</v>
      </c>
      <c r="R149" t="str">
        <f>_xlfn.XLOOKUP(B149,CustomerMaster!$A$2:$A$287,CustomerMaster!$B$2:$B$287)</f>
        <v>Customer_277</v>
      </c>
      <c r="S149" t="str">
        <f>_xlfn.XLOOKUP(C149,ProductMaster!$A$2:$A$51,ProductMaster!$B$2:$B$51)</f>
        <v>Product_23</v>
      </c>
      <c r="T149" t="str">
        <f>_xlfn.XLOOKUP(G149,RegionMaster!$A$2:$A$5,RegionMaster!$B$2:$B$5)</f>
        <v>C</v>
      </c>
    </row>
    <row r="150" spans="1:20" ht="15.75" customHeight="1">
      <c r="A150" s="2" t="s">
        <v>860</v>
      </c>
      <c r="B150" s="2" t="s">
        <v>457</v>
      </c>
      <c r="C150" s="2" t="s">
        <v>199</v>
      </c>
      <c r="D150" s="3">
        <v>45701</v>
      </c>
      <c r="E150" s="3">
        <v>45706</v>
      </c>
      <c r="F150" s="4"/>
      <c r="G150" s="2" t="s">
        <v>7</v>
      </c>
      <c r="H150" s="2" t="s">
        <v>37</v>
      </c>
      <c r="I150" s="2" t="s">
        <v>178</v>
      </c>
      <c r="J150" s="2" t="s">
        <v>94</v>
      </c>
      <c r="K150" s="2">
        <v>447.1</v>
      </c>
      <c r="L150" s="2" t="str">
        <f t="shared" si="12"/>
        <v>February</v>
      </c>
      <c r="M150" s="2" t="str">
        <f t="shared" si="13"/>
        <v>February</v>
      </c>
      <c r="N150" t="str">
        <f t="shared" si="14"/>
        <v>Delivered</v>
      </c>
      <c r="O150">
        <f t="shared" si="15"/>
        <v>5</v>
      </c>
      <c r="P150" t="str">
        <f t="shared" si="16"/>
        <v>Completed</v>
      </c>
      <c r="Q150" t="str">
        <f t="shared" si="17"/>
        <v>Slow</v>
      </c>
      <c r="R150" t="str">
        <f>_xlfn.XLOOKUP(B150,CustomerMaster!$A$2:$A$287,CustomerMaster!$B$2:$B$287)</f>
        <v>Customer_128</v>
      </c>
      <c r="S150" t="str">
        <f>_xlfn.XLOOKUP(C150,ProductMaster!$A$2:$A$51,ProductMaster!$B$2:$B$51)</f>
        <v>Product_45</v>
      </c>
      <c r="T150" t="str">
        <f>_xlfn.XLOOKUP(G150,RegionMaster!$A$2:$A$5,RegionMaster!$B$2:$B$5)</f>
        <v>A</v>
      </c>
    </row>
    <row r="151" spans="1:20" ht="15.75" customHeight="1">
      <c r="A151" s="2" t="s">
        <v>861</v>
      </c>
      <c r="B151" s="2" t="s">
        <v>391</v>
      </c>
      <c r="C151" s="2" t="s">
        <v>68</v>
      </c>
      <c r="D151" s="3">
        <v>45663</v>
      </c>
      <c r="E151" s="3">
        <v>45667</v>
      </c>
      <c r="F151" s="4"/>
      <c r="G151" s="2" t="s">
        <v>7</v>
      </c>
      <c r="H151" s="2" t="s">
        <v>59</v>
      </c>
      <c r="I151" s="2" t="s">
        <v>90</v>
      </c>
      <c r="J151" s="2" t="s">
        <v>107</v>
      </c>
      <c r="K151" s="2">
        <v>1537.5</v>
      </c>
      <c r="L151" s="2" t="str">
        <f t="shared" si="12"/>
        <v>January</v>
      </c>
      <c r="M151" s="2" t="str">
        <f t="shared" si="13"/>
        <v>January</v>
      </c>
      <c r="N151" t="str">
        <f t="shared" si="14"/>
        <v>Delivered</v>
      </c>
      <c r="O151">
        <f t="shared" si="15"/>
        <v>4</v>
      </c>
      <c r="P151" t="str">
        <f t="shared" si="16"/>
        <v>Completed</v>
      </c>
      <c r="Q151" t="str">
        <f t="shared" si="17"/>
        <v>Slow</v>
      </c>
      <c r="R151" t="str">
        <f>_xlfn.XLOOKUP(B151,CustomerMaster!$A$2:$A$287,CustomerMaster!$B$2:$B$287)</f>
        <v>Customer_178</v>
      </c>
      <c r="S151" t="str">
        <f>_xlfn.XLOOKUP(C151,ProductMaster!$A$2:$A$51,ProductMaster!$B$2:$B$51)</f>
        <v>Product_13</v>
      </c>
      <c r="T151" t="str">
        <f>_xlfn.XLOOKUP(G151,RegionMaster!$A$2:$A$5,RegionMaster!$B$2:$B$5)</f>
        <v>A</v>
      </c>
    </row>
    <row r="152" spans="1:20" ht="15.75" customHeight="1">
      <c r="A152" s="2" t="s">
        <v>862</v>
      </c>
      <c r="B152" s="2" t="s">
        <v>235</v>
      </c>
      <c r="C152" s="2" t="s">
        <v>83</v>
      </c>
      <c r="D152" s="3">
        <v>45667</v>
      </c>
      <c r="E152" s="4"/>
      <c r="F152" s="3">
        <v>45669</v>
      </c>
      <c r="G152" s="2" t="s">
        <v>17</v>
      </c>
      <c r="H152" s="2" t="s">
        <v>27</v>
      </c>
      <c r="I152" s="2" t="s">
        <v>195</v>
      </c>
      <c r="J152" s="2" t="s">
        <v>107</v>
      </c>
      <c r="K152" s="2">
        <v>4559.68</v>
      </c>
      <c r="L152" s="2" t="str">
        <f t="shared" si="12"/>
        <v>January</v>
      </c>
      <c r="M152" s="2" t="str">
        <f t="shared" si="13"/>
        <v>Cancelled</v>
      </c>
      <c r="N152" t="str">
        <f t="shared" si="14"/>
        <v>Cancelled</v>
      </c>
      <c r="O152" t="str">
        <f t="shared" si="15"/>
        <v>Order Cancelled</v>
      </c>
      <c r="P152" t="str">
        <f t="shared" si="16"/>
        <v>Cancelled</v>
      </c>
      <c r="Q152" t="str">
        <f t="shared" si="17"/>
        <v>Cancelled</v>
      </c>
      <c r="R152" t="str">
        <f>_xlfn.XLOOKUP(B152,CustomerMaster!$A$2:$A$287,CustomerMaster!$B$2:$B$287)</f>
        <v>Customer_36</v>
      </c>
      <c r="S152" t="str">
        <f>_xlfn.XLOOKUP(C152,ProductMaster!$A$2:$A$51,ProductMaster!$B$2:$B$51)</f>
        <v>Product_14</v>
      </c>
      <c r="T152" t="str">
        <f>_xlfn.XLOOKUP(G152,RegionMaster!$A$2:$A$5,RegionMaster!$B$2:$B$5)</f>
        <v>B</v>
      </c>
    </row>
    <row r="153" spans="1:20" ht="15.75" customHeight="1">
      <c r="A153" s="2" t="s">
        <v>863</v>
      </c>
      <c r="B153" s="2" t="s">
        <v>202</v>
      </c>
      <c r="C153" s="2" t="s">
        <v>101</v>
      </c>
      <c r="D153" s="3">
        <v>45765</v>
      </c>
      <c r="E153" s="4"/>
      <c r="F153" s="3">
        <v>45766</v>
      </c>
      <c r="G153" s="2" t="s">
        <v>22</v>
      </c>
      <c r="H153" s="2" t="s">
        <v>59</v>
      </c>
      <c r="I153" s="2" t="s">
        <v>106</v>
      </c>
      <c r="J153" s="2" t="s">
        <v>133</v>
      </c>
      <c r="K153" s="2">
        <v>1349.9</v>
      </c>
      <c r="L153" s="2" t="str">
        <f t="shared" si="12"/>
        <v>April</v>
      </c>
      <c r="M153" s="2" t="str">
        <f t="shared" si="13"/>
        <v>Cancelled</v>
      </c>
      <c r="N153" t="str">
        <f t="shared" si="14"/>
        <v>Cancelled</v>
      </c>
      <c r="O153" t="str">
        <f t="shared" si="15"/>
        <v>Order Cancelled</v>
      </c>
      <c r="P153" t="str">
        <f t="shared" si="16"/>
        <v>Cancelled</v>
      </c>
      <c r="Q153" t="str">
        <f t="shared" si="17"/>
        <v>Cancelled</v>
      </c>
      <c r="R153" t="str">
        <f>_xlfn.XLOOKUP(B153,CustomerMaster!$A$2:$A$287,CustomerMaster!$B$2:$B$287)</f>
        <v>Customer_27</v>
      </c>
      <c r="S153" t="str">
        <f>_xlfn.XLOOKUP(C153,ProductMaster!$A$2:$A$51,ProductMaster!$B$2:$B$51)</f>
        <v>Product_27</v>
      </c>
      <c r="T153" t="str">
        <f>_xlfn.XLOOKUP(G153,RegionMaster!$A$2:$A$5,RegionMaster!$B$2:$B$5)</f>
        <v>C</v>
      </c>
    </row>
    <row r="154" spans="1:20" ht="15.75" customHeight="1">
      <c r="A154" s="2" t="s">
        <v>864</v>
      </c>
      <c r="B154" s="2" t="s">
        <v>57</v>
      </c>
      <c r="C154" s="2" t="s">
        <v>9</v>
      </c>
      <c r="D154" s="3">
        <v>45727</v>
      </c>
      <c r="E154" s="3">
        <v>45730</v>
      </c>
      <c r="F154" s="4"/>
      <c r="G154" s="2" t="s">
        <v>22</v>
      </c>
      <c r="H154" s="2" t="s">
        <v>27</v>
      </c>
      <c r="I154" s="2" t="s">
        <v>90</v>
      </c>
      <c r="J154" s="2" t="s">
        <v>107</v>
      </c>
      <c r="K154" s="2">
        <v>895.5</v>
      </c>
      <c r="L154" s="2" t="str">
        <f t="shared" si="12"/>
        <v>March</v>
      </c>
      <c r="M154" s="2" t="str">
        <f t="shared" si="13"/>
        <v>March</v>
      </c>
      <c r="N154" t="str">
        <f t="shared" si="14"/>
        <v>Delivered</v>
      </c>
      <c r="O154">
        <f t="shared" si="15"/>
        <v>3</v>
      </c>
      <c r="P154" t="str">
        <f t="shared" si="16"/>
        <v>Completed</v>
      </c>
      <c r="Q154" t="str">
        <f t="shared" si="17"/>
        <v>Slow</v>
      </c>
      <c r="R154" t="str">
        <f>_xlfn.XLOOKUP(B154,CustomerMaster!$A$2:$A$287,CustomerMaster!$B$2:$B$287)</f>
        <v>Customer_6</v>
      </c>
      <c r="S154" t="str">
        <f>_xlfn.XLOOKUP(C154,ProductMaster!$A$2:$A$51,ProductMaster!$B$2:$B$51)</f>
        <v>Product_0</v>
      </c>
      <c r="T154" t="str">
        <f>_xlfn.XLOOKUP(G154,RegionMaster!$A$2:$A$5,RegionMaster!$B$2:$B$5)</f>
        <v>C</v>
      </c>
    </row>
    <row r="155" spans="1:20" ht="15.75" customHeight="1">
      <c r="A155" s="2" t="s">
        <v>865</v>
      </c>
      <c r="B155" s="2" t="s">
        <v>610</v>
      </c>
      <c r="C155" s="2" t="s">
        <v>183</v>
      </c>
      <c r="D155" s="3">
        <v>45752</v>
      </c>
      <c r="E155" s="4"/>
      <c r="F155" s="3">
        <v>45752</v>
      </c>
      <c r="G155" s="2" t="s">
        <v>22</v>
      </c>
      <c r="H155" s="2" t="s">
        <v>16</v>
      </c>
      <c r="I155" s="2" t="s">
        <v>106</v>
      </c>
      <c r="J155" s="2" t="s">
        <v>94</v>
      </c>
      <c r="K155" s="2">
        <v>2549.37</v>
      </c>
      <c r="L155" s="2" t="str">
        <f t="shared" si="12"/>
        <v>April</v>
      </c>
      <c r="M155" s="2" t="str">
        <f t="shared" si="13"/>
        <v>Cancelled</v>
      </c>
      <c r="N155" t="str">
        <f t="shared" si="14"/>
        <v>Cancelled</v>
      </c>
      <c r="O155" t="str">
        <f t="shared" si="15"/>
        <v>Order Cancelled</v>
      </c>
      <c r="P155" t="str">
        <f t="shared" si="16"/>
        <v>Cancelled</v>
      </c>
      <c r="Q155" t="str">
        <f t="shared" si="17"/>
        <v>Cancelled</v>
      </c>
      <c r="R155" t="str">
        <f>_xlfn.XLOOKUP(B155,CustomerMaster!$A$2:$A$287,CustomerMaster!$B$2:$B$287)</f>
        <v>Customer_191</v>
      </c>
      <c r="S155" t="str">
        <f>_xlfn.XLOOKUP(C155,ProductMaster!$A$2:$A$51,ProductMaster!$B$2:$B$51)</f>
        <v>Product_41</v>
      </c>
      <c r="T155" t="str">
        <f>_xlfn.XLOOKUP(G155,RegionMaster!$A$2:$A$5,RegionMaster!$B$2:$B$5)</f>
        <v>C</v>
      </c>
    </row>
    <row r="156" spans="1:20" ht="15.75" customHeight="1">
      <c r="A156" s="2" t="s">
        <v>866</v>
      </c>
      <c r="B156" s="2" t="s">
        <v>758</v>
      </c>
      <c r="C156" s="2" t="s">
        <v>114</v>
      </c>
      <c r="D156" s="3">
        <v>45744</v>
      </c>
      <c r="E156" s="4"/>
      <c r="F156" s="3">
        <v>45744</v>
      </c>
      <c r="G156" s="2" t="s">
        <v>45</v>
      </c>
      <c r="H156" s="2" t="s">
        <v>54</v>
      </c>
      <c r="I156" s="2" t="s">
        <v>178</v>
      </c>
      <c r="J156" s="2" t="s">
        <v>133</v>
      </c>
      <c r="K156" s="2">
        <v>4931.12</v>
      </c>
      <c r="L156" s="2" t="str">
        <f t="shared" si="12"/>
        <v>March</v>
      </c>
      <c r="M156" s="2" t="str">
        <f t="shared" si="13"/>
        <v>Cancelled</v>
      </c>
      <c r="N156" t="str">
        <f t="shared" si="14"/>
        <v>Cancelled</v>
      </c>
      <c r="O156" t="str">
        <f t="shared" si="15"/>
        <v>Order Cancelled</v>
      </c>
      <c r="P156" t="str">
        <f t="shared" si="16"/>
        <v>Cancelled</v>
      </c>
      <c r="Q156" t="str">
        <f t="shared" si="17"/>
        <v>Cancelled</v>
      </c>
      <c r="R156" t="str">
        <f>_xlfn.XLOOKUP(B156,CustomerMaster!$A$2:$A$287,CustomerMaster!$B$2:$B$287)</f>
        <v>Customer_259</v>
      </c>
      <c r="S156" t="str">
        <f>_xlfn.XLOOKUP(C156,ProductMaster!$A$2:$A$51,ProductMaster!$B$2:$B$51)</f>
        <v>Product_21</v>
      </c>
      <c r="T156" t="str">
        <f>_xlfn.XLOOKUP(G156,RegionMaster!$A$2:$A$5,RegionMaster!$B$2:$B$5)</f>
        <v>D</v>
      </c>
    </row>
    <row r="157" spans="1:20" ht="15.75" customHeight="1">
      <c r="A157" s="2" t="s">
        <v>867</v>
      </c>
      <c r="B157" s="2" t="s">
        <v>462</v>
      </c>
      <c r="C157" s="2" t="s">
        <v>83</v>
      </c>
      <c r="D157" s="3">
        <v>45758</v>
      </c>
      <c r="E157" s="3">
        <v>45763</v>
      </c>
      <c r="F157" s="4"/>
      <c r="G157" s="2" t="s">
        <v>22</v>
      </c>
      <c r="H157" s="2" t="s">
        <v>54</v>
      </c>
      <c r="I157" s="2" t="s">
        <v>121</v>
      </c>
      <c r="J157" s="2" t="s">
        <v>94</v>
      </c>
      <c r="K157" s="2">
        <v>1361.87</v>
      </c>
      <c r="L157" s="2" t="str">
        <f t="shared" si="12"/>
        <v>April</v>
      </c>
      <c r="M157" s="2" t="str">
        <f t="shared" si="13"/>
        <v>April</v>
      </c>
      <c r="N157" t="str">
        <f t="shared" si="14"/>
        <v>Delivered</v>
      </c>
      <c r="O157">
        <f t="shared" si="15"/>
        <v>5</v>
      </c>
      <c r="P157" t="str">
        <f t="shared" si="16"/>
        <v>Completed</v>
      </c>
      <c r="Q157" t="str">
        <f t="shared" si="17"/>
        <v>Slow</v>
      </c>
      <c r="R157" t="str">
        <f>_xlfn.XLOOKUP(B157,CustomerMaster!$A$2:$A$287,CustomerMaster!$B$2:$B$287)</f>
        <v>Customer_130</v>
      </c>
      <c r="S157" t="str">
        <f>_xlfn.XLOOKUP(C157,ProductMaster!$A$2:$A$51,ProductMaster!$B$2:$B$51)</f>
        <v>Product_14</v>
      </c>
      <c r="T157" t="str">
        <f>_xlfn.XLOOKUP(G157,RegionMaster!$A$2:$A$5,RegionMaster!$B$2:$B$5)</f>
        <v>C</v>
      </c>
    </row>
    <row r="158" spans="1:20" ht="15.75" customHeight="1">
      <c r="A158" s="2" t="s">
        <v>868</v>
      </c>
      <c r="B158" s="2" t="s">
        <v>224</v>
      </c>
      <c r="C158" s="2" t="s">
        <v>173</v>
      </c>
      <c r="D158" s="3">
        <v>45686</v>
      </c>
      <c r="E158" s="4"/>
      <c r="F158" s="3">
        <v>45688</v>
      </c>
      <c r="G158" s="2" t="s">
        <v>22</v>
      </c>
      <c r="H158" s="2" t="s">
        <v>27</v>
      </c>
      <c r="I158" s="2" t="s">
        <v>195</v>
      </c>
      <c r="J158" s="2" t="s">
        <v>107</v>
      </c>
      <c r="K158" s="2">
        <v>3426.25</v>
      </c>
      <c r="L158" s="2" t="str">
        <f t="shared" si="12"/>
        <v>January</v>
      </c>
      <c r="M158" s="2" t="str">
        <f t="shared" si="13"/>
        <v>Cancelled</v>
      </c>
      <c r="N158" t="str">
        <f t="shared" si="14"/>
        <v>Cancelled</v>
      </c>
      <c r="O158" t="str">
        <f t="shared" si="15"/>
        <v>Order Cancelled</v>
      </c>
      <c r="P158" t="str">
        <f t="shared" si="16"/>
        <v>Cancelled</v>
      </c>
      <c r="Q158" t="str">
        <f t="shared" si="17"/>
        <v>Cancelled</v>
      </c>
      <c r="R158" t="str">
        <f>_xlfn.XLOOKUP(B158,CustomerMaster!$A$2:$A$287,CustomerMaster!$B$2:$B$287)</f>
        <v>Customer_31</v>
      </c>
      <c r="S158" t="str">
        <f>_xlfn.XLOOKUP(C158,ProductMaster!$A$2:$A$51,ProductMaster!$B$2:$B$51)</f>
        <v>Product_38</v>
      </c>
      <c r="T158" t="str">
        <f>_xlfn.XLOOKUP(G158,RegionMaster!$A$2:$A$5,RegionMaster!$B$2:$B$5)</f>
        <v>C</v>
      </c>
    </row>
    <row r="159" spans="1:20" ht="15.75" customHeight="1">
      <c r="A159" s="2" t="s">
        <v>869</v>
      </c>
      <c r="B159" s="2" t="s">
        <v>302</v>
      </c>
      <c r="C159" s="2" t="s">
        <v>114</v>
      </c>
      <c r="D159" s="3">
        <v>45707</v>
      </c>
      <c r="E159" s="3">
        <v>45709</v>
      </c>
      <c r="F159" s="4"/>
      <c r="G159" s="2" t="s">
        <v>17</v>
      </c>
      <c r="H159" s="2" t="s">
        <v>59</v>
      </c>
      <c r="I159" s="2" t="s">
        <v>106</v>
      </c>
      <c r="J159" s="2" t="s">
        <v>107</v>
      </c>
      <c r="K159" s="2">
        <v>3855.77</v>
      </c>
      <c r="L159" s="2" t="str">
        <f t="shared" si="12"/>
        <v>February</v>
      </c>
      <c r="M159" s="2" t="str">
        <f t="shared" si="13"/>
        <v>February</v>
      </c>
      <c r="N159" t="str">
        <f t="shared" si="14"/>
        <v>Delivered</v>
      </c>
      <c r="O159">
        <f t="shared" si="15"/>
        <v>2</v>
      </c>
      <c r="P159" t="str">
        <f t="shared" si="16"/>
        <v>Completed</v>
      </c>
      <c r="Q159" t="str">
        <f t="shared" si="17"/>
        <v>Fast</v>
      </c>
      <c r="R159" t="str">
        <f>_xlfn.XLOOKUP(B159,CustomerMaster!$A$2:$A$287,CustomerMaster!$B$2:$B$287)</f>
        <v>Customer_267</v>
      </c>
      <c r="S159" t="str">
        <f>_xlfn.XLOOKUP(C159,ProductMaster!$A$2:$A$51,ProductMaster!$B$2:$B$51)</f>
        <v>Product_21</v>
      </c>
      <c r="T159" t="str">
        <f>_xlfn.XLOOKUP(G159,RegionMaster!$A$2:$A$5,RegionMaster!$B$2:$B$5)</f>
        <v>B</v>
      </c>
    </row>
    <row r="160" spans="1:20" ht="15.75" customHeight="1">
      <c r="A160" s="2" t="s">
        <v>870</v>
      </c>
      <c r="B160" s="2" t="s">
        <v>120</v>
      </c>
      <c r="C160" s="2" t="s">
        <v>102</v>
      </c>
      <c r="D160" s="3">
        <v>45705</v>
      </c>
      <c r="E160" s="3">
        <v>45707</v>
      </c>
      <c r="F160" s="4"/>
      <c r="G160" s="2" t="s">
        <v>22</v>
      </c>
      <c r="H160" s="2" t="s">
        <v>27</v>
      </c>
      <c r="I160" s="2" t="s">
        <v>178</v>
      </c>
      <c r="J160" s="2" t="s">
        <v>133</v>
      </c>
      <c r="K160" s="2">
        <v>1340.66</v>
      </c>
      <c r="L160" s="2" t="str">
        <f t="shared" si="12"/>
        <v>February</v>
      </c>
      <c r="M160" s="2" t="str">
        <f t="shared" si="13"/>
        <v>February</v>
      </c>
      <c r="N160" t="str">
        <f t="shared" si="14"/>
        <v>Delivered</v>
      </c>
      <c r="O160">
        <f t="shared" si="15"/>
        <v>2</v>
      </c>
      <c r="P160" t="str">
        <f t="shared" si="16"/>
        <v>Completed</v>
      </c>
      <c r="Q160" t="str">
        <f t="shared" si="17"/>
        <v>Fast</v>
      </c>
      <c r="R160" t="str">
        <f>_xlfn.XLOOKUP(B160,CustomerMaster!$A$2:$A$287,CustomerMaster!$B$2:$B$287)</f>
        <v>Customer_16</v>
      </c>
      <c r="S160" t="str">
        <f>_xlfn.XLOOKUP(C160,ProductMaster!$A$2:$A$51,ProductMaster!$B$2:$B$51)</f>
        <v>Product_18</v>
      </c>
      <c r="T160" t="str">
        <f>_xlfn.XLOOKUP(G160,RegionMaster!$A$2:$A$5,RegionMaster!$B$2:$B$5)</f>
        <v>C</v>
      </c>
    </row>
    <row r="161" spans="1:20" ht="15.75" customHeight="1">
      <c r="A161" s="2" t="s">
        <v>871</v>
      </c>
      <c r="B161" s="2" t="s">
        <v>760</v>
      </c>
      <c r="C161" s="2" t="s">
        <v>130</v>
      </c>
      <c r="D161" s="3">
        <v>45663</v>
      </c>
      <c r="E161" s="4"/>
      <c r="F161" s="3">
        <v>45664</v>
      </c>
      <c r="G161" s="2" t="s">
        <v>45</v>
      </c>
      <c r="H161" s="2" t="s">
        <v>54</v>
      </c>
      <c r="I161" s="2" t="s">
        <v>195</v>
      </c>
      <c r="J161" s="2" t="s">
        <v>94</v>
      </c>
      <c r="K161" s="2">
        <v>3695.44</v>
      </c>
      <c r="L161" s="2" t="str">
        <f t="shared" si="12"/>
        <v>January</v>
      </c>
      <c r="M161" s="2" t="str">
        <f t="shared" si="13"/>
        <v>Cancelled</v>
      </c>
      <c r="N161" t="str">
        <f t="shared" si="14"/>
        <v>Cancelled</v>
      </c>
      <c r="O161" t="str">
        <f t="shared" si="15"/>
        <v>Order Cancelled</v>
      </c>
      <c r="P161" t="str">
        <f t="shared" si="16"/>
        <v>Cancelled</v>
      </c>
      <c r="Q161" t="str">
        <f t="shared" si="17"/>
        <v>Cancelled</v>
      </c>
      <c r="R161" t="str">
        <f>_xlfn.XLOOKUP(B161,CustomerMaster!$A$2:$A$287,CustomerMaster!$B$2:$B$287)</f>
        <v>Customer_260</v>
      </c>
      <c r="S161" t="str">
        <f>_xlfn.XLOOKUP(C161,ProductMaster!$A$2:$A$51,ProductMaster!$B$2:$B$51)</f>
        <v>Product_26</v>
      </c>
      <c r="T161" t="str">
        <f>_xlfn.XLOOKUP(G161,RegionMaster!$A$2:$A$5,RegionMaster!$B$2:$B$5)</f>
        <v>D</v>
      </c>
    </row>
    <row r="162" spans="1:20" ht="15.75" customHeight="1">
      <c r="A162" s="2" t="s">
        <v>872</v>
      </c>
      <c r="B162" s="2" t="s">
        <v>656</v>
      </c>
      <c r="C162" s="2" t="s">
        <v>138</v>
      </c>
      <c r="D162" s="3">
        <v>45764</v>
      </c>
      <c r="E162" s="3">
        <v>45767</v>
      </c>
      <c r="F162" s="4"/>
      <c r="G162" s="2" t="s">
        <v>17</v>
      </c>
      <c r="H162" s="2" t="s">
        <v>37</v>
      </c>
      <c r="I162" s="2" t="s">
        <v>121</v>
      </c>
      <c r="J162" s="2" t="s">
        <v>94</v>
      </c>
      <c r="K162" s="2">
        <v>1965.36</v>
      </c>
      <c r="L162" s="2" t="str">
        <f t="shared" si="12"/>
        <v>April</v>
      </c>
      <c r="M162" s="2" t="str">
        <f t="shared" si="13"/>
        <v>April</v>
      </c>
      <c r="N162" t="str">
        <f t="shared" si="14"/>
        <v>Delivered</v>
      </c>
      <c r="O162">
        <f t="shared" si="15"/>
        <v>3</v>
      </c>
      <c r="P162" t="str">
        <f t="shared" si="16"/>
        <v>Completed</v>
      </c>
      <c r="Q162" t="str">
        <f t="shared" si="17"/>
        <v>Slow</v>
      </c>
      <c r="R162" t="str">
        <f>_xlfn.XLOOKUP(B162,CustomerMaster!$A$2:$A$287,CustomerMaster!$B$2:$B$287)</f>
        <v>Customer_258</v>
      </c>
      <c r="S162" t="str">
        <f>_xlfn.XLOOKUP(C162,ProductMaster!$A$2:$A$51,ProductMaster!$B$2:$B$51)</f>
        <v>Product_28</v>
      </c>
      <c r="T162" t="str">
        <f>_xlfn.XLOOKUP(G162,RegionMaster!$A$2:$A$5,RegionMaster!$B$2:$B$5)</f>
        <v>B</v>
      </c>
    </row>
    <row r="163" spans="1:20" ht="15.75" customHeight="1">
      <c r="A163" s="2" t="s">
        <v>873</v>
      </c>
      <c r="B163" s="2" t="s">
        <v>551</v>
      </c>
      <c r="C163" s="2" t="s">
        <v>164</v>
      </c>
      <c r="D163" s="3">
        <v>45719</v>
      </c>
      <c r="E163" s="3">
        <v>45722</v>
      </c>
      <c r="F163" s="4"/>
      <c r="G163" s="2" t="s">
        <v>7</v>
      </c>
      <c r="H163" s="2" t="s">
        <v>54</v>
      </c>
      <c r="I163" s="2" t="s">
        <v>106</v>
      </c>
      <c r="J163" s="2" t="s">
        <v>94</v>
      </c>
      <c r="K163" s="2">
        <v>3235.07</v>
      </c>
      <c r="L163" s="2" t="str">
        <f t="shared" si="12"/>
        <v>March</v>
      </c>
      <c r="M163" s="2" t="str">
        <f t="shared" si="13"/>
        <v>March</v>
      </c>
      <c r="N163" t="str">
        <f t="shared" si="14"/>
        <v>Delivered</v>
      </c>
      <c r="O163">
        <f t="shared" si="15"/>
        <v>3</v>
      </c>
      <c r="P163" t="str">
        <f t="shared" si="16"/>
        <v>Completed</v>
      </c>
      <c r="Q163" t="str">
        <f t="shared" si="17"/>
        <v>Slow</v>
      </c>
      <c r="R163" t="str">
        <f>_xlfn.XLOOKUP(B163,CustomerMaster!$A$2:$A$287,CustomerMaster!$B$2:$B$287)</f>
        <v>Customer_166</v>
      </c>
      <c r="S163" t="str">
        <f>_xlfn.XLOOKUP(C163,ProductMaster!$A$2:$A$51,ProductMaster!$B$2:$B$51)</f>
        <v>Product_36</v>
      </c>
      <c r="T163" t="str">
        <f>_xlfn.XLOOKUP(G163,RegionMaster!$A$2:$A$5,RegionMaster!$B$2:$B$5)</f>
        <v>A</v>
      </c>
    </row>
    <row r="164" spans="1:20" ht="15.75" customHeight="1">
      <c r="A164" s="2" t="s">
        <v>874</v>
      </c>
      <c r="B164" s="2" t="s">
        <v>750</v>
      </c>
      <c r="C164" s="2" t="s">
        <v>164</v>
      </c>
      <c r="D164" s="3">
        <v>45660</v>
      </c>
      <c r="E164" s="3">
        <v>45661</v>
      </c>
      <c r="F164" s="4"/>
      <c r="G164" s="2" t="s">
        <v>7</v>
      </c>
      <c r="H164" s="2" t="s">
        <v>16</v>
      </c>
      <c r="I164" s="2" t="s">
        <v>121</v>
      </c>
      <c r="J164" s="2" t="s">
        <v>107</v>
      </c>
      <c r="K164" s="2">
        <v>3240.94</v>
      </c>
      <c r="L164" s="2" t="str">
        <f t="shared" si="12"/>
        <v>January</v>
      </c>
      <c r="M164" s="2" t="str">
        <f t="shared" si="13"/>
        <v>January</v>
      </c>
      <c r="N164" t="str">
        <f t="shared" si="14"/>
        <v>Delivered</v>
      </c>
      <c r="O164">
        <f t="shared" si="15"/>
        <v>1</v>
      </c>
      <c r="P164" t="str">
        <f t="shared" si="16"/>
        <v>Completed</v>
      </c>
      <c r="Q164" t="str">
        <f t="shared" si="17"/>
        <v>Fast</v>
      </c>
      <c r="R164" t="str">
        <f>_xlfn.XLOOKUP(B164,CustomerMaster!$A$2:$A$287,CustomerMaster!$B$2:$B$287)</f>
        <v>Customer_254</v>
      </c>
      <c r="S164" t="str">
        <f>_xlfn.XLOOKUP(C164,ProductMaster!$A$2:$A$51,ProductMaster!$B$2:$B$51)</f>
        <v>Product_36</v>
      </c>
      <c r="T164" t="str">
        <f>_xlfn.XLOOKUP(G164,RegionMaster!$A$2:$A$5,RegionMaster!$B$2:$B$5)</f>
        <v>A</v>
      </c>
    </row>
    <row r="165" spans="1:20" ht="15.75" customHeight="1">
      <c r="A165" s="2" t="s">
        <v>875</v>
      </c>
      <c r="B165" s="2" t="s">
        <v>457</v>
      </c>
      <c r="C165" s="2" t="s">
        <v>194</v>
      </c>
      <c r="D165" s="3">
        <v>45749</v>
      </c>
      <c r="E165" s="3">
        <v>45753</v>
      </c>
      <c r="F165" s="4"/>
      <c r="G165" s="2" t="s">
        <v>7</v>
      </c>
      <c r="H165" s="2" t="s">
        <v>27</v>
      </c>
      <c r="I165" s="2" t="s">
        <v>90</v>
      </c>
      <c r="J165" s="2" t="s">
        <v>107</v>
      </c>
      <c r="K165" s="2">
        <v>2771.72</v>
      </c>
      <c r="L165" s="2" t="str">
        <f t="shared" si="12"/>
        <v>April</v>
      </c>
      <c r="M165" s="2" t="str">
        <f t="shared" si="13"/>
        <v>April</v>
      </c>
      <c r="N165" t="str">
        <f t="shared" si="14"/>
        <v>Delivered</v>
      </c>
      <c r="O165">
        <f t="shared" si="15"/>
        <v>4</v>
      </c>
      <c r="P165" t="str">
        <f t="shared" si="16"/>
        <v>Completed</v>
      </c>
      <c r="Q165" t="str">
        <f t="shared" si="17"/>
        <v>Slow</v>
      </c>
      <c r="R165" t="str">
        <f>_xlfn.XLOOKUP(B165,CustomerMaster!$A$2:$A$287,CustomerMaster!$B$2:$B$287)</f>
        <v>Customer_128</v>
      </c>
      <c r="S165" t="str">
        <f>_xlfn.XLOOKUP(C165,ProductMaster!$A$2:$A$51,ProductMaster!$B$2:$B$51)</f>
        <v>Product_44</v>
      </c>
      <c r="T165" t="str">
        <f>_xlfn.XLOOKUP(G165,RegionMaster!$A$2:$A$5,RegionMaster!$B$2:$B$5)</f>
        <v>A</v>
      </c>
    </row>
    <row r="166" spans="1:20" ht="15.75" customHeight="1">
      <c r="A166" s="2" t="s">
        <v>876</v>
      </c>
      <c r="B166" s="2" t="s">
        <v>457</v>
      </c>
      <c r="C166" s="2" t="s">
        <v>199</v>
      </c>
      <c r="D166" s="3">
        <v>45742</v>
      </c>
      <c r="E166" s="3">
        <v>45747</v>
      </c>
      <c r="F166" s="4"/>
      <c r="G166" s="2" t="s">
        <v>17</v>
      </c>
      <c r="H166" s="2" t="s">
        <v>16</v>
      </c>
      <c r="I166" s="2" t="s">
        <v>178</v>
      </c>
      <c r="J166" s="2" t="s">
        <v>107</v>
      </c>
      <c r="K166" s="2">
        <v>633.39</v>
      </c>
      <c r="L166" s="2" t="str">
        <f t="shared" si="12"/>
        <v>March</v>
      </c>
      <c r="M166" s="2" t="str">
        <f t="shared" si="13"/>
        <v>March</v>
      </c>
      <c r="N166" t="str">
        <f t="shared" si="14"/>
        <v>Delivered</v>
      </c>
      <c r="O166">
        <f t="shared" si="15"/>
        <v>5</v>
      </c>
      <c r="P166" t="str">
        <f t="shared" si="16"/>
        <v>Completed</v>
      </c>
      <c r="Q166" t="str">
        <f t="shared" si="17"/>
        <v>Slow</v>
      </c>
      <c r="R166" t="str">
        <f>_xlfn.XLOOKUP(B166,CustomerMaster!$A$2:$A$287,CustomerMaster!$B$2:$B$287)</f>
        <v>Customer_128</v>
      </c>
      <c r="S166" t="str">
        <f>_xlfn.XLOOKUP(C166,ProductMaster!$A$2:$A$51,ProductMaster!$B$2:$B$51)</f>
        <v>Product_45</v>
      </c>
      <c r="T166" t="str">
        <f>_xlfn.XLOOKUP(G166,RegionMaster!$A$2:$A$5,RegionMaster!$B$2:$B$5)</f>
        <v>B</v>
      </c>
    </row>
    <row r="167" spans="1:20" ht="15.75" customHeight="1">
      <c r="A167" s="2" t="s">
        <v>877</v>
      </c>
      <c r="B167" s="2" t="s">
        <v>251</v>
      </c>
      <c r="C167" s="2" t="s">
        <v>104</v>
      </c>
      <c r="D167" s="3">
        <v>45760</v>
      </c>
      <c r="E167" s="4"/>
      <c r="F167" s="3">
        <v>45762</v>
      </c>
      <c r="G167" s="2" t="s">
        <v>45</v>
      </c>
      <c r="H167" s="2" t="s">
        <v>54</v>
      </c>
      <c r="I167" s="2" t="s">
        <v>121</v>
      </c>
      <c r="J167" s="2" t="s">
        <v>107</v>
      </c>
      <c r="K167" s="2">
        <v>4209.45</v>
      </c>
      <c r="L167" s="2" t="str">
        <f t="shared" si="12"/>
        <v>April</v>
      </c>
      <c r="M167" s="2" t="str">
        <f t="shared" si="13"/>
        <v>Cancelled</v>
      </c>
      <c r="N167" t="str">
        <f t="shared" si="14"/>
        <v>Cancelled</v>
      </c>
      <c r="O167" t="str">
        <f t="shared" si="15"/>
        <v>Order Cancelled</v>
      </c>
      <c r="P167" t="str">
        <f t="shared" si="16"/>
        <v>Cancelled</v>
      </c>
      <c r="Q167" t="str">
        <f t="shared" si="17"/>
        <v>Cancelled</v>
      </c>
      <c r="R167" t="str">
        <f>_xlfn.XLOOKUP(B167,CustomerMaster!$A$2:$A$287,CustomerMaster!$B$2:$B$287)</f>
        <v>Customer_42</v>
      </c>
      <c r="S167" t="str">
        <f>_xlfn.XLOOKUP(C167,ProductMaster!$A$2:$A$51,ProductMaster!$B$2:$B$51)</f>
        <v>Product_19</v>
      </c>
      <c r="T167" t="str">
        <f>_xlfn.XLOOKUP(G167,RegionMaster!$A$2:$A$5,RegionMaster!$B$2:$B$5)</f>
        <v>D</v>
      </c>
    </row>
    <row r="168" spans="1:20" ht="15.75" customHeight="1">
      <c r="A168" s="2" t="s">
        <v>878</v>
      </c>
      <c r="B168" s="2" t="s">
        <v>508</v>
      </c>
      <c r="C168" s="2" t="s">
        <v>29</v>
      </c>
      <c r="D168" s="3">
        <v>45699</v>
      </c>
      <c r="E168" s="3">
        <v>45705</v>
      </c>
      <c r="F168" s="4"/>
      <c r="G168" s="2" t="s">
        <v>17</v>
      </c>
      <c r="H168" s="2" t="s">
        <v>16</v>
      </c>
      <c r="I168" s="2" t="s">
        <v>178</v>
      </c>
      <c r="J168" s="2" t="s">
        <v>133</v>
      </c>
      <c r="K168" s="2">
        <v>1739.74</v>
      </c>
      <c r="L168" s="2" t="str">
        <f t="shared" si="12"/>
        <v>February</v>
      </c>
      <c r="M168" s="2" t="str">
        <f t="shared" si="13"/>
        <v>February</v>
      </c>
      <c r="N168" t="str">
        <f t="shared" si="14"/>
        <v>Delivered</v>
      </c>
      <c r="O168">
        <f t="shared" si="15"/>
        <v>6</v>
      </c>
      <c r="P168" t="str">
        <f t="shared" si="16"/>
        <v>Completed</v>
      </c>
      <c r="Q168" t="str">
        <f t="shared" si="17"/>
        <v>Slow</v>
      </c>
      <c r="R168" t="str">
        <f>_xlfn.XLOOKUP(B168,CustomerMaster!$A$2:$A$287,CustomerMaster!$B$2:$B$287)</f>
        <v>Customer_149</v>
      </c>
      <c r="S168" t="str">
        <f>_xlfn.XLOOKUP(C168,ProductMaster!$A$2:$A$51,ProductMaster!$B$2:$B$51)</f>
        <v>Product_2</v>
      </c>
      <c r="T168" t="str">
        <f>_xlfn.XLOOKUP(G168,RegionMaster!$A$2:$A$5,RegionMaster!$B$2:$B$5)</f>
        <v>B</v>
      </c>
    </row>
    <row r="169" spans="1:20" ht="15.75" customHeight="1">
      <c r="A169" s="2" t="s">
        <v>879</v>
      </c>
      <c r="B169" s="2" t="s">
        <v>583</v>
      </c>
      <c r="C169" s="2" t="s">
        <v>204</v>
      </c>
      <c r="D169" s="3">
        <v>45669</v>
      </c>
      <c r="E169" s="3">
        <v>45671</v>
      </c>
      <c r="F169" s="4"/>
      <c r="G169" s="2" t="s">
        <v>45</v>
      </c>
      <c r="H169" s="2" t="s">
        <v>27</v>
      </c>
      <c r="I169" s="2" t="s">
        <v>90</v>
      </c>
      <c r="J169" s="2" t="s">
        <v>94</v>
      </c>
      <c r="K169" s="2">
        <v>1095.29</v>
      </c>
      <c r="L169" s="2" t="str">
        <f t="shared" si="12"/>
        <v>January</v>
      </c>
      <c r="M169" s="2" t="str">
        <f t="shared" si="13"/>
        <v>January</v>
      </c>
      <c r="N169" t="str">
        <f t="shared" si="14"/>
        <v>Delivered</v>
      </c>
      <c r="O169">
        <f t="shared" si="15"/>
        <v>2</v>
      </c>
      <c r="P169" t="str">
        <f t="shared" si="16"/>
        <v>Completed</v>
      </c>
      <c r="Q169" t="str">
        <f t="shared" si="17"/>
        <v>Fast</v>
      </c>
      <c r="R169" t="str">
        <f>_xlfn.XLOOKUP(B169,CustomerMaster!$A$2:$A$287,CustomerMaster!$B$2:$B$287)</f>
        <v>Customer_180</v>
      </c>
      <c r="S169" t="str">
        <f>_xlfn.XLOOKUP(C169,ProductMaster!$A$2:$A$51,ProductMaster!$B$2:$B$51)</f>
        <v>Product_46</v>
      </c>
      <c r="T169" t="str">
        <f>_xlfn.XLOOKUP(G169,RegionMaster!$A$2:$A$5,RegionMaster!$B$2:$B$5)</f>
        <v>D</v>
      </c>
    </row>
    <row r="170" spans="1:20" ht="15.75" customHeight="1">
      <c r="A170" s="2" t="s">
        <v>880</v>
      </c>
      <c r="B170" s="2" t="s">
        <v>720</v>
      </c>
      <c r="C170" s="2" t="s">
        <v>194</v>
      </c>
      <c r="D170" s="3">
        <v>45667</v>
      </c>
      <c r="E170" s="4"/>
      <c r="F170" s="3">
        <v>45667</v>
      </c>
      <c r="G170" s="2" t="s">
        <v>17</v>
      </c>
      <c r="H170" s="2" t="s">
        <v>59</v>
      </c>
      <c r="I170" s="2" t="s">
        <v>90</v>
      </c>
      <c r="J170" s="2" t="s">
        <v>107</v>
      </c>
      <c r="K170" s="2">
        <v>395.72</v>
      </c>
      <c r="L170" s="2" t="str">
        <f t="shared" si="12"/>
        <v>January</v>
      </c>
      <c r="M170" s="2" t="str">
        <f t="shared" si="13"/>
        <v>Cancelled</v>
      </c>
      <c r="N170" t="str">
        <f t="shared" si="14"/>
        <v>Cancelled</v>
      </c>
      <c r="O170" t="str">
        <f t="shared" si="15"/>
        <v>Order Cancelled</v>
      </c>
      <c r="P170" t="str">
        <f t="shared" si="16"/>
        <v>Cancelled</v>
      </c>
      <c r="Q170" t="str">
        <f t="shared" si="17"/>
        <v>Cancelled</v>
      </c>
      <c r="R170" t="str">
        <f>_xlfn.XLOOKUP(B170,CustomerMaster!$A$2:$A$287,CustomerMaster!$B$2:$B$287)</f>
        <v>Customer_240</v>
      </c>
      <c r="S170" t="str">
        <f>_xlfn.XLOOKUP(C170,ProductMaster!$A$2:$A$51,ProductMaster!$B$2:$B$51)</f>
        <v>Product_44</v>
      </c>
      <c r="T170" t="str">
        <f>_xlfn.XLOOKUP(G170,RegionMaster!$A$2:$A$5,RegionMaster!$B$2:$B$5)</f>
        <v>B</v>
      </c>
    </row>
    <row r="171" spans="1:20" ht="15.75" customHeight="1">
      <c r="A171" s="2" t="s">
        <v>881</v>
      </c>
      <c r="B171" s="2" t="s">
        <v>653</v>
      </c>
      <c r="C171" s="2" t="s">
        <v>29</v>
      </c>
      <c r="D171" s="3">
        <v>45659</v>
      </c>
      <c r="E171" s="3">
        <v>45663</v>
      </c>
      <c r="F171" s="4"/>
      <c r="G171" s="2" t="s">
        <v>45</v>
      </c>
      <c r="H171" s="2" t="s">
        <v>59</v>
      </c>
      <c r="I171" s="2" t="s">
        <v>178</v>
      </c>
      <c r="J171" s="2" t="s">
        <v>133</v>
      </c>
      <c r="K171" s="2">
        <v>3036.29</v>
      </c>
      <c r="L171" s="2" t="str">
        <f t="shared" si="12"/>
        <v>January</v>
      </c>
      <c r="M171" s="2" t="str">
        <f t="shared" si="13"/>
        <v>January</v>
      </c>
      <c r="N171" t="str">
        <f t="shared" si="14"/>
        <v>Delivered</v>
      </c>
      <c r="O171">
        <f t="shared" si="15"/>
        <v>4</v>
      </c>
      <c r="P171" t="str">
        <f t="shared" si="16"/>
        <v>Completed</v>
      </c>
      <c r="Q171" t="str">
        <f t="shared" si="17"/>
        <v>Slow</v>
      </c>
      <c r="R171" t="str">
        <f>_xlfn.XLOOKUP(B171,CustomerMaster!$A$2:$A$287,CustomerMaster!$B$2:$B$287)</f>
        <v>Customer_210</v>
      </c>
      <c r="S171" t="str">
        <f>_xlfn.XLOOKUP(C171,ProductMaster!$A$2:$A$51,ProductMaster!$B$2:$B$51)</f>
        <v>Product_2</v>
      </c>
      <c r="T171" t="str">
        <f>_xlfn.XLOOKUP(G171,RegionMaster!$A$2:$A$5,RegionMaster!$B$2:$B$5)</f>
        <v>D</v>
      </c>
    </row>
    <row r="172" spans="1:20" ht="15.75" customHeight="1">
      <c r="A172" s="2" t="s">
        <v>882</v>
      </c>
      <c r="B172" s="2" t="s">
        <v>789</v>
      </c>
      <c r="C172" s="2" t="s">
        <v>95</v>
      </c>
      <c r="D172" s="3">
        <v>45717</v>
      </c>
      <c r="E172" s="4"/>
      <c r="F172" s="3">
        <v>45717</v>
      </c>
      <c r="G172" s="2" t="s">
        <v>22</v>
      </c>
      <c r="H172" s="2" t="s">
        <v>37</v>
      </c>
      <c r="I172" s="2" t="s">
        <v>121</v>
      </c>
      <c r="J172" s="2" t="s">
        <v>94</v>
      </c>
      <c r="K172" s="2">
        <v>3452.31</v>
      </c>
      <c r="L172" s="2" t="str">
        <f t="shared" si="12"/>
        <v>March</v>
      </c>
      <c r="M172" s="2" t="str">
        <f t="shared" si="13"/>
        <v>Cancelled</v>
      </c>
      <c r="N172" t="str">
        <f t="shared" si="14"/>
        <v>Cancelled</v>
      </c>
      <c r="O172" t="str">
        <f t="shared" si="15"/>
        <v>Order Cancelled</v>
      </c>
      <c r="P172" t="str">
        <f t="shared" si="16"/>
        <v>Cancelled</v>
      </c>
      <c r="Q172" t="str">
        <f t="shared" si="17"/>
        <v>Cancelled</v>
      </c>
      <c r="R172" t="str">
        <f>_xlfn.XLOOKUP(B172,CustomerMaster!$A$2:$A$287,CustomerMaster!$B$2:$B$287)</f>
        <v>Customer_277</v>
      </c>
      <c r="S172" t="str">
        <f>_xlfn.XLOOKUP(C172,ProductMaster!$A$2:$A$51,ProductMaster!$B$2:$B$51)</f>
        <v>Product_17</v>
      </c>
      <c r="T172" t="str">
        <f>_xlfn.XLOOKUP(G172,RegionMaster!$A$2:$A$5,RegionMaster!$B$2:$B$5)</f>
        <v>C</v>
      </c>
    </row>
    <row r="173" spans="1:20" ht="15.75" customHeight="1">
      <c r="A173" s="2" t="s">
        <v>883</v>
      </c>
      <c r="B173" s="2" t="s">
        <v>377</v>
      </c>
      <c r="C173" s="2" t="s">
        <v>168</v>
      </c>
      <c r="D173" s="3">
        <v>45681</v>
      </c>
      <c r="E173" s="4"/>
      <c r="F173" s="3">
        <v>45683</v>
      </c>
      <c r="G173" s="2" t="s">
        <v>45</v>
      </c>
      <c r="H173" s="2" t="s">
        <v>54</v>
      </c>
      <c r="I173" s="2" t="s">
        <v>195</v>
      </c>
      <c r="J173" s="2" t="s">
        <v>94</v>
      </c>
      <c r="K173" s="2">
        <v>279.62</v>
      </c>
      <c r="L173" s="2" t="str">
        <f t="shared" si="12"/>
        <v>January</v>
      </c>
      <c r="M173" s="2" t="str">
        <f t="shared" si="13"/>
        <v>Cancelled</v>
      </c>
      <c r="N173" t="str">
        <f t="shared" si="14"/>
        <v>Cancelled</v>
      </c>
      <c r="O173" t="str">
        <f t="shared" si="15"/>
        <v>Order Cancelled</v>
      </c>
      <c r="P173" t="str">
        <f t="shared" si="16"/>
        <v>Cancelled</v>
      </c>
      <c r="Q173" t="str">
        <f t="shared" si="17"/>
        <v>Cancelled</v>
      </c>
      <c r="R173" t="str">
        <f>_xlfn.XLOOKUP(B173,CustomerMaster!$A$2:$A$287,CustomerMaster!$B$2:$B$287)</f>
        <v>Customer_271</v>
      </c>
      <c r="S173" t="str">
        <f>_xlfn.XLOOKUP(C173,ProductMaster!$A$2:$A$51,ProductMaster!$B$2:$B$51)</f>
        <v>Product_37</v>
      </c>
      <c r="T173" t="str">
        <f>_xlfn.XLOOKUP(G173,RegionMaster!$A$2:$A$5,RegionMaster!$B$2:$B$5)</f>
        <v>D</v>
      </c>
    </row>
    <row r="174" spans="1:20" ht="15.75" customHeight="1">
      <c r="A174" s="2" t="s">
        <v>884</v>
      </c>
      <c r="B174" s="2" t="s">
        <v>799</v>
      </c>
      <c r="C174" s="2" t="s">
        <v>142</v>
      </c>
      <c r="D174" s="3">
        <v>45658</v>
      </c>
      <c r="E174" s="3">
        <v>45660</v>
      </c>
      <c r="F174" s="4"/>
      <c r="G174" s="2" t="s">
        <v>17</v>
      </c>
      <c r="H174" s="2" t="s">
        <v>54</v>
      </c>
      <c r="I174" s="2" t="s">
        <v>121</v>
      </c>
      <c r="J174" s="2" t="s">
        <v>94</v>
      </c>
      <c r="K174" s="2">
        <v>2658.05</v>
      </c>
      <c r="L174" s="2" t="str">
        <f t="shared" si="12"/>
        <v>January</v>
      </c>
      <c r="M174" s="2" t="str">
        <f t="shared" si="13"/>
        <v>January</v>
      </c>
      <c r="N174" t="str">
        <f t="shared" si="14"/>
        <v>Delivered</v>
      </c>
      <c r="O174">
        <f t="shared" si="15"/>
        <v>2</v>
      </c>
      <c r="P174" t="str">
        <f t="shared" si="16"/>
        <v>Completed</v>
      </c>
      <c r="Q174" t="str">
        <f t="shared" si="17"/>
        <v>Fast</v>
      </c>
      <c r="R174" t="str">
        <f>_xlfn.XLOOKUP(B174,CustomerMaster!$A$2:$A$287,CustomerMaster!$B$2:$B$287)</f>
        <v>Customer_284</v>
      </c>
      <c r="S174" t="str">
        <f>_xlfn.XLOOKUP(C174,ProductMaster!$A$2:$A$51,ProductMaster!$B$2:$B$51)</f>
        <v>Product_29</v>
      </c>
      <c r="T174" t="str">
        <f>_xlfn.XLOOKUP(G174,RegionMaster!$A$2:$A$5,RegionMaster!$B$2:$B$5)</f>
        <v>B</v>
      </c>
    </row>
    <row r="175" spans="1:20" ht="15.75" customHeight="1">
      <c r="A175" s="2" t="s">
        <v>885</v>
      </c>
      <c r="B175" s="2" t="s">
        <v>551</v>
      </c>
      <c r="C175" s="2" t="s">
        <v>68</v>
      </c>
      <c r="D175" s="3">
        <v>45695</v>
      </c>
      <c r="E175" s="3">
        <v>45698</v>
      </c>
      <c r="F175" s="4"/>
      <c r="G175" s="2" t="s">
        <v>7</v>
      </c>
      <c r="H175" s="2" t="s">
        <v>37</v>
      </c>
      <c r="I175" s="2" t="s">
        <v>178</v>
      </c>
      <c r="J175" s="2" t="s">
        <v>94</v>
      </c>
      <c r="K175" s="2">
        <v>1287.18</v>
      </c>
      <c r="L175" s="2" t="str">
        <f t="shared" si="12"/>
        <v>February</v>
      </c>
      <c r="M175" s="2" t="str">
        <f t="shared" si="13"/>
        <v>February</v>
      </c>
      <c r="N175" t="str">
        <f t="shared" si="14"/>
        <v>Delivered</v>
      </c>
      <c r="O175">
        <f t="shared" si="15"/>
        <v>3</v>
      </c>
      <c r="P175" t="str">
        <f t="shared" si="16"/>
        <v>Completed</v>
      </c>
      <c r="Q175" t="str">
        <f t="shared" si="17"/>
        <v>Slow</v>
      </c>
      <c r="R175" t="str">
        <f>_xlfn.XLOOKUP(B175,CustomerMaster!$A$2:$A$287,CustomerMaster!$B$2:$B$287)</f>
        <v>Customer_166</v>
      </c>
      <c r="S175" t="str">
        <f>_xlfn.XLOOKUP(C175,ProductMaster!$A$2:$A$51,ProductMaster!$B$2:$B$51)</f>
        <v>Product_13</v>
      </c>
      <c r="T175" t="str">
        <f>_xlfn.XLOOKUP(G175,RegionMaster!$A$2:$A$5,RegionMaster!$B$2:$B$5)</f>
        <v>A</v>
      </c>
    </row>
    <row r="176" spans="1:20" ht="15.75" customHeight="1">
      <c r="A176" s="2" t="s">
        <v>886</v>
      </c>
      <c r="B176" s="2" t="s">
        <v>135</v>
      </c>
      <c r="C176" s="2" t="s">
        <v>146</v>
      </c>
      <c r="D176" s="3">
        <v>45761</v>
      </c>
      <c r="E176" s="3">
        <v>45765</v>
      </c>
      <c r="F176" s="4"/>
      <c r="G176" s="2" t="s">
        <v>7</v>
      </c>
      <c r="H176" s="2" t="s">
        <v>27</v>
      </c>
      <c r="I176" s="2" t="s">
        <v>90</v>
      </c>
      <c r="J176" s="2" t="s">
        <v>107</v>
      </c>
      <c r="K176" s="2">
        <v>3296.83</v>
      </c>
      <c r="L176" s="2" t="str">
        <f t="shared" si="12"/>
        <v>April</v>
      </c>
      <c r="M176" s="2" t="str">
        <f t="shared" si="13"/>
        <v>April</v>
      </c>
      <c r="N176" t="str">
        <f t="shared" si="14"/>
        <v>Delivered</v>
      </c>
      <c r="O176">
        <f t="shared" si="15"/>
        <v>4</v>
      </c>
      <c r="P176" t="str">
        <f t="shared" si="16"/>
        <v>Completed</v>
      </c>
      <c r="Q176" t="str">
        <f t="shared" si="17"/>
        <v>Slow</v>
      </c>
      <c r="R176" t="str">
        <f>_xlfn.XLOOKUP(B176,CustomerMaster!$A$2:$A$287,CustomerMaster!$B$2:$B$287)</f>
        <v>Customer_17</v>
      </c>
      <c r="S176" t="str">
        <f>_xlfn.XLOOKUP(C176,ProductMaster!$A$2:$A$51,ProductMaster!$B$2:$B$51)</f>
        <v>Product_30</v>
      </c>
      <c r="T176" t="str">
        <f>_xlfn.XLOOKUP(G176,RegionMaster!$A$2:$A$5,RegionMaster!$B$2:$B$5)</f>
        <v>A</v>
      </c>
    </row>
    <row r="177" spans="1:20" ht="15.75" customHeight="1">
      <c r="A177" s="2" t="s">
        <v>887</v>
      </c>
      <c r="B177" s="2" t="s">
        <v>525</v>
      </c>
      <c r="C177" s="2" t="s">
        <v>109</v>
      </c>
      <c r="D177" s="3">
        <v>45743</v>
      </c>
      <c r="E177" s="4"/>
      <c r="F177" s="3">
        <v>45743</v>
      </c>
      <c r="G177" s="2" t="s">
        <v>22</v>
      </c>
      <c r="H177" s="2" t="s">
        <v>37</v>
      </c>
      <c r="I177" s="2" t="s">
        <v>195</v>
      </c>
      <c r="J177" s="2" t="s">
        <v>107</v>
      </c>
      <c r="K177" s="2">
        <v>1036.96</v>
      </c>
      <c r="L177" s="2" t="str">
        <f t="shared" si="12"/>
        <v>March</v>
      </c>
      <c r="M177" s="2" t="str">
        <f t="shared" si="13"/>
        <v>Cancelled</v>
      </c>
      <c r="N177" t="str">
        <f t="shared" si="14"/>
        <v>Cancelled</v>
      </c>
      <c r="O177" t="str">
        <f t="shared" si="15"/>
        <v>Order Cancelled</v>
      </c>
      <c r="P177" t="str">
        <f t="shared" si="16"/>
        <v>Cancelled</v>
      </c>
      <c r="Q177" t="str">
        <f t="shared" si="17"/>
        <v>Cancelled</v>
      </c>
      <c r="R177" t="str">
        <f>_xlfn.XLOOKUP(B177,CustomerMaster!$A$2:$A$287,CustomerMaster!$B$2:$B$287)</f>
        <v>Customer_156</v>
      </c>
      <c r="S177" t="str">
        <f>_xlfn.XLOOKUP(C177,ProductMaster!$A$2:$A$51,ProductMaster!$B$2:$B$51)</f>
        <v>Product_20</v>
      </c>
      <c r="T177" t="str">
        <f>_xlfn.XLOOKUP(G177,RegionMaster!$A$2:$A$5,RegionMaster!$B$2:$B$5)</f>
        <v>C</v>
      </c>
    </row>
    <row r="178" spans="1:20" ht="15.75" customHeight="1">
      <c r="A178" s="2" t="s">
        <v>888</v>
      </c>
      <c r="B178" s="2" t="s">
        <v>373</v>
      </c>
      <c r="C178" s="2" t="s">
        <v>32</v>
      </c>
      <c r="D178" s="3">
        <v>45685</v>
      </c>
      <c r="E178" s="3">
        <v>45689</v>
      </c>
      <c r="F178" s="4"/>
      <c r="G178" s="2" t="s">
        <v>22</v>
      </c>
      <c r="H178" s="2" t="s">
        <v>37</v>
      </c>
      <c r="I178" s="2" t="s">
        <v>121</v>
      </c>
      <c r="J178" s="2" t="s">
        <v>107</v>
      </c>
      <c r="K178" s="2">
        <v>3516.5</v>
      </c>
      <c r="L178" s="2" t="str">
        <f t="shared" si="12"/>
        <v>January</v>
      </c>
      <c r="M178" s="2" t="str">
        <f t="shared" si="13"/>
        <v>February</v>
      </c>
      <c r="N178" t="str">
        <f t="shared" si="14"/>
        <v>Delivered</v>
      </c>
      <c r="O178">
        <f t="shared" si="15"/>
        <v>4</v>
      </c>
      <c r="P178" t="str">
        <f t="shared" si="16"/>
        <v>Completed</v>
      </c>
      <c r="Q178" t="str">
        <f t="shared" si="17"/>
        <v>Slow</v>
      </c>
      <c r="R178" t="str">
        <f>_xlfn.XLOOKUP(B178,CustomerMaster!$A$2:$A$287,CustomerMaster!$B$2:$B$287)</f>
        <v>Customer_94</v>
      </c>
      <c r="S178" t="str">
        <f>_xlfn.XLOOKUP(C178,ProductMaster!$A$2:$A$51,ProductMaster!$B$2:$B$51)</f>
        <v>Product_3</v>
      </c>
      <c r="T178" t="str">
        <f>_xlfn.XLOOKUP(G178,RegionMaster!$A$2:$A$5,RegionMaster!$B$2:$B$5)</f>
        <v>C</v>
      </c>
    </row>
    <row r="179" spans="1:20" ht="15.75" customHeight="1">
      <c r="A179" s="2" t="s">
        <v>889</v>
      </c>
      <c r="B179" s="2" t="s">
        <v>243</v>
      </c>
      <c r="C179" s="2" t="s">
        <v>72</v>
      </c>
      <c r="D179" s="3">
        <v>45683</v>
      </c>
      <c r="E179" s="3">
        <v>45688</v>
      </c>
      <c r="F179" s="4"/>
      <c r="G179" s="2" t="s">
        <v>22</v>
      </c>
      <c r="H179" s="2" t="s">
        <v>16</v>
      </c>
      <c r="I179" s="2" t="s">
        <v>195</v>
      </c>
      <c r="J179" s="2" t="s">
        <v>94</v>
      </c>
      <c r="K179" s="2">
        <v>2056.33</v>
      </c>
      <c r="L179" s="2" t="str">
        <f t="shared" si="12"/>
        <v>January</v>
      </c>
      <c r="M179" s="2" t="str">
        <f t="shared" si="13"/>
        <v>January</v>
      </c>
      <c r="N179" t="str">
        <f t="shared" si="14"/>
        <v>Delivered</v>
      </c>
      <c r="O179">
        <f t="shared" si="15"/>
        <v>5</v>
      </c>
      <c r="P179" t="str">
        <f t="shared" si="16"/>
        <v>Completed</v>
      </c>
      <c r="Q179" t="str">
        <f t="shared" si="17"/>
        <v>Slow</v>
      </c>
      <c r="R179" t="str">
        <f>_xlfn.XLOOKUP(B179,CustomerMaster!$A$2:$A$287,CustomerMaster!$B$2:$B$287)</f>
        <v>Customer_39</v>
      </c>
      <c r="S179" t="str">
        <f>_xlfn.XLOOKUP(C179,ProductMaster!$A$2:$A$51,ProductMaster!$B$2:$B$51)</f>
        <v>Product_10</v>
      </c>
      <c r="T179" t="str">
        <f>_xlfn.XLOOKUP(G179,RegionMaster!$A$2:$A$5,RegionMaster!$B$2:$B$5)</f>
        <v>C</v>
      </c>
    </row>
    <row r="180" spans="1:20" ht="15.75" customHeight="1">
      <c r="A180" s="2" t="s">
        <v>890</v>
      </c>
      <c r="B180" s="2" t="s">
        <v>378</v>
      </c>
      <c r="C180" s="2" t="s">
        <v>204</v>
      </c>
      <c r="D180" s="3">
        <v>45668</v>
      </c>
      <c r="E180" s="3">
        <v>45671</v>
      </c>
      <c r="F180" s="4"/>
      <c r="G180" s="2" t="s">
        <v>45</v>
      </c>
      <c r="H180" s="2" t="s">
        <v>16</v>
      </c>
      <c r="I180" s="2" t="s">
        <v>121</v>
      </c>
      <c r="J180" s="2" t="s">
        <v>133</v>
      </c>
      <c r="K180" s="2">
        <v>4696.3</v>
      </c>
      <c r="L180" s="2" t="str">
        <f t="shared" si="12"/>
        <v>January</v>
      </c>
      <c r="M180" s="2" t="str">
        <f t="shared" si="13"/>
        <v>January</v>
      </c>
      <c r="N180" t="str">
        <f t="shared" si="14"/>
        <v>Delivered</v>
      </c>
      <c r="O180">
        <f t="shared" si="15"/>
        <v>3</v>
      </c>
      <c r="P180" t="str">
        <f t="shared" si="16"/>
        <v>Completed</v>
      </c>
      <c r="Q180" t="str">
        <f t="shared" si="17"/>
        <v>Slow</v>
      </c>
      <c r="R180" t="str">
        <f>_xlfn.XLOOKUP(B180,CustomerMaster!$A$2:$A$287,CustomerMaster!$B$2:$B$287)</f>
        <v>Customer_96</v>
      </c>
      <c r="S180" t="str">
        <f>_xlfn.XLOOKUP(C180,ProductMaster!$A$2:$A$51,ProductMaster!$B$2:$B$51)</f>
        <v>Product_46</v>
      </c>
      <c r="T180" t="str">
        <f>_xlfn.XLOOKUP(G180,RegionMaster!$A$2:$A$5,RegionMaster!$B$2:$B$5)</f>
        <v>D</v>
      </c>
    </row>
    <row r="181" spans="1:20" ht="15.75" customHeight="1">
      <c r="A181" s="2" t="s">
        <v>891</v>
      </c>
      <c r="B181" s="2" t="s">
        <v>739</v>
      </c>
      <c r="C181" s="2" t="s">
        <v>39</v>
      </c>
      <c r="D181" s="3">
        <v>45735</v>
      </c>
      <c r="E181" s="3">
        <v>45738</v>
      </c>
      <c r="F181" s="4"/>
      <c r="G181" s="2" t="s">
        <v>45</v>
      </c>
      <c r="H181" s="2" t="s">
        <v>37</v>
      </c>
      <c r="I181" s="2" t="s">
        <v>106</v>
      </c>
      <c r="J181" s="2" t="s">
        <v>94</v>
      </c>
      <c r="K181" s="2">
        <v>860.1</v>
      </c>
      <c r="L181" s="2" t="str">
        <f t="shared" si="12"/>
        <v>March</v>
      </c>
      <c r="M181" s="2" t="str">
        <f t="shared" si="13"/>
        <v>March</v>
      </c>
      <c r="N181" t="str">
        <f t="shared" si="14"/>
        <v>Delivered</v>
      </c>
      <c r="O181">
        <f t="shared" si="15"/>
        <v>3</v>
      </c>
      <c r="P181" t="str">
        <f t="shared" si="16"/>
        <v>Completed</v>
      </c>
      <c r="Q181" t="str">
        <f t="shared" si="17"/>
        <v>Slow</v>
      </c>
      <c r="R181" t="str">
        <f>_xlfn.XLOOKUP(B181,CustomerMaster!$A$2:$A$287,CustomerMaster!$B$2:$B$287)</f>
        <v>Customer_249</v>
      </c>
      <c r="S181" t="str">
        <f>_xlfn.XLOOKUP(C181,ProductMaster!$A$2:$A$51,ProductMaster!$B$2:$B$51)</f>
        <v>Product_4</v>
      </c>
      <c r="T181" t="str">
        <f>_xlfn.XLOOKUP(G181,RegionMaster!$A$2:$A$5,RegionMaster!$B$2:$B$5)</f>
        <v>D</v>
      </c>
    </row>
    <row r="182" spans="1:20" ht="15.75" customHeight="1">
      <c r="A182" s="2" t="s">
        <v>892</v>
      </c>
      <c r="B182" s="2" t="s">
        <v>85</v>
      </c>
      <c r="C182" s="2" t="s">
        <v>20</v>
      </c>
      <c r="D182" s="3">
        <v>45758</v>
      </c>
      <c r="E182" s="3">
        <v>45761</v>
      </c>
      <c r="F182" s="4"/>
      <c r="G182" s="2" t="s">
        <v>7</v>
      </c>
      <c r="H182" s="2" t="s">
        <v>59</v>
      </c>
      <c r="I182" s="2" t="s">
        <v>178</v>
      </c>
      <c r="J182" s="2" t="s">
        <v>107</v>
      </c>
      <c r="K182" s="2">
        <v>1837.12</v>
      </c>
      <c r="L182" s="2" t="str">
        <f t="shared" si="12"/>
        <v>April</v>
      </c>
      <c r="M182" s="2" t="str">
        <f t="shared" si="13"/>
        <v>April</v>
      </c>
      <c r="N182" t="str">
        <f t="shared" si="14"/>
        <v>Delivered</v>
      </c>
      <c r="O182">
        <f t="shared" si="15"/>
        <v>3</v>
      </c>
      <c r="P182" t="str">
        <f t="shared" si="16"/>
        <v>Completed</v>
      </c>
      <c r="Q182" t="str">
        <f t="shared" si="17"/>
        <v>Slow</v>
      </c>
      <c r="R182" t="str">
        <f>_xlfn.XLOOKUP(B182,CustomerMaster!$A$2:$A$287,CustomerMaster!$B$2:$B$287)</f>
        <v>Customer_11</v>
      </c>
      <c r="S182" t="str">
        <f>_xlfn.XLOOKUP(C182,ProductMaster!$A$2:$A$51,ProductMaster!$B$2:$B$51)</f>
        <v>Product_1</v>
      </c>
      <c r="T182" t="str">
        <f>_xlfn.XLOOKUP(G182,RegionMaster!$A$2:$A$5,RegionMaster!$B$2:$B$5)</f>
        <v>A</v>
      </c>
    </row>
    <row r="183" spans="1:20" ht="15.75" customHeight="1">
      <c r="A183" s="2" t="s">
        <v>893</v>
      </c>
      <c r="B183" s="2" t="s">
        <v>312</v>
      </c>
      <c r="C183" s="2" t="s">
        <v>125</v>
      </c>
      <c r="D183" s="3">
        <v>45769</v>
      </c>
      <c r="E183" s="4"/>
      <c r="F183" s="3">
        <v>45769</v>
      </c>
      <c r="G183" s="2" t="s">
        <v>22</v>
      </c>
      <c r="H183" s="2" t="s">
        <v>16</v>
      </c>
      <c r="I183" s="2" t="s">
        <v>90</v>
      </c>
      <c r="J183" s="2" t="s">
        <v>94</v>
      </c>
      <c r="K183" s="2">
        <v>744.67</v>
      </c>
      <c r="L183" s="2" t="str">
        <f t="shared" si="12"/>
        <v>April</v>
      </c>
      <c r="M183" s="2" t="str">
        <f t="shared" si="13"/>
        <v>Cancelled</v>
      </c>
      <c r="N183" t="str">
        <f t="shared" si="14"/>
        <v>Cancelled</v>
      </c>
      <c r="O183" t="str">
        <f t="shared" si="15"/>
        <v>Order Cancelled</v>
      </c>
      <c r="P183" t="str">
        <f t="shared" si="16"/>
        <v>Cancelled</v>
      </c>
      <c r="Q183" t="str">
        <f t="shared" si="17"/>
        <v>Cancelled</v>
      </c>
      <c r="R183" t="str">
        <f>_xlfn.XLOOKUP(B183,CustomerMaster!$A$2:$A$287,CustomerMaster!$B$2:$B$287)</f>
        <v>Customer_278</v>
      </c>
      <c r="S183" t="str">
        <f>_xlfn.XLOOKUP(C183,ProductMaster!$A$2:$A$51,ProductMaster!$B$2:$B$51)</f>
        <v>Product_24</v>
      </c>
      <c r="T183" t="str">
        <f>_xlfn.XLOOKUP(G183,RegionMaster!$A$2:$A$5,RegionMaster!$B$2:$B$5)</f>
        <v>C</v>
      </c>
    </row>
    <row r="184" spans="1:20" ht="15.75" customHeight="1">
      <c r="A184" s="2" t="s">
        <v>894</v>
      </c>
      <c r="B184" s="2" t="s">
        <v>255</v>
      </c>
      <c r="C184" s="2" t="s">
        <v>91</v>
      </c>
      <c r="D184" s="3">
        <v>45767</v>
      </c>
      <c r="E184" s="3">
        <v>45772</v>
      </c>
      <c r="F184" s="4"/>
      <c r="G184" s="2" t="s">
        <v>7</v>
      </c>
      <c r="H184" s="2" t="s">
        <v>37</v>
      </c>
      <c r="I184" s="2" t="s">
        <v>106</v>
      </c>
      <c r="J184" s="2" t="s">
        <v>107</v>
      </c>
      <c r="K184" s="2">
        <v>4638.53</v>
      </c>
      <c r="L184" s="2" t="str">
        <f t="shared" si="12"/>
        <v>April</v>
      </c>
      <c r="M184" s="2" t="str">
        <f t="shared" si="13"/>
        <v>April</v>
      </c>
      <c r="N184" t="str">
        <f t="shared" si="14"/>
        <v>Delivered</v>
      </c>
      <c r="O184">
        <f t="shared" si="15"/>
        <v>5</v>
      </c>
      <c r="P184" t="str">
        <f t="shared" si="16"/>
        <v>Completed</v>
      </c>
      <c r="Q184" t="str">
        <f t="shared" si="17"/>
        <v>Slow</v>
      </c>
      <c r="R184" t="str">
        <f>_xlfn.XLOOKUP(B184,CustomerMaster!$A$2:$A$287,CustomerMaster!$B$2:$B$287)</f>
        <v>Customer_43</v>
      </c>
      <c r="S184" t="str">
        <f>_xlfn.XLOOKUP(C184,ProductMaster!$A$2:$A$51,ProductMaster!$B$2:$B$51)</f>
        <v>Product_16</v>
      </c>
      <c r="T184" t="str">
        <f>_xlfn.XLOOKUP(G184,RegionMaster!$A$2:$A$5,RegionMaster!$B$2:$B$5)</f>
        <v>A</v>
      </c>
    </row>
    <row r="185" spans="1:20" ht="15.75" customHeight="1">
      <c r="A185" s="2" t="s">
        <v>895</v>
      </c>
      <c r="B185" s="2" t="s">
        <v>547</v>
      </c>
      <c r="C185" s="2" t="s">
        <v>75</v>
      </c>
      <c r="D185" s="3">
        <v>45661</v>
      </c>
      <c r="E185" s="3">
        <v>45663</v>
      </c>
      <c r="F185" s="4"/>
      <c r="G185" s="2" t="s">
        <v>22</v>
      </c>
      <c r="H185" s="2" t="s">
        <v>54</v>
      </c>
      <c r="I185" s="2" t="s">
        <v>121</v>
      </c>
      <c r="J185" s="2" t="s">
        <v>94</v>
      </c>
      <c r="K185" s="2">
        <v>4411.2299999999996</v>
      </c>
      <c r="L185" s="2" t="str">
        <f t="shared" si="12"/>
        <v>January</v>
      </c>
      <c r="M185" s="2" t="str">
        <f t="shared" si="13"/>
        <v>January</v>
      </c>
      <c r="N185" t="str">
        <f t="shared" si="14"/>
        <v>Delivered</v>
      </c>
      <c r="O185">
        <f t="shared" si="15"/>
        <v>2</v>
      </c>
      <c r="P185" t="str">
        <f t="shared" si="16"/>
        <v>Completed</v>
      </c>
      <c r="Q185" t="str">
        <f t="shared" si="17"/>
        <v>Fast</v>
      </c>
      <c r="R185" t="str">
        <f>_xlfn.XLOOKUP(B185,CustomerMaster!$A$2:$A$287,CustomerMaster!$B$2:$B$287)</f>
        <v>Customer_164</v>
      </c>
      <c r="S185" t="str">
        <f>_xlfn.XLOOKUP(C185,ProductMaster!$A$2:$A$51,ProductMaster!$B$2:$B$51)</f>
        <v>Product_11</v>
      </c>
      <c r="T185" t="str">
        <f>_xlfn.XLOOKUP(G185,RegionMaster!$A$2:$A$5,RegionMaster!$B$2:$B$5)</f>
        <v>C</v>
      </c>
    </row>
    <row r="186" spans="1:20" ht="15.75" customHeight="1">
      <c r="A186" s="2" t="s">
        <v>896</v>
      </c>
      <c r="B186" s="2" t="s">
        <v>171</v>
      </c>
      <c r="C186" s="2" t="s">
        <v>164</v>
      </c>
      <c r="D186" s="3">
        <v>45665</v>
      </c>
      <c r="E186" s="3">
        <v>45668</v>
      </c>
      <c r="F186" s="4"/>
      <c r="G186" s="2" t="s">
        <v>17</v>
      </c>
      <c r="H186" s="2" t="s">
        <v>37</v>
      </c>
      <c r="I186" s="2" t="s">
        <v>106</v>
      </c>
      <c r="J186" s="2" t="s">
        <v>94</v>
      </c>
      <c r="K186" s="2">
        <v>1438.12</v>
      </c>
      <c r="L186" s="2" t="str">
        <f t="shared" si="12"/>
        <v>January</v>
      </c>
      <c r="M186" s="2" t="str">
        <f t="shared" si="13"/>
        <v>January</v>
      </c>
      <c r="N186" t="str">
        <f t="shared" si="14"/>
        <v>Delivered</v>
      </c>
      <c r="O186">
        <f t="shared" si="15"/>
        <v>3</v>
      </c>
      <c r="P186" t="str">
        <f t="shared" si="16"/>
        <v>Completed</v>
      </c>
      <c r="Q186" t="str">
        <f t="shared" si="17"/>
        <v>Slow</v>
      </c>
      <c r="R186" t="str">
        <f>_xlfn.XLOOKUP(B186,CustomerMaster!$A$2:$A$287,CustomerMaster!$B$2:$B$287)</f>
        <v>Customer_250</v>
      </c>
      <c r="S186" t="str">
        <f>_xlfn.XLOOKUP(C186,ProductMaster!$A$2:$A$51,ProductMaster!$B$2:$B$51)</f>
        <v>Product_36</v>
      </c>
      <c r="T186" t="str">
        <f>_xlfn.XLOOKUP(G186,RegionMaster!$A$2:$A$5,RegionMaster!$B$2:$B$5)</f>
        <v>B</v>
      </c>
    </row>
    <row r="187" spans="1:20" ht="15.75" customHeight="1">
      <c r="A187" s="2" t="s">
        <v>897</v>
      </c>
      <c r="B187" s="2" t="s">
        <v>313</v>
      </c>
      <c r="C187" s="2" t="s">
        <v>32</v>
      </c>
      <c r="D187" s="3">
        <v>45713</v>
      </c>
      <c r="E187" s="3">
        <v>45714</v>
      </c>
      <c r="F187" s="4"/>
      <c r="G187" s="2" t="s">
        <v>17</v>
      </c>
      <c r="H187" s="2" t="s">
        <v>59</v>
      </c>
      <c r="I187" s="2" t="s">
        <v>195</v>
      </c>
      <c r="J187" s="2" t="s">
        <v>133</v>
      </c>
      <c r="K187" s="2">
        <v>3367.92</v>
      </c>
      <c r="L187" s="2" t="str">
        <f t="shared" si="12"/>
        <v>February</v>
      </c>
      <c r="M187" s="2" t="str">
        <f t="shared" si="13"/>
        <v>February</v>
      </c>
      <c r="N187" t="str">
        <f t="shared" si="14"/>
        <v>Delivered</v>
      </c>
      <c r="O187">
        <f t="shared" si="15"/>
        <v>1</v>
      </c>
      <c r="P187" t="str">
        <f t="shared" si="16"/>
        <v>Completed</v>
      </c>
      <c r="Q187" t="str">
        <f t="shared" si="17"/>
        <v>Fast</v>
      </c>
      <c r="R187" t="str">
        <f>_xlfn.XLOOKUP(B187,CustomerMaster!$A$2:$A$287,CustomerMaster!$B$2:$B$287)</f>
        <v>Customer_66</v>
      </c>
      <c r="S187" t="str">
        <f>_xlfn.XLOOKUP(C187,ProductMaster!$A$2:$A$51,ProductMaster!$B$2:$B$51)</f>
        <v>Product_3</v>
      </c>
      <c r="T187" t="str">
        <f>_xlfn.XLOOKUP(G187,RegionMaster!$A$2:$A$5,RegionMaster!$B$2:$B$5)</f>
        <v>B</v>
      </c>
    </row>
    <row r="188" spans="1:20" ht="15.75" customHeight="1">
      <c r="A188" s="2" t="s">
        <v>898</v>
      </c>
      <c r="B188" s="2" t="s">
        <v>625</v>
      </c>
      <c r="C188" s="2" t="s">
        <v>20</v>
      </c>
      <c r="D188" s="3">
        <v>45695</v>
      </c>
      <c r="E188" s="3">
        <v>45700</v>
      </c>
      <c r="F188" s="4"/>
      <c r="G188" s="2" t="s">
        <v>7</v>
      </c>
      <c r="H188" s="2" t="s">
        <v>16</v>
      </c>
      <c r="I188" s="2" t="s">
        <v>178</v>
      </c>
      <c r="J188" s="2" t="s">
        <v>94</v>
      </c>
      <c r="K188" s="2">
        <v>4122.67</v>
      </c>
      <c r="L188" s="2" t="str">
        <f t="shared" si="12"/>
        <v>February</v>
      </c>
      <c r="M188" s="2" t="str">
        <f t="shared" si="13"/>
        <v>February</v>
      </c>
      <c r="N188" t="str">
        <f t="shared" si="14"/>
        <v>Delivered</v>
      </c>
      <c r="O188">
        <f t="shared" si="15"/>
        <v>5</v>
      </c>
      <c r="P188" t="str">
        <f t="shared" si="16"/>
        <v>Completed</v>
      </c>
      <c r="Q188" t="str">
        <f t="shared" si="17"/>
        <v>Slow</v>
      </c>
      <c r="R188" t="str">
        <f>_xlfn.XLOOKUP(B188,CustomerMaster!$A$2:$A$287,CustomerMaster!$B$2:$B$287)</f>
        <v>Customer_198</v>
      </c>
      <c r="S188" t="str">
        <f>_xlfn.XLOOKUP(C188,ProductMaster!$A$2:$A$51,ProductMaster!$B$2:$B$51)</f>
        <v>Product_1</v>
      </c>
      <c r="T188" t="str">
        <f>_xlfn.XLOOKUP(G188,RegionMaster!$A$2:$A$5,RegionMaster!$B$2:$B$5)</f>
        <v>A</v>
      </c>
    </row>
    <row r="189" spans="1:20" ht="15.75" customHeight="1">
      <c r="A189" s="2" t="s">
        <v>899</v>
      </c>
      <c r="B189" s="2" t="s">
        <v>504</v>
      </c>
      <c r="C189" s="2" t="s">
        <v>75</v>
      </c>
      <c r="D189" s="3">
        <v>45742</v>
      </c>
      <c r="E189" s="3">
        <v>45747</v>
      </c>
      <c r="F189" s="4"/>
      <c r="G189" s="2" t="s">
        <v>17</v>
      </c>
      <c r="H189" s="2" t="s">
        <v>59</v>
      </c>
      <c r="I189" s="2" t="s">
        <v>178</v>
      </c>
      <c r="J189" s="2" t="s">
        <v>94</v>
      </c>
      <c r="K189" s="2">
        <v>2864.96</v>
      </c>
      <c r="L189" s="2" t="str">
        <f t="shared" si="12"/>
        <v>March</v>
      </c>
      <c r="M189" s="2" t="str">
        <f t="shared" si="13"/>
        <v>March</v>
      </c>
      <c r="N189" t="str">
        <f t="shared" si="14"/>
        <v>Delivered</v>
      </c>
      <c r="O189">
        <f t="shared" si="15"/>
        <v>5</v>
      </c>
      <c r="P189" t="str">
        <f t="shared" si="16"/>
        <v>Completed</v>
      </c>
      <c r="Q189" t="str">
        <f t="shared" si="17"/>
        <v>Slow</v>
      </c>
      <c r="R189" t="str">
        <f>_xlfn.XLOOKUP(B189,CustomerMaster!$A$2:$A$287,CustomerMaster!$B$2:$B$287)</f>
        <v>Customer_148</v>
      </c>
      <c r="S189" t="str">
        <f>_xlfn.XLOOKUP(C189,ProductMaster!$A$2:$A$51,ProductMaster!$B$2:$B$51)</f>
        <v>Product_11</v>
      </c>
      <c r="T189" t="str">
        <f>_xlfn.XLOOKUP(G189,RegionMaster!$A$2:$A$5,RegionMaster!$B$2:$B$5)</f>
        <v>B</v>
      </c>
    </row>
    <row r="190" spans="1:20" ht="15.75" customHeight="1">
      <c r="A190" s="2" t="s">
        <v>900</v>
      </c>
      <c r="B190" s="2" t="s">
        <v>294</v>
      </c>
      <c r="C190" s="2" t="s">
        <v>9</v>
      </c>
      <c r="D190" s="3">
        <v>45758</v>
      </c>
      <c r="E190" s="3">
        <v>45763</v>
      </c>
      <c r="F190" s="4"/>
      <c r="G190" s="2" t="s">
        <v>45</v>
      </c>
      <c r="H190" s="2" t="s">
        <v>59</v>
      </c>
      <c r="I190" s="2" t="s">
        <v>178</v>
      </c>
      <c r="J190" s="2" t="s">
        <v>133</v>
      </c>
      <c r="K190" s="2">
        <v>2742.32</v>
      </c>
      <c r="L190" s="2" t="str">
        <f t="shared" si="12"/>
        <v>April</v>
      </c>
      <c r="M190" s="2" t="str">
        <f t="shared" si="13"/>
        <v>April</v>
      </c>
      <c r="N190" t="str">
        <f t="shared" si="14"/>
        <v>Delivered</v>
      </c>
      <c r="O190">
        <f t="shared" si="15"/>
        <v>5</v>
      </c>
      <c r="P190" t="str">
        <f t="shared" si="16"/>
        <v>Completed</v>
      </c>
      <c r="Q190" t="str">
        <f t="shared" si="17"/>
        <v>Slow</v>
      </c>
      <c r="R190" t="str">
        <f>_xlfn.XLOOKUP(B190,CustomerMaster!$A$2:$A$287,CustomerMaster!$B$2:$B$287)</f>
        <v>Customer_58</v>
      </c>
      <c r="S190" t="str">
        <f>_xlfn.XLOOKUP(C190,ProductMaster!$A$2:$A$51,ProductMaster!$B$2:$B$51)</f>
        <v>Product_0</v>
      </c>
      <c r="T190" t="str">
        <f>_xlfn.XLOOKUP(G190,RegionMaster!$A$2:$A$5,RegionMaster!$B$2:$B$5)</f>
        <v>D</v>
      </c>
    </row>
    <row r="191" spans="1:20" ht="15.75" customHeight="1">
      <c r="A191" s="2" t="s">
        <v>901</v>
      </c>
      <c r="B191" s="2" t="s">
        <v>694</v>
      </c>
      <c r="C191" s="2" t="s">
        <v>102</v>
      </c>
      <c r="D191" s="3">
        <v>45717</v>
      </c>
      <c r="E191" s="3">
        <v>45720</v>
      </c>
      <c r="F191" s="4"/>
      <c r="G191" s="2" t="s">
        <v>45</v>
      </c>
      <c r="H191" s="2" t="s">
        <v>27</v>
      </c>
      <c r="I191" s="2" t="s">
        <v>90</v>
      </c>
      <c r="J191" s="2" t="s">
        <v>107</v>
      </c>
      <c r="K191" s="2">
        <v>1360.89</v>
      </c>
      <c r="L191" s="2" t="str">
        <f t="shared" si="12"/>
        <v>March</v>
      </c>
      <c r="M191" s="2" t="str">
        <f t="shared" si="13"/>
        <v>March</v>
      </c>
      <c r="N191" t="str">
        <f t="shared" si="14"/>
        <v>Delivered</v>
      </c>
      <c r="O191">
        <f t="shared" si="15"/>
        <v>3</v>
      </c>
      <c r="P191" t="str">
        <f t="shared" si="16"/>
        <v>Completed</v>
      </c>
      <c r="Q191" t="str">
        <f t="shared" si="17"/>
        <v>Slow</v>
      </c>
      <c r="R191" t="str">
        <f>_xlfn.XLOOKUP(B191,CustomerMaster!$A$2:$A$287,CustomerMaster!$B$2:$B$287)</f>
        <v>Customer_228</v>
      </c>
      <c r="S191" t="str">
        <f>_xlfn.XLOOKUP(C191,ProductMaster!$A$2:$A$51,ProductMaster!$B$2:$B$51)</f>
        <v>Product_18</v>
      </c>
      <c r="T191" t="str">
        <f>_xlfn.XLOOKUP(G191,RegionMaster!$A$2:$A$5,RegionMaster!$B$2:$B$5)</f>
        <v>D</v>
      </c>
    </row>
    <row r="192" spans="1:20" ht="15.75" customHeight="1">
      <c r="A192" s="2" t="s">
        <v>902</v>
      </c>
      <c r="B192" s="2" t="s">
        <v>139</v>
      </c>
      <c r="C192" s="2" t="s">
        <v>180</v>
      </c>
      <c r="D192" s="3">
        <v>45756</v>
      </c>
      <c r="E192" s="3">
        <v>45759</v>
      </c>
      <c r="F192" s="4"/>
      <c r="G192" s="2" t="s">
        <v>45</v>
      </c>
      <c r="H192" s="2" t="s">
        <v>27</v>
      </c>
      <c r="I192" s="2" t="s">
        <v>90</v>
      </c>
      <c r="J192" s="2" t="s">
        <v>107</v>
      </c>
      <c r="K192" s="2">
        <v>646.89</v>
      </c>
      <c r="L192" s="2" t="str">
        <f t="shared" si="12"/>
        <v>April</v>
      </c>
      <c r="M192" s="2" t="str">
        <f t="shared" si="13"/>
        <v>April</v>
      </c>
      <c r="N192" t="str">
        <f t="shared" si="14"/>
        <v>Delivered</v>
      </c>
      <c r="O192">
        <f t="shared" si="15"/>
        <v>3</v>
      </c>
      <c r="P192" t="str">
        <f t="shared" si="16"/>
        <v>Completed</v>
      </c>
      <c r="Q192" t="str">
        <f t="shared" si="17"/>
        <v>Slow</v>
      </c>
      <c r="R192" t="str">
        <f>_xlfn.XLOOKUP(B192,CustomerMaster!$A$2:$A$287,CustomerMaster!$B$2:$B$287)</f>
        <v>Customer_232</v>
      </c>
      <c r="S192" t="str">
        <f>_xlfn.XLOOKUP(C192,ProductMaster!$A$2:$A$51,ProductMaster!$B$2:$B$51)</f>
        <v>Product_40</v>
      </c>
      <c r="T192" t="str">
        <f>_xlfn.XLOOKUP(G192,RegionMaster!$A$2:$A$5,RegionMaster!$B$2:$B$5)</f>
        <v>D</v>
      </c>
    </row>
    <row r="193" spans="1:20" ht="15.75" customHeight="1">
      <c r="A193" s="2" t="s">
        <v>903</v>
      </c>
      <c r="B193" s="2" t="s">
        <v>259</v>
      </c>
      <c r="C193" s="2" t="s">
        <v>138</v>
      </c>
      <c r="D193" s="3">
        <v>45690</v>
      </c>
      <c r="E193" s="3">
        <v>45695</v>
      </c>
      <c r="F193" s="4"/>
      <c r="G193" s="2" t="s">
        <v>7</v>
      </c>
      <c r="H193" s="2" t="s">
        <v>59</v>
      </c>
      <c r="I193" s="2" t="s">
        <v>106</v>
      </c>
      <c r="J193" s="2" t="s">
        <v>133</v>
      </c>
      <c r="K193" s="2">
        <v>4506.6400000000003</v>
      </c>
      <c r="L193" s="2" t="str">
        <f t="shared" si="12"/>
        <v>February</v>
      </c>
      <c r="M193" s="2" t="str">
        <f t="shared" si="13"/>
        <v>February</v>
      </c>
      <c r="N193" t="str">
        <f t="shared" si="14"/>
        <v>Delivered</v>
      </c>
      <c r="O193">
        <f t="shared" si="15"/>
        <v>5</v>
      </c>
      <c r="P193" t="str">
        <f t="shared" si="16"/>
        <v>Completed</v>
      </c>
      <c r="Q193" t="str">
        <f t="shared" si="17"/>
        <v>Slow</v>
      </c>
      <c r="R193" t="str">
        <f>_xlfn.XLOOKUP(B193,CustomerMaster!$A$2:$A$287,CustomerMaster!$B$2:$B$287)</f>
        <v>Customer_45</v>
      </c>
      <c r="S193" t="str">
        <f>_xlfn.XLOOKUP(C193,ProductMaster!$A$2:$A$51,ProductMaster!$B$2:$B$51)</f>
        <v>Product_28</v>
      </c>
      <c r="T193" t="str">
        <f>_xlfn.XLOOKUP(G193,RegionMaster!$A$2:$A$5,RegionMaster!$B$2:$B$5)</f>
        <v>A</v>
      </c>
    </row>
    <row r="194" spans="1:20" ht="15.75" customHeight="1">
      <c r="A194" s="2" t="s">
        <v>904</v>
      </c>
      <c r="B194" s="2" t="s">
        <v>706</v>
      </c>
      <c r="C194" s="2" t="s">
        <v>50</v>
      </c>
      <c r="D194" s="3">
        <v>45703</v>
      </c>
      <c r="E194" s="4"/>
      <c r="F194" s="3">
        <v>45705</v>
      </c>
      <c r="G194" s="2" t="s">
        <v>22</v>
      </c>
      <c r="H194" s="2" t="s">
        <v>54</v>
      </c>
      <c r="I194" s="2" t="s">
        <v>106</v>
      </c>
      <c r="J194" s="2" t="s">
        <v>94</v>
      </c>
      <c r="K194" s="2">
        <v>4522.01</v>
      </c>
      <c r="L194" s="2" t="str">
        <f t="shared" si="12"/>
        <v>February</v>
      </c>
      <c r="M194" s="2" t="str">
        <f t="shared" si="13"/>
        <v>Cancelled</v>
      </c>
      <c r="N194" t="str">
        <f t="shared" si="14"/>
        <v>Cancelled</v>
      </c>
      <c r="O194" t="str">
        <f t="shared" si="15"/>
        <v>Order Cancelled</v>
      </c>
      <c r="P194" t="str">
        <f t="shared" si="16"/>
        <v>Cancelled</v>
      </c>
      <c r="Q194" t="str">
        <f t="shared" si="17"/>
        <v>Cancelled</v>
      </c>
      <c r="R194" t="str">
        <f>_xlfn.XLOOKUP(B194,CustomerMaster!$A$2:$A$287,CustomerMaster!$B$2:$B$287)</f>
        <v>Customer_234</v>
      </c>
      <c r="S194" t="str">
        <f>_xlfn.XLOOKUP(C194,ProductMaster!$A$2:$A$51,ProductMaster!$B$2:$B$51)</f>
        <v>Product_6</v>
      </c>
      <c r="T194" t="str">
        <f>_xlfn.XLOOKUP(G194,RegionMaster!$A$2:$A$5,RegionMaster!$B$2:$B$5)</f>
        <v>C</v>
      </c>
    </row>
    <row r="195" spans="1:20" ht="15.75" customHeight="1">
      <c r="A195" s="2" t="s">
        <v>905</v>
      </c>
      <c r="B195" s="2" t="s">
        <v>648</v>
      </c>
      <c r="C195" s="2" t="s">
        <v>191</v>
      </c>
      <c r="D195" s="3">
        <v>45698</v>
      </c>
      <c r="E195" s="3">
        <v>45700</v>
      </c>
      <c r="F195" s="4"/>
      <c r="G195" s="2" t="s">
        <v>45</v>
      </c>
      <c r="H195" s="2" t="s">
        <v>54</v>
      </c>
      <c r="I195" s="2" t="s">
        <v>195</v>
      </c>
      <c r="J195" s="2" t="s">
        <v>133</v>
      </c>
      <c r="K195" s="2">
        <v>3238.89</v>
      </c>
      <c r="L195" s="2" t="str">
        <f t="shared" ref="L195:L258" si="18">TEXT(D195,"MMMM")</f>
        <v>February</v>
      </c>
      <c r="M195" s="2" t="str">
        <f t="shared" ref="M195:M258" si="19">IF(NOT(ISBLANK(E195)),TEXT(E195,"MMMM"),"Cancelled")</f>
        <v>February</v>
      </c>
      <c r="N195" t="str">
        <f t="shared" ref="N195:N258" si="20">IF(F195="","Delivered","Cancelled")</f>
        <v>Delivered</v>
      </c>
      <c r="O195">
        <f t="shared" ref="O195:O258" si="21">IF(E195="","Order Cancelled",_xlfn.DAYS(E195,D195))</f>
        <v>2</v>
      </c>
      <c r="P195" t="str">
        <f t="shared" ref="P195:P258" si="22">IF(F195="","Completed","Cancelled")</f>
        <v>Completed</v>
      </c>
      <c r="Q195" t="str">
        <f t="shared" ref="Q195:Q258" si="23">IF(O195="Order Cancelled","Cancelled",IF(O195&lt;=2,"Fast","Slow"))</f>
        <v>Fast</v>
      </c>
      <c r="R195" t="str">
        <f>_xlfn.XLOOKUP(B195,CustomerMaster!$A$2:$A$287,CustomerMaster!$B$2:$B$287)</f>
        <v>Customer_208</v>
      </c>
      <c r="S195" t="str">
        <f>_xlfn.XLOOKUP(C195,ProductMaster!$A$2:$A$51,ProductMaster!$B$2:$B$51)</f>
        <v>Product_43</v>
      </c>
      <c r="T195" t="str">
        <f>_xlfn.XLOOKUP(G195,RegionMaster!$A$2:$A$5,RegionMaster!$B$2:$B$5)</f>
        <v>D</v>
      </c>
    </row>
    <row r="196" spans="1:20" ht="15.75" customHeight="1">
      <c r="A196" s="2" t="s">
        <v>906</v>
      </c>
      <c r="B196" s="2" t="s">
        <v>97</v>
      </c>
      <c r="C196" s="2" t="s">
        <v>207</v>
      </c>
      <c r="D196" s="3">
        <v>45688</v>
      </c>
      <c r="E196" s="3">
        <v>45689</v>
      </c>
      <c r="F196" s="4"/>
      <c r="G196" s="2" t="s">
        <v>45</v>
      </c>
      <c r="H196" s="2" t="s">
        <v>27</v>
      </c>
      <c r="I196" s="2" t="s">
        <v>178</v>
      </c>
      <c r="J196" s="2" t="s">
        <v>94</v>
      </c>
      <c r="K196" s="2">
        <v>1827.34</v>
      </c>
      <c r="L196" s="2" t="str">
        <f t="shared" si="18"/>
        <v>January</v>
      </c>
      <c r="M196" s="2" t="str">
        <f t="shared" si="19"/>
        <v>February</v>
      </c>
      <c r="N196" t="str">
        <f t="shared" si="20"/>
        <v>Delivered</v>
      </c>
      <c r="O196">
        <f t="shared" si="21"/>
        <v>1</v>
      </c>
      <c r="P196" t="str">
        <f t="shared" si="22"/>
        <v>Completed</v>
      </c>
      <c r="Q196" t="str">
        <f t="shared" si="23"/>
        <v>Fast</v>
      </c>
      <c r="R196" t="str">
        <f>_xlfn.XLOOKUP(B196,CustomerMaster!$A$2:$A$287,CustomerMaster!$B$2:$B$287)</f>
        <v>Customer_13</v>
      </c>
      <c r="S196" t="str">
        <f>_xlfn.XLOOKUP(C196,ProductMaster!$A$2:$A$51,ProductMaster!$B$2:$B$51)</f>
        <v>Product_47</v>
      </c>
      <c r="T196" t="str">
        <f>_xlfn.XLOOKUP(G196,RegionMaster!$A$2:$A$5,RegionMaster!$B$2:$B$5)</f>
        <v>D</v>
      </c>
    </row>
    <row r="197" spans="1:20" ht="15.75" customHeight="1">
      <c r="A197" s="2" t="s">
        <v>907</v>
      </c>
      <c r="B197" s="2" t="s">
        <v>629</v>
      </c>
      <c r="C197" s="2" t="s">
        <v>63</v>
      </c>
      <c r="D197" s="3">
        <v>45757</v>
      </c>
      <c r="E197" s="4"/>
      <c r="F197" s="3">
        <v>45757</v>
      </c>
      <c r="G197" s="2" t="s">
        <v>22</v>
      </c>
      <c r="H197" s="2" t="s">
        <v>27</v>
      </c>
      <c r="I197" s="2" t="s">
        <v>178</v>
      </c>
      <c r="J197" s="2" t="s">
        <v>94</v>
      </c>
      <c r="K197" s="2">
        <v>1876.21</v>
      </c>
      <c r="L197" s="2" t="str">
        <f t="shared" si="18"/>
        <v>April</v>
      </c>
      <c r="M197" s="2" t="str">
        <f t="shared" si="19"/>
        <v>Cancelled</v>
      </c>
      <c r="N197" t="str">
        <f t="shared" si="20"/>
        <v>Cancelled</v>
      </c>
      <c r="O197" t="str">
        <f t="shared" si="21"/>
        <v>Order Cancelled</v>
      </c>
      <c r="P197" t="str">
        <f t="shared" si="22"/>
        <v>Cancelled</v>
      </c>
      <c r="Q197" t="str">
        <f t="shared" si="23"/>
        <v>Cancelled</v>
      </c>
      <c r="R197" t="str">
        <f>_xlfn.XLOOKUP(B197,CustomerMaster!$A$2:$A$287,CustomerMaster!$B$2:$B$287)</f>
        <v>Customer_200</v>
      </c>
      <c r="S197" t="str">
        <f>_xlfn.XLOOKUP(C197,ProductMaster!$A$2:$A$51,ProductMaster!$B$2:$B$51)</f>
        <v>Product_8</v>
      </c>
      <c r="T197" t="str">
        <f>_xlfn.XLOOKUP(G197,RegionMaster!$A$2:$A$5,RegionMaster!$B$2:$B$5)</f>
        <v>C</v>
      </c>
    </row>
    <row r="198" spans="1:20" ht="15.75" customHeight="1">
      <c r="A198" s="2" t="s">
        <v>908</v>
      </c>
      <c r="B198" s="2" t="s">
        <v>512</v>
      </c>
      <c r="C198" s="2" t="s">
        <v>63</v>
      </c>
      <c r="D198" s="3">
        <v>45698</v>
      </c>
      <c r="E198" s="4"/>
      <c r="F198" s="3">
        <v>45698</v>
      </c>
      <c r="G198" s="2" t="s">
        <v>45</v>
      </c>
      <c r="H198" s="2" t="s">
        <v>54</v>
      </c>
      <c r="I198" s="2" t="s">
        <v>106</v>
      </c>
      <c r="J198" s="2" t="s">
        <v>94</v>
      </c>
      <c r="K198" s="2">
        <v>3684.59</v>
      </c>
      <c r="L198" s="2" t="str">
        <f t="shared" si="18"/>
        <v>February</v>
      </c>
      <c r="M198" s="2" t="str">
        <f t="shared" si="19"/>
        <v>Cancelled</v>
      </c>
      <c r="N198" t="str">
        <f t="shared" si="20"/>
        <v>Cancelled</v>
      </c>
      <c r="O198" t="str">
        <f t="shared" si="21"/>
        <v>Order Cancelled</v>
      </c>
      <c r="P198" t="str">
        <f t="shared" si="22"/>
        <v>Cancelled</v>
      </c>
      <c r="Q198" t="str">
        <f t="shared" si="23"/>
        <v>Cancelled</v>
      </c>
      <c r="R198" t="str">
        <f>_xlfn.XLOOKUP(B198,CustomerMaster!$A$2:$A$287,CustomerMaster!$B$2:$B$287)</f>
        <v>Customer_151</v>
      </c>
      <c r="S198" t="str">
        <f>_xlfn.XLOOKUP(C198,ProductMaster!$A$2:$A$51,ProductMaster!$B$2:$B$51)</f>
        <v>Product_8</v>
      </c>
      <c r="T198" t="str">
        <f>_xlfn.XLOOKUP(G198,RegionMaster!$A$2:$A$5,RegionMaster!$B$2:$B$5)</f>
        <v>D</v>
      </c>
    </row>
    <row r="199" spans="1:20" ht="15.75" customHeight="1">
      <c r="A199" s="2" t="s">
        <v>909</v>
      </c>
      <c r="B199" s="2" t="s">
        <v>478</v>
      </c>
      <c r="C199" s="2" t="s">
        <v>102</v>
      </c>
      <c r="D199" s="3">
        <v>45743</v>
      </c>
      <c r="E199" s="4"/>
      <c r="F199" s="3">
        <v>45743</v>
      </c>
      <c r="G199" s="2" t="s">
        <v>7</v>
      </c>
      <c r="H199" s="2" t="s">
        <v>16</v>
      </c>
      <c r="I199" s="2" t="s">
        <v>195</v>
      </c>
      <c r="J199" s="2" t="s">
        <v>133</v>
      </c>
      <c r="K199" s="2">
        <v>4506.13</v>
      </c>
      <c r="L199" s="2" t="str">
        <f t="shared" si="18"/>
        <v>March</v>
      </c>
      <c r="M199" s="2" t="str">
        <f t="shared" si="19"/>
        <v>Cancelled</v>
      </c>
      <c r="N199" t="str">
        <f t="shared" si="20"/>
        <v>Cancelled</v>
      </c>
      <c r="O199" t="str">
        <f t="shared" si="21"/>
        <v>Order Cancelled</v>
      </c>
      <c r="P199" t="str">
        <f t="shared" si="22"/>
        <v>Cancelled</v>
      </c>
      <c r="Q199" t="str">
        <f t="shared" si="23"/>
        <v>Cancelled</v>
      </c>
      <c r="R199" t="str">
        <f>_xlfn.XLOOKUP(B199,CustomerMaster!$A$2:$A$287,CustomerMaster!$B$2:$B$287)</f>
        <v>Customer_137</v>
      </c>
      <c r="S199" t="str">
        <f>_xlfn.XLOOKUP(C199,ProductMaster!$A$2:$A$51,ProductMaster!$B$2:$B$51)</f>
        <v>Product_18</v>
      </c>
      <c r="T199" t="str">
        <f>_xlfn.XLOOKUP(G199,RegionMaster!$A$2:$A$5,RegionMaster!$B$2:$B$5)</f>
        <v>A</v>
      </c>
    </row>
    <row r="200" spans="1:20" ht="15.75" customHeight="1">
      <c r="A200" s="2" t="s">
        <v>910</v>
      </c>
      <c r="B200" s="2" t="s">
        <v>187</v>
      </c>
      <c r="C200" s="2" t="s">
        <v>87</v>
      </c>
      <c r="D200" s="3">
        <v>45717</v>
      </c>
      <c r="E200" s="4"/>
      <c r="F200" s="3">
        <v>45718</v>
      </c>
      <c r="G200" s="2" t="s">
        <v>22</v>
      </c>
      <c r="H200" s="2" t="s">
        <v>59</v>
      </c>
      <c r="I200" s="2" t="s">
        <v>121</v>
      </c>
      <c r="J200" s="2" t="s">
        <v>133</v>
      </c>
      <c r="K200" s="2">
        <v>4458.01</v>
      </c>
      <c r="L200" s="2" t="str">
        <f t="shared" si="18"/>
        <v>March</v>
      </c>
      <c r="M200" s="2" t="str">
        <f t="shared" si="19"/>
        <v>Cancelled</v>
      </c>
      <c r="N200" t="str">
        <f t="shared" si="20"/>
        <v>Cancelled</v>
      </c>
      <c r="O200" t="str">
        <f t="shared" si="21"/>
        <v>Order Cancelled</v>
      </c>
      <c r="P200" t="str">
        <f t="shared" si="22"/>
        <v>Cancelled</v>
      </c>
      <c r="Q200" t="str">
        <f t="shared" si="23"/>
        <v>Cancelled</v>
      </c>
      <c r="R200" t="str">
        <f>_xlfn.XLOOKUP(B200,CustomerMaster!$A$2:$A$287,CustomerMaster!$B$2:$B$287)</f>
        <v>Customer_60</v>
      </c>
      <c r="S200" t="str">
        <f>_xlfn.XLOOKUP(C200,ProductMaster!$A$2:$A$51,ProductMaster!$B$2:$B$51)</f>
        <v>Product_15</v>
      </c>
      <c r="T200" t="str">
        <f>_xlfn.XLOOKUP(G200,RegionMaster!$A$2:$A$5,RegionMaster!$B$2:$B$5)</f>
        <v>C</v>
      </c>
    </row>
    <row r="201" spans="1:20" ht="15.75" customHeight="1">
      <c r="A201" s="2" t="s">
        <v>911</v>
      </c>
      <c r="B201" s="2" t="s">
        <v>771</v>
      </c>
      <c r="C201" s="2" t="s">
        <v>191</v>
      </c>
      <c r="D201" s="3">
        <v>45738</v>
      </c>
      <c r="E201" s="4"/>
      <c r="F201" s="3">
        <v>45738</v>
      </c>
      <c r="G201" s="2" t="s">
        <v>22</v>
      </c>
      <c r="H201" s="2" t="s">
        <v>54</v>
      </c>
      <c r="I201" s="2" t="s">
        <v>195</v>
      </c>
      <c r="J201" s="2" t="s">
        <v>133</v>
      </c>
      <c r="K201" s="2">
        <v>3943.4</v>
      </c>
      <c r="L201" s="2" t="str">
        <f t="shared" si="18"/>
        <v>March</v>
      </c>
      <c r="M201" s="2" t="str">
        <f t="shared" si="19"/>
        <v>Cancelled</v>
      </c>
      <c r="N201" t="str">
        <f t="shared" si="20"/>
        <v>Cancelled</v>
      </c>
      <c r="O201" t="str">
        <f t="shared" si="21"/>
        <v>Order Cancelled</v>
      </c>
      <c r="P201" t="str">
        <f t="shared" si="22"/>
        <v>Cancelled</v>
      </c>
      <c r="Q201" t="str">
        <f t="shared" si="23"/>
        <v>Cancelled</v>
      </c>
      <c r="R201" t="str">
        <f>_xlfn.XLOOKUP(B201,CustomerMaster!$A$2:$A$287,CustomerMaster!$B$2:$B$287)</f>
        <v>Customer_266</v>
      </c>
      <c r="S201" t="str">
        <f>_xlfn.XLOOKUP(C201,ProductMaster!$A$2:$A$51,ProductMaster!$B$2:$B$51)</f>
        <v>Product_43</v>
      </c>
      <c r="T201" t="str">
        <f>_xlfn.XLOOKUP(G201,RegionMaster!$A$2:$A$5,RegionMaster!$B$2:$B$5)</f>
        <v>C</v>
      </c>
    </row>
    <row r="202" spans="1:20" ht="15.75" customHeight="1">
      <c r="A202" s="2" t="s">
        <v>912</v>
      </c>
      <c r="B202" s="2" t="s">
        <v>241</v>
      </c>
      <c r="C202" s="2" t="s">
        <v>191</v>
      </c>
      <c r="D202" s="3">
        <v>45694</v>
      </c>
      <c r="E202" s="4"/>
      <c r="F202" s="3">
        <v>45696</v>
      </c>
      <c r="G202" s="2" t="s">
        <v>22</v>
      </c>
      <c r="H202" s="2" t="s">
        <v>54</v>
      </c>
      <c r="I202" s="2" t="s">
        <v>90</v>
      </c>
      <c r="J202" s="2" t="s">
        <v>107</v>
      </c>
      <c r="K202" s="2">
        <v>3281.75</v>
      </c>
      <c r="L202" s="2" t="str">
        <f t="shared" si="18"/>
        <v>February</v>
      </c>
      <c r="M202" s="2" t="str">
        <f t="shared" si="19"/>
        <v>Cancelled</v>
      </c>
      <c r="N202" t="str">
        <f t="shared" si="20"/>
        <v>Cancelled</v>
      </c>
      <c r="O202" t="str">
        <f t="shared" si="21"/>
        <v>Order Cancelled</v>
      </c>
      <c r="P202" t="str">
        <f t="shared" si="22"/>
        <v>Cancelled</v>
      </c>
      <c r="Q202" t="str">
        <f t="shared" si="23"/>
        <v>Cancelled</v>
      </c>
      <c r="R202" t="str">
        <f>_xlfn.XLOOKUP(B202,CustomerMaster!$A$2:$A$287,CustomerMaster!$B$2:$B$287)</f>
        <v>Customer_38</v>
      </c>
      <c r="S202" t="str">
        <f>_xlfn.XLOOKUP(C202,ProductMaster!$A$2:$A$51,ProductMaster!$B$2:$B$51)</f>
        <v>Product_43</v>
      </c>
      <c r="T202" t="str">
        <f>_xlfn.XLOOKUP(G202,RegionMaster!$A$2:$A$5,RegionMaster!$B$2:$B$5)</f>
        <v>C</v>
      </c>
    </row>
    <row r="203" spans="1:20" ht="15.75" customHeight="1">
      <c r="A203" s="2" t="s">
        <v>913</v>
      </c>
      <c r="B203" s="2" t="s">
        <v>478</v>
      </c>
      <c r="C203" s="2" t="s">
        <v>91</v>
      </c>
      <c r="D203" s="3">
        <v>45689</v>
      </c>
      <c r="E203" s="3">
        <v>45693</v>
      </c>
      <c r="F203" s="4"/>
      <c r="G203" s="2" t="s">
        <v>7</v>
      </c>
      <c r="H203" s="2" t="s">
        <v>59</v>
      </c>
      <c r="I203" s="2" t="s">
        <v>90</v>
      </c>
      <c r="J203" s="2" t="s">
        <v>133</v>
      </c>
      <c r="K203" s="2">
        <v>603.87</v>
      </c>
      <c r="L203" s="2" t="str">
        <f t="shared" si="18"/>
        <v>February</v>
      </c>
      <c r="M203" s="2" t="str">
        <f t="shared" si="19"/>
        <v>February</v>
      </c>
      <c r="N203" t="str">
        <f t="shared" si="20"/>
        <v>Delivered</v>
      </c>
      <c r="O203">
        <f t="shared" si="21"/>
        <v>4</v>
      </c>
      <c r="P203" t="str">
        <f t="shared" si="22"/>
        <v>Completed</v>
      </c>
      <c r="Q203" t="str">
        <f t="shared" si="23"/>
        <v>Slow</v>
      </c>
      <c r="R203" t="str">
        <f>_xlfn.XLOOKUP(B203,CustomerMaster!$A$2:$A$287,CustomerMaster!$B$2:$B$287)</f>
        <v>Customer_137</v>
      </c>
      <c r="S203" t="str">
        <f>_xlfn.XLOOKUP(C203,ProductMaster!$A$2:$A$51,ProductMaster!$B$2:$B$51)</f>
        <v>Product_16</v>
      </c>
      <c r="T203" t="str">
        <f>_xlfn.XLOOKUP(G203,RegionMaster!$A$2:$A$5,RegionMaster!$B$2:$B$5)</f>
        <v>A</v>
      </c>
    </row>
    <row r="204" spans="1:20" ht="15.75" customHeight="1">
      <c r="A204" s="2" t="s">
        <v>914</v>
      </c>
      <c r="B204" s="2" t="s">
        <v>382</v>
      </c>
      <c r="C204" s="2" t="s">
        <v>29</v>
      </c>
      <c r="D204" s="3">
        <v>45670</v>
      </c>
      <c r="E204" s="3">
        <v>45674</v>
      </c>
      <c r="F204" s="4"/>
      <c r="G204" s="2" t="s">
        <v>17</v>
      </c>
      <c r="H204" s="2" t="s">
        <v>27</v>
      </c>
      <c r="I204" s="2" t="s">
        <v>106</v>
      </c>
      <c r="J204" s="2" t="s">
        <v>107</v>
      </c>
      <c r="K204" s="2">
        <v>975.82</v>
      </c>
      <c r="L204" s="2" t="str">
        <f t="shared" si="18"/>
        <v>January</v>
      </c>
      <c r="M204" s="2" t="str">
        <f t="shared" si="19"/>
        <v>January</v>
      </c>
      <c r="N204" t="str">
        <f t="shared" si="20"/>
        <v>Delivered</v>
      </c>
      <c r="O204">
        <f t="shared" si="21"/>
        <v>4</v>
      </c>
      <c r="P204" t="str">
        <f t="shared" si="22"/>
        <v>Completed</v>
      </c>
      <c r="Q204" t="str">
        <f t="shared" si="23"/>
        <v>Slow</v>
      </c>
      <c r="R204" t="str">
        <f>_xlfn.XLOOKUP(B204,CustomerMaster!$A$2:$A$287,CustomerMaster!$B$2:$B$287)</f>
        <v>Customer_98</v>
      </c>
      <c r="S204" t="str">
        <f>_xlfn.XLOOKUP(C204,ProductMaster!$A$2:$A$51,ProductMaster!$B$2:$B$51)</f>
        <v>Product_2</v>
      </c>
      <c r="T204" t="str">
        <f>_xlfn.XLOOKUP(G204,RegionMaster!$A$2:$A$5,RegionMaster!$B$2:$B$5)</f>
        <v>B</v>
      </c>
    </row>
    <row r="205" spans="1:20" ht="15.75" customHeight="1">
      <c r="A205" s="2" t="s">
        <v>915</v>
      </c>
      <c r="B205" s="2" t="s">
        <v>394</v>
      </c>
      <c r="C205" s="2" t="s">
        <v>173</v>
      </c>
      <c r="D205" s="3">
        <v>45738</v>
      </c>
      <c r="E205" s="3">
        <v>45740</v>
      </c>
      <c r="F205" s="4"/>
      <c r="G205" s="2" t="s">
        <v>17</v>
      </c>
      <c r="H205" s="2" t="s">
        <v>16</v>
      </c>
      <c r="I205" s="2" t="s">
        <v>106</v>
      </c>
      <c r="J205" s="2" t="s">
        <v>94</v>
      </c>
      <c r="K205" s="2">
        <v>4513.0600000000004</v>
      </c>
      <c r="L205" s="2" t="str">
        <f t="shared" si="18"/>
        <v>March</v>
      </c>
      <c r="M205" s="2" t="str">
        <f t="shared" si="19"/>
        <v>March</v>
      </c>
      <c r="N205" t="str">
        <f t="shared" si="20"/>
        <v>Delivered</v>
      </c>
      <c r="O205">
        <f t="shared" si="21"/>
        <v>2</v>
      </c>
      <c r="P205" t="str">
        <f t="shared" si="22"/>
        <v>Completed</v>
      </c>
      <c r="Q205" t="str">
        <f t="shared" si="23"/>
        <v>Fast</v>
      </c>
      <c r="R205" t="str">
        <f>_xlfn.XLOOKUP(B205,CustomerMaster!$A$2:$A$287,CustomerMaster!$B$2:$B$287)</f>
        <v>Customer_102</v>
      </c>
      <c r="S205" t="str">
        <f>_xlfn.XLOOKUP(C205,ProductMaster!$A$2:$A$51,ProductMaster!$B$2:$B$51)</f>
        <v>Product_38</v>
      </c>
      <c r="T205" t="str">
        <f>_xlfn.XLOOKUP(G205,RegionMaster!$A$2:$A$5,RegionMaster!$B$2:$B$5)</f>
        <v>B</v>
      </c>
    </row>
    <row r="206" spans="1:20" ht="15.75" customHeight="1">
      <c r="A206" s="2" t="s">
        <v>916</v>
      </c>
      <c r="B206" s="2" t="s">
        <v>732</v>
      </c>
      <c r="C206" s="2" t="s">
        <v>146</v>
      </c>
      <c r="D206" s="3">
        <v>45673</v>
      </c>
      <c r="E206" s="3">
        <v>45678</v>
      </c>
      <c r="F206" s="4"/>
      <c r="G206" s="2" t="s">
        <v>45</v>
      </c>
      <c r="H206" s="2" t="s">
        <v>16</v>
      </c>
      <c r="I206" s="2" t="s">
        <v>90</v>
      </c>
      <c r="J206" s="2" t="s">
        <v>107</v>
      </c>
      <c r="K206" s="2">
        <v>3110.86</v>
      </c>
      <c r="L206" s="2" t="str">
        <f t="shared" si="18"/>
        <v>January</v>
      </c>
      <c r="M206" s="2" t="str">
        <f t="shared" si="19"/>
        <v>January</v>
      </c>
      <c r="N206" t="str">
        <f t="shared" si="20"/>
        <v>Delivered</v>
      </c>
      <c r="O206">
        <f t="shared" si="21"/>
        <v>5</v>
      </c>
      <c r="P206" t="str">
        <f t="shared" si="22"/>
        <v>Completed</v>
      </c>
      <c r="Q206" t="str">
        <f t="shared" si="23"/>
        <v>Slow</v>
      </c>
      <c r="R206" t="str">
        <f>_xlfn.XLOOKUP(B206,CustomerMaster!$A$2:$A$287,CustomerMaster!$B$2:$B$287)</f>
        <v>Customer_246</v>
      </c>
      <c r="S206" t="str">
        <f>_xlfn.XLOOKUP(C206,ProductMaster!$A$2:$A$51,ProductMaster!$B$2:$B$51)</f>
        <v>Product_30</v>
      </c>
      <c r="T206" t="str">
        <f>_xlfn.XLOOKUP(G206,RegionMaster!$A$2:$A$5,RegionMaster!$B$2:$B$5)</f>
        <v>D</v>
      </c>
    </row>
    <row r="207" spans="1:20" ht="15.75" customHeight="1">
      <c r="A207" s="2" t="s">
        <v>917</v>
      </c>
      <c r="B207" s="2" t="s">
        <v>538</v>
      </c>
      <c r="C207" s="2" t="s">
        <v>173</v>
      </c>
      <c r="D207" s="3">
        <v>45667</v>
      </c>
      <c r="E207" s="3">
        <v>45670</v>
      </c>
      <c r="F207" s="4"/>
      <c r="G207" s="2" t="s">
        <v>17</v>
      </c>
      <c r="H207" s="2" t="s">
        <v>27</v>
      </c>
      <c r="I207" s="2" t="s">
        <v>178</v>
      </c>
      <c r="J207" s="2" t="s">
        <v>133</v>
      </c>
      <c r="K207" s="2">
        <v>244.15</v>
      </c>
      <c r="L207" s="2" t="str">
        <f t="shared" si="18"/>
        <v>January</v>
      </c>
      <c r="M207" s="2" t="str">
        <f t="shared" si="19"/>
        <v>January</v>
      </c>
      <c r="N207" t="str">
        <f t="shared" si="20"/>
        <v>Delivered</v>
      </c>
      <c r="O207">
        <f t="shared" si="21"/>
        <v>3</v>
      </c>
      <c r="P207" t="str">
        <f t="shared" si="22"/>
        <v>Completed</v>
      </c>
      <c r="Q207" t="str">
        <f t="shared" si="23"/>
        <v>Slow</v>
      </c>
      <c r="R207" t="str">
        <f>_xlfn.XLOOKUP(B207,CustomerMaster!$A$2:$A$287,CustomerMaster!$B$2:$B$287)</f>
        <v>Customer_161</v>
      </c>
      <c r="S207" t="str">
        <f>_xlfn.XLOOKUP(C207,ProductMaster!$A$2:$A$51,ProductMaster!$B$2:$B$51)</f>
        <v>Product_38</v>
      </c>
      <c r="T207" t="str">
        <f>_xlfn.XLOOKUP(G207,RegionMaster!$A$2:$A$5,RegionMaster!$B$2:$B$5)</f>
        <v>B</v>
      </c>
    </row>
    <row r="208" spans="1:20" ht="15.75" customHeight="1">
      <c r="A208" s="2" t="s">
        <v>918</v>
      </c>
      <c r="B208" s="2" t="s">
        <v>758</v>
      </c>
      <c r="C208" s="2" t="s">
        <v>148</v>
      </c>
      <c r="D208" s="3">
        <v>45761</v>
      </c>
      <c r="E208" s="4"/>
      <c r="F208" s="3">
        <v>45762</v>
      </c>
      <c r="G208" s="2" t="s">
        <v>22</v>
      </c>
      <c r="H208" s="2" t="s">
        <v>16</v>
      </c>
      <c r="I208" s="2" t="s">
        <v>106</v>
      </c>
      <c r="J208" s="2" t="s">
        <v>107</v>
      </c>
      <c r="K208" s="2">
        <v>687.06</v>
      </c>
      <c r="L208" s="2" t="str">
        <f t="shared" si="18"/>
        <v>April</v>
      </c>
      <c r="M208" s="2" t="str">
        <f t="shared" si="19"/>
        <v>Cancelled</v>
      </c>
      <c r="N208" t="str">
        <f t="shared" si="20"/>
        <v>Cancelled</v>
      </c>
      <c r="O208" t="str">
        <f t="shared" si="21"/>
        <v>Order Cancelled</v>
      </c>
      <c r="P208" t="str">
        <f t="shared" si="22"/>
        <v>Cancelled</v>
      </c>
      <c r="Q208" t="str">
        <f t="shared" si="23"/>
        <v>Cancelled</v>
      </c>
      <c r="R208" t="str">
        <f>_xlfn.XLOOKUP(B208,CustomerMaster!$A$2:$A$287,CustomerMaster!$B$2:$B$287)</f>
        <v>Customer_259</v>
      </c>
      <c r="S208" t="str">
        <f>_xlfn.XLOOKUP(C208,ProductMaster!$A$2:$A$51,ProductMaster!$B$2:$B$51)</f>
        <v>Product_31</v>
      </c>
      <c r="T208" t="str">
        <f>_xlfn.XLOOKUP(G208,RegionMaster!$A$2:$A$5,RegionMaster!$B$2:$B$5)</f>
        <v>C</v>
      </c>
    </row>
    <row r="209" spans="1:20" ht="15.75" customHeight="1">
      <c r="A209" s="2" t="s">
        <v>919</v>
      </c>
      <c r="B209" s="2" t="s">
        <v>480</v>
      </c>
      <c r="C209" s="2" t="s">
        <v>162</v>
      </c>
      <c r="D209" s="3">
        <v>45686</v>
      </c>
      <c r="E209" s="3">
        <v>45689</v>
      </c>
      <c r="F209" s="4"/>
      <c r="G209" s="2" t="s">
        <v>22</v>
      </c>
      <c r="H209" s="2" t="s">
        <v>54</v>
      </c>
      <c r="I209" s="2" t="s">
        <v>195</v>
      </c>
      <c r="J209" s="2" t="s">
        <v>133</v>
      </c>
      <c r="K209" s="2">
        <v>3384.81</v>
      </c>
      <c r="L209" s="2" t="str">
        <f t="shared" si="18"/>
        <v>January</v>
      </c>
      <c r="M209" s="2" t="str">
        <f t="shared" si="19"/>
        <v>February</v>
      </c>
      <c r="N209" t="str">
        <f t="shared" si="20"/>
        <v>Delivered</v>
      </c>
      <c r="O209">
        <f t="shared" si="21"/>
        <v>3</v>
      </c>
      <c r="P209" t="str">
        <f t="shared" si="22"/>
        <v>Completed</v>
      </c>
      <c r="Q209" t="str">
        <f t="shared" si="23"/>
        <v>Slow</v>
      </c>
      <c r="R209" t="str">
        <f>_xlfn.XLOOKUP(B209,CustomerMaster!$A$2:$A$287,CustomerMaster!$B$2:$B$287)</f>
        <v>Customer_138</v>
      </c>
      <c r="S209" t="str">
        <f>_xlfn.XLOOKUP(C209,ProductMaster!$A$2:$A$51,ProductMaster!$B$2:$B$51)</f>
        <v>Product_35</v>
      </c>
      <c r="T209" t="str">
        <f>_xlfn.XLOOKUP(G209,RegionMaster!$A$2:$A$5,RegionMaster!$B$2:$B$5)</f>
        <v>C</v>
      </c>
    </row>
    <row r="210" spans="1:20" ht="15.75" customHeight="1">
      <c r="A210" s="2" t="s">
        <v>920</v>
      </c>
      <c r="B210" s="2" t="s">
        <v>415</v>
      </c>
      <c r="C210" s="2" t="s">
        <v>63</v>
      </c>
      <c r="D210" s="3">
        <v>45706</v>
      </c>
      <c r="E210" s="3">
        <v>45707</v>
      </c>
      <c r="F210" s="4"/>
      <c r="G210" s="2" t="s">
        <v>7</v>
      </c>
      <c r="H210" s="2" t="s">
        <v>27</v>
      </c>
      <c r="I210" s="2" t="s">
        <v>178</v>
      </c>
      <c r="J210" s="2" t="s">
        <v>107</v>
      </c>
      <c r="K210" s="2">
        <v>224.3</v>
      </c>
      <c r="L210" s="2" t="str">
        <f t="shared" si="18"/>
        <v>February</v>
      </c>
      <c r="M210" s="2" t="str">
        <f t="shared" si="19"/>
        <v>February</v>
      </c>
      <c r="N210" t="str">
        <f t="shared" si="20"/>
        <v>Delivered</v>
      </c>
      <c r="O210">
        <f t="shared" si="21"/>
        <v>1</v>
      </c>
      <c r="P210" t="str">
        <f t="shared" si="22"/>
        <v>Completed</v>
      </c>
      <c r="Q210" t="str">
        <f t="shared" si="23"/>
        <v>Fast</v>
      </c>
      <c r="R210" t="str">
        <f>_xlfn.XLOOKUP(B210,CustomerMaster!$A$2:$A$287,CustomerMaster!$B$2:$B$287)</f>
        <v>Customer_111</v>
      </c>
      <c r="S210" t="str">
        <f>_xlfn.XLOOKUP(C210,ProductMaster!$A$2:$A$51,ProductMaster!$B$2:$B$51)</f>
        <v>Product_8</v>
      </c>
      <c r="T210" t="str">
        <f>_xlfn.XLOOKUP(G210,RegionMaster!$A$2:$A$5,RegionMaster!$B$2:$B$5)</f>
        <v>A</v>
      </c>
    </row>
    <row r="211" spans="1:20" ht="15.75" customHeight="1">
      <c r="A211" s="2" t="s">
        <v>921</v>
      </c>
      <c r="B211" s="2" t="s">
        <v>486</v>
      </c>
      <c r="C211" s="2" t="s">
        <v>162</v>
      </c>
      <c r="D211" s="3">
        <v>45775</v>
      </c>
      <c r="E211" s="4"/>
      <c r="F211" s="3">
        <v>45776</v>
      </c>
      <c r="G211" s="2" t="s">
        <v>7</v>
      </c>
      <c r="H211" s="2" t="s">
        <v>27</v>
      </c>
      <c r="I211" s="2" t="s">
        <v>90</v>
      </c>
      <c r="J211" s="2" t="s">
        <v>94</v>
      </c>
      <c r="K211" s="2">
        <v>971.88</v>
      </c>
      <c r="L211" s="2" t="str">
        <f t="shared" si="18"/>
        <v>April</v>
      </c>
      <c r="M211" s="2" t="str">
        <f t="shared" si="19"/>
        <v>Cancelled</v>
      </c>
      <c r="N211" t="str">
        <f t="shared" si="20"/>
        <v>Cancelled</v>
      </c>
      <c r="O211" t="str">
        <f t="shared" si="21"/>
        <v>Order Cancelled</v>
      </c>
      <c r="P211" t="str">
        <f t="shared" si="22"/>
        <v>Cancelled</v>
      </c>
      <c r="Q211" t="str">
        <f t="shared" si="23"/>
        <v>Cancelled</v>
      </c>
      <c r="R211" t="str">
        <f>_xlfn.XLOOKUP(B211,CustomerMaster!$A$2:$A$287,CustomerMaster!$B$2:$B$287)</f>
        <v>Customer_141</v>
      </c>
      <c r="S211" t="str">
        <f>_xlfn.XLOOKUP(C211,ProductMaster!$A$2:$A$51,ProductMaster!$B$2:$B$51)</f>
        <v>Product_35</v>
      </c>
      <c r="T211" t="str">
        <f>_xlfn.XLOOKUP(G211,RegionMaster!$A$2:$A$5,RegionMaster!$B$2:$B$5)</f>
        <v>A</v>
      </c>
    </row>
    <row r="212" spans="1:20" ht="15.75" customHeight="1">
      <c r="A212" s="2" t="s">
        <v>922</v>
      </c>
      <c r="B212" s="2" t="s">
        <v>455</v>
      </c>
      <c r="C212" s="2" t="s">
        <v>153</v>
      </c>
      <c r="D212" s="3">
        <v>45747</v>
      </c>
      <c r="E212" s="3">
        <v>45750</v>
      </c>
      <c r="F212" s="4"/>
      <c r="G212" s="2" t="s">
        <v>22</v>
      </c>
      <c r="H212" s="2" t="s">
        <v>59</v>
      </c>
      <c r="I212" s="2" t="s">
        <v>90</v>
      </c>
      <c r="J212" s="2" t="s">
        <v>133</v>
      </c>
      <c r="K212" s="2">
        <v>2833.92</v>
      </c>
      <c r="L212" s="2" t="str">
        <f t="shared" si="18"/>
        <v>March</v>
      </c>
      <c r="M212" s="2" t="str">
        <f t="shared" si="19"/>
        <v>April</v>
      </c>
      <c r="N212" t="str">
        <f t="shared" si="20"/>
        <v>Delivered</v>
      </c>
      <c r="O212">
        <f t="shared" si="21"/>
        <v>3</v>
      </c>
      <c r="P212" t="str">
        <f t="shared" si="22"/>
        <v>Completed</v>
      </c>
      <c r="Q212" t="str">
        <f t="shared" si="23"/>
        <v>Slow</v>
      </c>
      <c r="R212" t="str">
        <f>_xlfn.XLOOKUP(B212,CustomerMaster!$A$2:$A$287,CustomerMaster!$B$2:$B$287)</f>
        <v>Customer_127</v>
      </c>
      <c r="S212" t="str">
        <f>_xlfn.XLOOKUP(C212,ProductMaster!$A$2:$A$51,ProductMaster!$B$2:$B$51)</f>
        <v>Product_32</v>
      </c>
      <c r="T212" t="str">
        <f>_xlfn.XLOOKUP(G212,RegionMaster!$A$2:$A$5,RegionMaster!$B$2:$B$5)</f>
        <v>C</v>
      </c>
    </row>
    <row r="213" spans="1:20" ht="15.75" customHeight="1">
      <c r="A213" s="2" t="s">
        <v>923</v>
      </c>
      <c r="B213" s="2" t="s">
        <v>337</v>
      </c>
      <c r="C213" s="2" t="s">
        <v>9</v>
      </c>
      <c r="D213" s="3">
        <v>45661</v>
      </c>
      <c r="E213" s="3">
        <v>45666</v>
      </c>
      <c r="F213" s="4"/>
      <c r="G213" s="2" t="s">
        <v>45</v>
      </c>
      <c r="H213" s="2" t="s">
        <v>37</v>
      </c>
      <c r="I213" s="2" t="s">
        <v>106</v>
      </c>
      <c r="J213" s="2" t="s">
        <v>94</v>
      </c>
      <c r="K213" s="2">
        <v>3521.1</v>
      </c>
      <c r="L213" s="2" t="str">
        <f t="shared" si="18"/>
        <v>January</v>
      </c>
      <c r="M213" s="2" t="str">
        <f t="shared" si="19"/>
        <v>January</v>
      </c>
      <c r="N213" t="str">
        <f t="shared" si="20"/>
        <v>Delivered</v>
      </c>
      <c r="O213">
        <f t="shared" si="21"/>
        <v>5</v>
      </c>
      <c r="P213" t="str">
        <f t="shared" si="22"/>
        <v>Completed</v>
      </c>
      <c r="Q213" t="str">
        <f t="shared" si="23"/>
        <v>Slow</v>
      </c>
      <c r="R213" t="str">
        <f>_xlfn.XLOOKUP(B213,CustomerMaster!$A$2:$A$287,CustomerMaster!$B$2:$B$287)</f>
        <v>Customer_107</v>
      </c>
      <c r="S213" t="str">
        <f>_xlfn.XLOOKUP(C213,ProductMaster!$A$2:$A$51,ProductMaster!$B$2:$B$51)</f>
        <v>Product_0</v>
      </c>
      <c r="T213" t="str">
        <f>_xlfn.XLOOKUP(G213,RegionMaster!$A$2:$A$5,RegionMaster!$B$2:$B$5)</f>
        <v>D</v>
      </c>
    </row>
    <row r="214" spans="1:20" ht="15.75" customHeight="1">
      <c r="A214" s="2" t="s">
        <v>924</v>
      </c>
      <c r="B214" s="2" t="s">
        <v>412</v>
      </c>
      <c r="C214" s="2" t="s">
        <v>20</v>
      </c>
      <c r="D214" s="3">
        <v>45658</v>
      </c>
      <c r="E214" s="4"/>
      <c r="F214" s="3">
        <v>45659</v>
      </c>
      <c r="G214" s="2" t="s">
        <v>45</v>
      </c>
      <c r="H214" s="2" t="s">
        <v>59</v>
      </c>
      <c r="I214" s="2" t="s">
        <v>90</v>
      </c>
      <c r="J214" s="2" t="s">
        <v>107</v>
      </c>
      <c r="K214" s="2">
        <v>3329.41</v>
      </c>
      <c r="L214" s="2" t="str">
        <f t="shared" si="18"/>
        <v>January</v>
      </c>
      <c r="M214" s="2" t="str">
        <f t="shared" si="19"/>
        <v>Cancelled</v>
      </c>
      <c r="N214" t="str">
        <f t="shared" si="20"/>
        <v>Cancelled</v>
      </c>
      <c r="O214" t="str">
        <f t="shared" si="21"/>
        <v>Order Cancelled</v>
      </c>
      <c r="P214" t="str">
        <f t="shared" si="22"/>
        <v>Cancelled</v>
      </c>
      <c r="Q214" t="str">
        <f t="shared" si="23"/>
        <v>Cancelled</v>
      </c>
      <c r="R214" t="str">
        <f>_xlfn.XLOOKUP(B214,CustomerMaster!$A$2:$A$287,CustomerMaster!$B$2:$B$287)</f>
        <v>Customer_110</v>
      </c>
      <c r="S214" t="str">
        <f>_xlfn.XLOOKUP(C214,ProductMaster!$A$2:$A$51,ProductMaster!$B$2:$B$51)</f>
        <v>Product_1</v>
      </c>
      <c r="T214" t="str">
        <f>_xlfn.XLOOKUP(G214,RegionMaster!$A$2:$A$5,RegionMaster!$B$2:$B$5)</f>
        <v>D</v>
      </c>
    </row>
    <row r="215" spans="1:20" ht="15.75" customHeight="1">
      <c r="A215" s="2" t="s">
        <v>925</v>
      </c>
      <c r="B215" s="2" t="s">
        <v>597</v>
      </c>
      <c r="C215" s="2" t="s">
        <v>91</v>
      </c>
      <c r="D215" s="3">
        <v>45777</v>
      </c>
      <c r="E215" s="4"/>
      <c r="F215" s="3">
        <v>45779</v>
      </c>
      <c r="G215" s="2" t="s">
        <v>22</v>
      </c>
      <c r="H215" s="2" t="s">
        <v>27</v>
      </c>
      <c r="I215" s="2" t="s">
        <v>178</v>
      </c>
      <c r="J215" s="2" t="s">
        <v>94</v>
      </c>
      <c r="K215" s="2">
        <v>1276.49</v>
      </c>
      <c r="L215" s="2" t="str">
        <f t="shared" si="18"/>
        <v>April</v>
      </c>
      <c r="M215" s="2" t="str">
        <f t="shared" si="19"/>
        <v>Cancelled</v>
      </c>
      <c r="N215" t="str">
        <f t="shared" si="20"/>
        <v>Cancelled</v>
      </c>
      <c r="O215" t="str">
        <f t="shared" si="21"/>
        <v>Order Cancelled</v>
      </c>
      <c r="P215" t="str">
        <f t="shared" si="22"/>
        <v>Cancelled</v>
      </c>
      <c r="Q215" t="str">
        <f t="shared" si="23"/>
        <v>Cancelled</v>
      </c>
      <c r="R215" t="str">
        <f>_xlfn.XLOOKUP(B215,CustomerMaster!$A$2:$A$287,CustomerMaster!$B$2:$B$287)</f>
        <v>Customer_186</v>
      </c>
      <c r="S215" t="str">
        <f>_xlfn.XLOOKUP(C215,ProductMaster!$A$2:$A$51,ProductMaster!$B$2:$B$51)</f>
        <v>Product_16</v>
      </c>
      <c r="T215" t="str">
        <f>_xlfn.XLOOKUP(G215,RegionMaster!$A$2:$A$5,RegionMaster!$B$2:$B$5)</f>
        <v>C</v>
      </c>
    </row>
    <row r="216" spans="1:20" ht="15.75" customHeight="1">
      <c r="A216" s="2" t="s">
        <v>926</v>
      </c>
      <c r="B216" s="2" t="s">
        <v>471</v>
      </c>
      <c r="C216" s="2" t="s">
        <v>204</v>
      </c>
      <c r="D216" s="3">
        <v>45718</v>
      </c>
      <c r="E216" s="3">
        <v>45723</v>
      </c>
      <c r="F216" s="4"/>
      <c r="G216" s="2" t="s">
        <v>17</v>
      </c>
      <c r="H216" s="2" t="s">
        <v>37</v>
      </c>
      <c r="I216" s="2" t="s">
        <v>178</v>
      </c>
      <c r="J216" s="2" t="s">
        <v>94</v>
      </c>
      <c r="K216" s="2">
        <v>3618.46</v>
      </c>
      <c r="L216" s="2" t="str">
        <f t="shared" si="18"/>
        <v>March</v>
      </c>
      <c r="M216" s="2" t="str">
        <f t="shared" si="19"/>
        <v>March</v>
      </c>
      <c r="N216" t="str">
        <f t="shared" si="20"/>
        <v>Delivered</v>
      </c>
      <c r="O216">
        <f t="shared" si="21"/>
        <v>5</v>
      </c>
      <c r="P216" t="str">
        <f t="shared" si="22"/>
        <v>Completed</v>
      </c>
      <c r="Q216" t="str">
        <f t="shared" si="23"/>
        <v>Slow</v>
      </c>
      <c r="R216" t="str">
        <f>_xlfn.XLOOKUP(B216,CustomerMaster!$A$2:$A$287,CustomerMaster!$B$2:$B$287)</f>
        <v>Customer_134</v>
      </c>
      <c r="S216" t="str">
        <f>_xlfn.XLOOKUP(C216,ProductMaster!$A$2:$A$51,ProductMaster!$B$2:$B$51)</f>
        <v>Product_46</v>
      </c>
      <c r="T216" t="str">
        <f>_xlfn.XLOOKUP(G216,RegionMaster!$A$2:$A$5,RegionMaster!$B$2:$B$5)</f>
        <v>B</v>
      </c>
    </row>
    <row r="217" spans="1:20" ht="15.75" customHeight="1">
      <c r="A217" s="2" t="s">
        <v>927</v>
      </c>
      <c r="B217" s="2" t="s">
        <v>496</v>
      </c>
      <c r="C217" s="2" t="s">
        <v>210</v>
      </c>
      <c r="D217" s="3">
        <v>45701</v>
      </c>
      <c r="E217" s="3">
        <v>45702</v>
      </c>
      <c r="F217" s="4"/>
      <c r="G217" s="2" t="s">
        <v>45</v>
      </c>
      <c r="H217" s="2" t="s">
        <v>59</v>
      </c>
      <c r="I217" s="2" t="s">
        <v>106</v>
      </c>
      <c r="J217" s="2" t="s">
        <v>107</v>
      </c>
      <c r="K217" s="2">
        <v>1338.8</v>
      </c>
      <c r="L217" s="2" t="str">
        <f t="shared" si="18"/>
        <v>February</v>
      </c>
      <c r="M217" s="2" t="str">
        <f t="shared" si="19"/>
        <v>February</v>
      </c>
      <c r="N217" t="str">
        <f t="shared" si="20"/>
        <v>Delivered</v>
      </c>
      <c r="O217">
        <f t="shared" si="21"/>
        <v>1</v>
      </c>
      <c r="P217" t="str">
        <f t="shared" si="22"/>
        <v>Completed</v>
      </c>
      <c r="Q217" t="str">
        <f t="shared" si="23"/>
        <v>Fast</v>
      </c>
      <c r="R217" t="str">
        <f>_xlfn.XLOOKUP(B217,CustomerMaster!$A$2:$A$287,CustomerMaster!$B$2:$B$287)</f>
        <v>Customer_145</v>
      </c>
      <c r="S217" t="str">
        <f>_xlfn.XLOOKUP(C217,ProductMaster!$A$2:$A$51,ProductMaster!$B$2:$B$51)</f>
        <v>Product_48</v>
      </c>
      <c r="T217" t="str">
        <f>_xlfn.XLOOKUP(G217,RegionMaster!$A$2:$A$5,RegionMaster!$B$2:$B$5)</f>
        <v>D</v>
      </c>
    </row>
    <row r="218" spans="1:20" ht="15.75" customHeight="1">
      <c r="A218" s="2" t="s">
        <v>928</v>
      </c>
      <c r="B218" s="2" t="s">
        <v>686</v>
      </c>
      <c r="C218" s="2" t="s">
        <v>118</v>
      </c>
      <c r="D218" s="3">
        <v>45724</v>
      </c>
      <c r="E218" s="3">
        <v>45729</v>
      </c>
      <c r="F218" s="4"/>
      <c r="G218" s="2" t="s">
        <v>45</v>
      </c>
      <c r="H218" s="2" t="s">
        <v>59</v>
      </c>
      <c r="I218" s="2" t="s">
        <v>90</v>
      </c>
      <c r="J218" s="2" t="s">
        <v>94</v>
      </c>
      <c r="K218" s="2">
        <v>1761.92</v>
      </c>
      <c r="L218" s="2" t="str">
        <f t="shared" si="18"/>
        <v>March</v>
      </c>
      <c r="M218" s="2" t="str">
        <f t="shared" si="19"/>
        <v>March</v>
      </c>
      <c r="N218" t="str">
        <f t="shared" si="20"/>
        <v>Delivered</v>
      </c>
      <c r="O218">
        <f t="shared" si="21"/>
        <v>5</v>
      </c>
      <c r="P218" t="str">
        <f t="shared" si="22"/>
        <v>Completed</v>
      </c>
      <c r="Q218" t="str">
        <f t="shared" si="23"/>
        <v>Slow</v>
      </c>
      <c r="R218" t="str">
        <f>_xlfn.XLOOKUP(B218,CustomerMaster!$A$2:$A$287,CustomerMaster!$B$2:$B$287)</f>
        <v>Customer_225</v>
      </c>
      <c r="S218" t="str">
        <f>_xlfn.XLOOKUP(C218,ProductMaster!$A$2:$A$51,ProductMaster!$B$2:$B$51)</f>
        <v>Product_22</v>
      </c>
      <c r="T218" t="str">
        <f>_xlfn.XLOOKUP(G218,RegionMaster!$A$2:$A$5,RegionMaster!$B$2:$B$5)</f>
        <v>D</v>
      </c>
    </row>
    <row r="219" spans="1:20" ht="15.75" customHeight="1">
      <c r="A219" s="2" t="s">
        <v>929</v>
      </c>
      <c r="B219" s="2" t="s">
        <v>561</v>
      </c>
      <c r="C219" s="2" t="s">
        <v>172</v>
      </c>
      <c r="D219" s="3">
        <v>45725</v>
      </c>
      <c r="E219" s="3">
        <v>45728</v>
      </c>
      <c r="F219" s="4"/>
      <c r="G219" s="2" t="s">
        <v>45</v>
      </c>
      <c r="H219" s="2" t="s">
        <v>27</v>
      </c>
      <c r="I219" s="2" t="s">
        <v>178</v>
      </c>
      <c r="J219" s="2" t="s">
        <v>133</v>
      </c>
      <c r="K219" s="2">
        <v>3783.16</v>
      </c>
      <c r="L219" s="2" t="str">
        <f t="shared" si="18"/>
        <v>March</v>
      </c>
      <c r="M219" s="2" t="str">
        <f t="shared" si="19"/>
        <v>March</v>
      </c>
      <c r="N219" t="str">
        <f t="shared" si="20"/>
        <v>Delivered</v>
      </c>
      <c r="O219">
        <f t="shared" si="21"/>
        <v>3</v>
      </c>
      <c r="P219" t="str">
        <f t="shared" si="22"/>
        <v>Completed</v>
      </c>
      <c r="Q219" t="str">
        <f t="shared" si="23"/>
        <v>Slow</v>
      </c>
      <c r="R219" t="str">
        <f>_xlfn.XLOOKUP(B219,CustomerMaster!$A$2:$A$287,CustomerMaster!$B$2:$B$287)</f>
        <v>Customer_171</v>
      </c>
      <c r="S219" t="str">
        <f>_xlfn.XLOOKUP(C219,ProductMaster!$A$2:$A$51,ProductMaster!$B$2:$B$51)</f>
        <v>Product_39</v>
      </c>
      <c r="T219" t="str">
        <f>_xlfn.XLOOKUP(G219,RegionMaster!$A$2:$A$5,RegionMaster!$B$2:$B$5)</f>
        <v>D</v>
      </c>
    </row>
    <row r="220" spans="1:20" ht="15.75" customHeight="1">
      <c r="A220" s="2" t="s">
        <v>930</v>
      </c>
      <c r="B220" s="2" t="s">
        <v>443</v>
      </c>
      <c r="C220" s="2" t="s">
        <v>91</v>
      </c>
      <c r="D220" s="3">
        <v>45698</v>
      </c>
      <c r="E220" s="3">
        <v>45702</v>
      </c>
      <c r="F220" s="4"/>
      <c r="G220" s="2" t="s">
        <v>17</v>
      </c>
      <c r="H220" s="2" t="s">
        <v>59</v>
      </c>
      <c r="I220" s="2" t="s">
        <v>121</v>
      </c>
      <c r="J220" s="2" t="s">
        <v>94</v>
      </c>
      <c r="K220" s="2">
        <v>3318.24</v>
      </c>
      <c r="L220" s="2" t="str">
        <f t="shared" si="18"/>
        <v>February</v>
      </c>
      <c r="M220" s="2" t="str">
        <f t="shared" si="19"/>
        <v>February</v>
      </c>
      <c r="N220" t="str">
        <f t="shared" si="20"/>
        <v>Delivered</v>
      </c>
      <c r="O220">
        <f t="shared" si="21"/>
        <v>4</v>
      </c>
      <c r="P220" t="str">
        <f t="shared" si="22"/>
        <v>Completed</v>
      </c>
      <c r="Q220" t="str">
        <f t="shared" si="23"/>
        <v>Slow</v>
      </c>
      <c r="R220" t="str">
        <f>_xlfn.XLOOKUP(B220,CustomerMaster!$A$2:$A$287,CustomerMaster!$B$2:$B$287)</f>
        <v>Customer_123</v>
      </c>
      <c r="S220" t="str">
        <f>_xlfn.XLOOKUP(C220,ProductMaster!$A$2:$A$51,ProductMaster!$B$2:$B$51)</f>
        <v>Product_16</v>
      </c>
      <c r="T220" t="str">
        <f>_xlfn.XLOOKUP(G220,RegionMaster!$A$2:$A$5,RegionMaster!$B$2:$B$5)</f>
        <v>B</v>
      </c>
    </row>
    <row r="221" spans="1:20" ht="15.75" customHeight="1">
      <c r="A221" s="2" t="s">
        <v>931</v>
      </c>
      <c r="B221" s="2" t="s">
        <v>720</v>
      </c>
      <c r="C221" s="2" t="s">
        <v>173</v>
      </c>
      <c r="D221" s="3">
        <v>45711</v>
      </c>
      <c r="E221" s="3">
        <v>45713</v>
      </c>
      <c r="F221" s="4"/>
      <c r="G221" s="2" t="s">
        <v>17</v>
      </c>
      <c r="H221" s="2" t="s">
        <v>59</v>
      </c>
      <c r="I221" s="2" t="s">
        <v>121</v>
      </c>
      <c r="J221" s="2" t="s">
        <v>107</v>
      </c>
      <c r="K221" s="2">
        <v>4276.2700000000004</v>
      </c>
      <c r="L221" s="2" t="str">
        <f t="shared" si="18"/>
        <v>February</v>
      </c>
      <c r="M221" s="2" t="str">
        <f t="shared" si="19"/>
        <v>February</v>
      </c>
      <c r="N221" t="str">
        <f t="shared" si="20"/>
        <v>Delivered</v>
      </c>
      <c r="O221">
        <f t="shared" si="21"/>
        <v>2</v>
      </c>
      <c r="P221" t="str">
        <f t="shared" si="22"/>
        <v>Completed</v>
      </c>
      <c r="Q221" t="str">
        <f t="shared" si="23"/>
        <v>Fast</v>
      </c>
      <c r="R221" t="str">
        <f>_xlfn.XLOOKUP(B221,CustomerMaster!$A$2:$A$287,CustomerMaster!$B$2:$B$287)</f>
        <v>Customer_240</v>
      </c>
      <c r="S221" t="str">
        <f>_xlfn.XLOOKUP(C221,ProductMaster!$A$2:$A$51,ProductMaster!$B$2:$B$51)</f>
        <v>Product_38</v>
      </c>
      <c r="T221" t="str">
        <f>_xlfn.XLOOKUP(G221,RegionMaster!$A$2:$A$5,RegionMaster!$B$2:$B$5)</f>
        <v>B</v>
      </c>
    </row>
    <row r="222" spans="1:20" ht="15.75" customHeight="1">
      <c r="A222" s="2" t="s">
        <v>932</v>
      </c>
      <c r="B222" s="2" t="s">
        <v>608</v>
      </c>
      <c r="C222" s="2" t="s">
        <v>63</v>
      </c>
      <c r="D222" s="3">
        <v>45735</v>
      </c>
      <c r="E222" s="3">
        <v>45739</v>
      </c>
      <c r="F222" s="4"/>
      <c r="G222" s="2" t="s">
        <v>45</v>
      </c>
      <c r="H222" s="2" t="s">
        <v>59</v>
      </c>
      <c r="I222" s="2" t="s">
        <v>121</v>
      </c>
      <c r="J222" s="2" t="s">
        <v>133</v>
      </c>
      <c r="K222" s="2">
        <v>3356.54</v>
      </c>
      <c r="L222" s="2" t="str">
        <f t="shared" si="18"/>
        <v>March</v>
      </c>
      <c r="M222" s="2" t="str">
        <f t="shared" si="19"/>
        <v>March</v>
      </c>
      <c r="N222" t="str">
        <f t="shared" si="20"/>
        <v>Delivered</v>
      </c>
      <c r="O222">
        <f t="shared" si="21"/>
        <v>4</v>
      </c>
      <c r="P222" t="str">
        <f t="shared" si="22"/>
        <v>Completed</v>
      </c>
      <c r="Q222" t="str">
        <f t="shared" si="23"/>
        <v>Slow</v>
      </c>
      <c r="R222" t="str">
        <f>_xlfn.XLOOKUP(B222,CustomerMaster!$A$2:$A$287,CustomerMaster!$B$2:$B$287)</f>
        <v>Customer_190</v>
      </c>
      <c r="S222" t="str">
        <f>_xlfn.XLOOKUP(C222,ProductMaster!$A$2:$A$51,ProductMaster!$B$2:$B$51)</f>
        <v>Product_8</v>
      </c>
      <c r="T222" t="str">
        <f>_xlfn.XLOOKUP(G222,RegionMaster!$A$2:$A$5,RegionMaster!$B$2:$B$5)</f>
        <v>D</v>
      </c>
    </row>
    <row r="223" spans="1:20" ht="15.75" customHeight="1">
      <c r="A223" s="2" t="s">
        <v>933</v>
      </c>
      <c r="B223" s="2" t="s">
        <v>708</v>
      </c>
      <c r="C223" s="2" t="s">
        <v>172</v>
      </c>
      <c r="D223" s="3">
        <v>45773</v>
      </c>
      <c r="E223" s="3">
        <v>45777</v>
      </c>
      <c r="F223" s="4"/>
      <c r="G223" s="2" t="s">
        <v>17</v>
      </c>
      <c r="H223" s="2" t="s">
        <v>16</v>
      </c>
      <c r="I223" s="2" t="s">
        <v>178</v>
      </c>
      <c r="J223" s="2" t="s">
        <v>133</v>
      </c>
      <c r="K223" s="2">
        <v>2927.88</v>
      </c>
      <c r="L223" s="2" t="str">
        <f t="shared" si="18"/>
        <v>April</v>
      </c>
      <c r="M223" s="2" t="str">
        <f t="shared" si="19"/>
        <v>April</v>
      </c>
      <c r="N223" t="str">
        <f t="shared" si="20"/>
        <v>Delivered</v>
      </c>
      <c r="O223">
        <f t="shared" si="21"/>
        <v>4</v>
      </c>
      <c r="P223" t="str">
        <f t="shared" si="22"/>
        <v>Completed</v>
      </c>
      <c r="Q223" t="str">
        <f t="shared" si="23"/>
        <v>Slow</v>
      </c>
      <c r="R223" t="str">
        <f>_xlfn.XLOOKUP(B223,CustomerMaster!$A$2:$A$287,CustomerMaster!$B$2:$B$287)</f>
        <v>Customer_235</v>
      </c>
      <c r="S223" t="str">
        <f>_xlfn.XLOOKUP(C223,ProductMaster!$A$2:$A$51,ProductMaster!$B$2:$B$51)</f>
        <v>Product_39</v>
      </c>
      <c r="T223" t="str">
        <f>_xlfn.XLOOKUP(G223,RegionMaster!$A$2:$A$5,RegionMaster!$B$2:$B$5)</f>
        <v>B</v>
      </c>
    </row>
    <row r="224" spans="1:20" ht="15.75" customHeight="1">
      <c r="A224" s="2" t="s">
        <v>934</v>
      </c>
      <c r="B224" s="2" t="s">
        <v>722</v>
      </c>
      <c r="C224" s="2" t="s">
        <v>68</v>
      </c>
      <c r="D224" s="3">
        <v>45695</v>
      </c>
      <c r="E224" s="3">
        <v>45698</v>
      </c>
      <c r="F224" s="4"/>
      <c r="G224" s="2" t="s">
        <v>17</v>
      </c>
      <c r="H224" s="2" t="s">
        <v>27</v>
      </c>
      <c r="I224" s="2" t="s">
        <v>195</v>
      </c>
      <c r="J224" s="2" t="s">
        <v>133</v>
      </c>
      <c r="K224" s="2">
        <v>649.64</v>
      </c>
      <c r="L224" s="2" t="str">
        <f t="shared" si="18"/>
        <v>February</v>
      </c>
      <c r="M224" s="2" t="str">
        <f t="shared" si="19"/>
        <v>February</v>
      </c>
      <c r="N224" t="str">
        <f t="shared" si="20"/>
        <v>Delivered</v>
      </c>
      <c r="O224">
        <f t="shared" si="21"/>
        <v>3</v>
      </c>
      <c r="P224" t="str">
        <f t="shared" si="22"/>
        <v>Completed</v>
      </c>
      <c r="Q224" t="str">
        <f t="shared" si="23"/>
        <v>Slow</v>
      </c>
      <c r="R224" t="str">
        <f>_xlfn.XLOOKUP(B224,CustomerMaster!$A$2:$A$287,CustomerMaster!$B$2:$B$287)</f>
        <v>Customer_241</v>
      </c>
      <c r="S224" t="str">
        <f>_xlfn.XLOOKUP(C224,ProductMaster!$A$2:$A$51,ProductMaster!$B$2:$B$51)</f>
        <v>Product_13</v>
      </c>
      <c r="T224" t="str">
        <f>_xlfn.XLOOKUP(G224,RegionMaster!$A$2:$A$5,RegionMaster!$B$2:$B$5)</f>
        <v>B</v>
      </c>
    </row>
    <row r="225" spans="1:20" ht="15.75" customHeight="1">
      <c r="A225" s="2" t="s">
        <v>935</v>
      </c>
      <c r="B225" s="2" t="s">
        <v>57</v>
      </c>
      <c r="C225" s="2" t="s">
        <v>32</v>
      </c>
      <c r="D225" s="3">
        <v>45690</v>
      </c>
      <c r="E225" s="3">
        <v>45691</v>
      </c>
      <c r="F225" s="4"/>
      <c r="G225" s="2" t="s">
        <v>17</v>
      </c>
      <c r="H225" s="2" t="s">
        <v>37</v>
      </c>
      <c r="I225" s="2" t="s">
        <v>178</v>
      </c>
      <c r="J225" s="2" t="s">
        <v>94</v>
      </c>
      <c r="K225" s="2">
        <v>1965.04</v>
      </c>
      <c r="L225" s="2" t="str">
        <f t="shared" si="18"/>
        <v>February</v>
      </c>
      <c r="M225" s="2" t="str">
        <f t="shared" si="19"/>
        <v>February</v>
      </c>
      <c r="N225" t="str">
        <f t="shared" si="20"/>
        <v>Delivered</v>
      </c>
      <c r="O225">
        <f t="shared" si="21"/>
        <v>1</v>
      </c>
      <c r="P225" t="str">
        <f t="shared" si="22"/>
        <v>Completed</v>
      </c>
      <c r="Q225" t="str">
        <f t="shared" si="23"/>
        <v>Fast</v>
      </c>
      <c r="R225" t="str">
        <f>_xlfn.XLOOKUP(B225,CustomerMaster!$A$2:$A$287,CustomerMaster!$B$2:$B$287)</f>
        <v>Customer_6</v>
      </c>
      <c r="S225" t="str">
        <f>_xlfn.XLOOKUP(C225,ProductMaster!$A$2:$A$51,ProductMaster!$B$2:$B$51)</f>
        <v>Product_3</v>
      </c>
      <c r="T225" t="str">
        <f>_xlfn.XLOOKUP(G225,RegionMaster!$A$2:$A$5,RegionMaster!$B$2:$B$5)</f>
        <v>B</v>
      </c>
    </row>
    <row r="226" spans="1:20" ht="15.75" customHeight="1">
      <c r="A226" s="2" t="s">
        <v>936</v>
      </c>
      <c r="B226" s="2" t="s">
        <v>583</v>
      </c>
      <c r="C226" s="2" t="s">
        <v>207</v>
      </c>
      <c r="D226" s="3">
        <v>45745</v>
      </c>
      <c r="E226" s="4"/>
      <c r="F226" s="3">
        <v>45745</v>
      </c>
      <c r="G226" s="2" t="s">
        <v>45</v>
      </c>
      <c r="H226" s="2" t="s">
        <v>27</v>
      </c>
      <c r="I226" s="2" t="s">
        <v>178</v>
      </c>
      <c r="J226" s="2" t="s">
        <v>107</v>
      </c>
      <c r="K226" s="2">
        <v>1472.97</v>
      </c>
      <c r="L226" s="2" t="str">
        <f t="shared" si="18"/>
        <v>March</v>
      </c>
      <c r="M226" s="2" t="str">
        <f t="shared" si="19"/>
        <v>Cancelled</v>
      </c>
      <c r="N226" t="str">
        <f t="shared" si="20"/>
        <v>Cancelled</v>
      </c>
      <c r="O226" t="str">
        <f t="shared" si="21"/>
        <v>Order Cancelled</v>
      </c>
      <c r="P226" t="str">
        <f t="shared" si="22"/>
        <v>Cancelled</v>
      </c>
      <c r="Q226" t="str">
        <f t="shared" si="23"/>
        <v>Cancelled</v>
      </c>
      <c r="R226" t="str">
        <f>_xlfn.XLOOKUP(B226,CustomerMaster!$A$2:$A$287,CustomerMaster!$B$2:$B$287)</f>
        <v>Customer_180</v>
      </c>
      <c r="S226" t="str">
        <f>_xlfn.XLOOKUP(C226,ProductMaster!$A$2:$A$51,ProductMaster!$B$2:$B$51)</f>
        <v>Product_47</v>
      </c>
      <c r="T226" t="str">
        <f>_xlfn.XLOOKUP(G226,RegionMaster!$A$2:$A$5,RegionMaster!$B$2:$B$5)</f>
        <v>D</v>
      </c>
    </row>
    <row r="227" spans="1:20" ht="15.75" customHeight="1">
      <c r="A227" s="2" t="s">
        <v>937</v>
      </c>
      <c r="B227" s="2" t="s">
        <v>455</v>
      </c>
      <c r="C227" s="2" t="s">
        <v>104</v>
      </c>
      <c r="D227" s="3">
        <v>45777</v>
      </c>
      <c r="E227" s="3">
        <v>45781</v>
      </c>
      <c r="F227" s="4"/>
      <c r="G227" s="2" t="s">
        <v>17</v>
      </c>
      <c r="H227" s="2" t="s">
        <v>37</v>
      </c>
      <c r="I227" s="2" t="s">
        <v>90</v>
      </c>
      <c r="J227" s="2" t="s">
        <v>133</v>
      </c>
      <c r="K227" s="2">
        <v>1371.15</v>
      </c>
      <c r="L227" s="2" t="str">
        <f t="shared" si="18"/>
        <v>April</v>
      </c>
      <c r="M227" s="2" t="str">
        <f t="shared" si="19"/>
        <v>May</v>
      </c>
      <c r="N227" t="str">
        <f t="shared" si="20"/>
        <v>Delivered</v>
      </c>
      <c r="O227">
        <f t="shared" si="21"/>
        <v>4</v>
      </c>
      <c r="P227" t="str">
        <f t="shared" si="22"/>
        <v>Completed</v>
      </c>
      <c r="Q227" t="str">
        <f t="shared" si="23"/>
        <v>Slow</v>
      </c>
      <c r="R227" t="str">
        <f>_xlfn.XLOOKUP(B227,CustomerMaster!$A$2:$A$287,CustomerMaster!$B$2:$B$287)</f>
        <v>Customer_127</v>
      </c>
      <c r="S227" t="str">
        <f>_xlfn.XLOOKUP(C227,ProductMaster!$A$2:$A$51,ProductMaster!$B$2:$B$51)</f>
        <v>Product_19</v>
      </c>
      <c r="T227" t="str">
        <f>_xlfn.XLOOKUP(G227,RegionMaster!$A$2:$A$5,RegionMaster!$B$2:$B$5)</f>
        <v>B</v>
      </c>
    </row>
    <row r="228" spans="1:20" ht="15.75" customHeight="1">
      <c r="A228" s="2" t="s">
        <v>938</v>
      </c>
      <c r="B228" s="2" t="s">
        <v>451</v>
      </c>
      <c r="C228" s="2" t="s">
        <v>213</v>
      </c>
      <c r="D228" s="3">
        <v>45778</v>
      </c>
      <c r="E228" s="3">
        <v>45782</v>
      </c>
      <c r="F228" s="4"/>
      <c r="G228" s="2" t="s">
        <v>7</v>
      </c>
      <c r="H228" s="2" t="s">
        <v>37</v>
      </c>
      <c r="I228" s="2" t="s">
        <v>106</v>
      </c>
      <c r="J228" s="2" t="s">
        <v>133</v>
      </c>
      <c r="K228" s="2">
        <v>4870.45</v>
      </c>
      <c r="L228" s="2" t="str">
        <f t="shared" si="18"/>
        <v>May</v>
      </c>
      <c r="M228" s="2" t="str">
        <f t="shared" si="19"/>
        <v>May</v>
      </c>
      <c r="N228" t="str">
        <f t="shared" si="20"/>
        <v>Delivered</v>
      </c>
      <c r="O228">
        <f t="shared" si="21"/>
        <v>4</v>
      </c>
      <c r="P228" t="str">
        <f t="shared" si="22"/>
        <v>Completed</v>
      </c>
      <c r="Q228" t="str">
        <f t="shared" si="23"/>
        <v>Slow</v>
      </c>
      <c r="R228" t="str">
        <f>_xlfn.XLOOKUP(B228,CustomerMaster!$A$2:$A$287,CustomerMaster!$B$2:$B$287)</f>
        <v>Customer_126</v>
      </c>
      <c r="S228" t="str">
        <f>_xlfn.XLOOKUP(C228,ProductMaster!$A$2:$A$51,ProductMaster!$B$2:$B$51)</f>
        <v>Product_49</v>
      </c>
      <c r="T228" t="str">
        <f>_xlfn.XLOOKUP(G228,RegionMaster!$A$2:$A$5,RegionMaster!$B$2:$B$5)</f>
        <v>A</v>
      </c>
    </row>
    <row r="229" spans="1:20" ht="15.75" customHeight="1">
      <c r="A229" s="2" t="s">
        <v>939</v>
      </c>
      <c r="B229" s="2" t="s">
        <v>538</v>
      </c>
      <c r="C229" s="2" t="s">
        <v>146</v>
      </c>
      <c r="D229" s="3">
        <v>45765</v>
      </c>
      <c r="E229" s="3">
        <v>45767</v>
      </c>
      <c r="F229" s="4"/>
      <c r="G229" s="2" t="s">
        <v>45</v>
      </c>
      <c r="H229" s="2" t="s">
        <v>54</v>
      </c>
      <c r="I229" s="2" t="s">
        <v>121</v>
      </c>
      <c r="J229" s="2" t="s">
        <v>94</v>
      </c>
      <c r="K229" s="2">
        <v>2086.87</v>
      </c>
      <c r="L229" s="2" t="str">
        <f t="shared" si="18"/>
        <v>April</v>
      </c>
      <c r="M229" s="2" t="str">
        <f t="shared" si="19"/>
        <v>April</v>
      </c>
      <c r="N229" t="str">
        <f t="shared" si="20"/>
        <v>Delivered</v>
      </c>
      <c r="O229">
        <f t="shared" si="21"/>
        <v>2</v>
      </c>
      <c r="P229" t="str">
        <f t="shared" si="22"/>
        <v>Completed</v>
      </c>
      <c r="Q229" t="str">
        <f t="shared" si="23"/>
        <v>Fast</v>
      </c>
      <c r="R229" t="str">
        <f>_xlfn.XLOOKUP(B229,CustomerMaster!$A$2:$A$287,CustomerMaster!$B$2:$B$287)</f>
        <v>Customer_161</v>
      </c>
      <c r="S229" t="str">
        <f>_xlfn.XLOOKUP(C229,ProductMaster!$A$2:$A$51,ProductMaster!$B$2:$B$51)</f>
        <v>Product_30</v>
      </c>
      <c r="T229" t="str">
        <f>_xlfn.XLOOKUP(G229,RegionMaster!$A$2:$A$5,RegionMaster!$B$2:$B$5)</f>
        <v>D</v>
      </c>
    </row>
    <row r="230" spans="1:20" ht="15.75" customHeight="1">
      <c r="A230" s="2" t="s">
        <v>940</v>
      </c>
      <c r="B230" s="2" t="s">
        <v>202</v>
      </c>
      <c r="C230" s="2" t="s">
        <v>114</v>
      </c>
      <c r="D230" s="3">
        <v>45672</v>
      </c>
      <c r="E230" s="3">
        <v>45676</v>
      </c>
      <c r="F230" s="4"/>
      <c r="G230" s="2" t="s">
        <v>22</v>
      </c>
      <c r="H230" s="2" t="s">
        <v>59</v>
      </c>
      <c r="I230" s="2" t="s">
        <v>90</v>
      </c>
      <c r="J230" s="2" t="s">
        <v>133</v>
      </c>
      <c r="K230" s="2">
        <v>4481.82</v>
      </c>
      <c r="L230" s="2" t="str">
        <f t="shared" si="18"/>
        <v>January</v>
      </c>
      <c r="M230" s="2" t="str">
        <f t="shared" si="19"/>
        <v>January</v>
      </c>
      <c r="N230" t="str">
        <f t="shared" si="20"/>
        <v>Delivered</v>
      </c>
      <c r="O230">
        <f t="shared" si="21"/>
        <v>4</v>
      </c>
      <c r="P230" t="str">
        <f t="shared" si="22"/>
        <v>Completed</v>
      </c>
      <c r="Q230" t="str">
        <f t="shared" si="23"/>
        <v>Slow</v>
      </c>
      <c r="R230" t="str">
        <f>_xlfn.XLOOKUP(B230,CustomerMaster!$A$2:$A$287,CustomerMaster!$B$2:$B$287)</f>
        <v>Customer_27</v>
      </c>
      <c r="S230" t="str">
        <f>_xlfn.XLOOKUP(C230,ProductMaster!$A$2:$A$51,ProductMaster!$B$2:$B$51)</f>
        <v>Product_21</v>
      </c>
      <c r="T230" t="str">
        <f>_xlfn.XLOOKUP(G230,RegionMaster!$A$2:$A$5,RegionMaster!$B$2:$B$5)</f>
        <v>C</v>
      </c>
    </row>
    <row r="231" spans="1:20" ht="15.75" customHeight="1">
      <c r="A231" s="2" t="s">
        <v>941</v>
      </c>
      <c r="B231" s="2" t="s">
        <v>221</v>
      </c>
      <c r="C231" s="2" t="s">
        <v>87</v>
      </c>
      <c r="D231" s="3">
        <v>45679</v>
      </c>
      <c r="E231" s="3">
        <v>45681</v>
      </c>
      <c r="F231" s="4"/>
      <c r="G231" s="2" t="s">
        <v>17</v>
      </c>
      <c r="H231" s="2" t="s">
        <v>37</v>
      </c>
      <c r="I231" s="2" t="s">
        <v>90</v>
      </c>
      <c r="J231" s="2" t="s">
        <v>133</v>
      </c>
      <c r="K231" s="2">
        <v>3229.47</v>
      </c>
      <c r="L231" s="2" t="str">
        <f t="shared" si="18"/>
        <v>January</v>
      </c>
      <c r="M231" s="2" t="str">
        <f t="shared" si="19"/>
        <v>January</v>
      </c>
      <c r="N231" t="str">
        <f t="shared" si="20"/>
        <v>Delivered</v>
      </c>
      <c r="O231">
        <f t="shared" si="21"/>
        <v>2</v>
      </c>
      <c r="P231" t="str">
        <f t="shared" si="22"/>
        <v>Completed</v>
      </c>
      <c r="Q231" t="str">
        <f t="shared" si="23"/>
        <v>Fast</v>
      </c>
      <c r="R231" t="str">
        <f>_xlfn.XLOOKUP(B231,CustomerMaster!$A$2:$A$287,CustomerMaster!$B$2:$B$287)</f>
        <v>Customer_68</v>
      </c>
      <c r="S231" t="str">
        <f>_xlfn.XLOOKUP(C231,ProductMaster!$A$2:$A$51,ProductMaster!$B$2:$B$51)</f>
        <v>Product_15</v>
      </c>
      <c r="T231" t="str">
        <f>_xlfn.XLOOKUP(G231,RegionMaster!$A$2:$A$5,RegionMaster!$B$2:$B$5)</f>
        <v>B</v>
      </c>
    </row>
    <row r="232" spans="1:20" ht="15.75" customHeight="1">
      <c r="A232" s="2" t="s">
        <v>942</v>
      </c>
      <c r="B232" s="2" t="s">
        <v>657</v>
      </c>
      <c r="C232" s="2" t="s">
        <v>79</v>
      </c>
      <c r="D232" s="3">
        <v>45740</v>
      </c>
      <c r="E232" s="3">
        <v>45746</v>
      </c>
      <c r="F232" s="4"/>
      <c r="G232" s="2" t="s">
        <v>17</v>
      </c>
      <c r="H232" s="2" t="s">
        <v>16</v>
      </c>
      <c r="I232" s="2" t="s">
        <v>195</v>
      </c>
      <c r="J232" s="2" t="s">
        <v>107</v>
      </c>
      <c r="K232" s="2">
        <v>4015.09</v>
      </c>
      <c r="L232" s="2" t="str">
        <f t="shared" si="18"/>
        <v>March</v>
      </c>
      <c r="M232" s="2" t="str">
        <f t="shared" si="19"/>
        <v>March</v>
      </c>
      <c r="N232" t="str">
        <f t="shared" si="20"/>
        <v>Delivered</v>
      </c>
      <c r="O232">
        <f t="shared" si="21"/>
        <v>6</v>
      </c>
      <c r="P232" t="str">
        <f t="shared" si="22"/>
        <v>Completed</v>
      </c>
      <c r="Q232" t="str">
        <f t="shared" si="23"/>
        <v>Slow</v>
      </c>
      <c r="R232" t="str">
        <f>_xlfn.XLOOKUP(B232,CustomerMaster!$A$2:$A$287,CustomerMaster!$B$2:$B$287)</f>
        <v>Customer_211</v>
      </c>
      <c r="S232" t="str">
        <f>_xlfn.XLOOKUP(C232,ProductMaster!$A$2:$A$51,ProductMaster!$B$2:$B$51)</f>
        <v>Product_12</v>
      </c>
      <c r="T232" t="str">
        <f>_xlfn.XLOOKUP(G232,RegionMaster!$A$2:$A$5,RegionMaster!$B$2:$B$5)</f>
        <v>B</v>
      </c>
    </row>
    <row r="233" spans="1:20" ht="15.75" customHeight="1">
      <c r="A233" s="2" t="s">
        <v>943</v>
      </c>
      <c r="B233" s="2" t="s">
        <v>792</v>
      </c>
      <c r="C233" s="2" t="s">
        <v>102</v>
      </c>
      <c r="D233" s="3">
        <v>45754</v>
      </c>
      <c r="E233" s="4"/>
      <c r="F233" s="3">
        <v>45755</v>
      </c>
      <c r="G233" s="2" t="s">
        <v>22</v>
      </c>
      <c r="H233" s="2" t="s">
        <v>27</v>
      </c>
      <c r="I233" s="2" t="s">
        <v>178</v>
      </c>
      <c r="J233" s="2" t="s">
        <v>94</v>
      </c>
      <c r="K233" s="2">
        <v>2612.66</v>
      </c>
      <c r="L233" s="2" t="str">
        <f t="shared" si="18"/>
        <v>April</v>
      </c>
      <c r="M233" s="2" t="str">
        <f t="shared" si="19"/>
        <v>Cancelled</v>
      </c>
      <c r="N233" t="str">
        <f t="shared" si="20"/>
        <v>Cancelled</v>
      </c>
      <c r="O233" t="str">
        <f t="shared" si="21"/>
        <v>Order Cancelled</v>
      </c>
      <c r="P233" t="str">
        <f t="shared" si="22"/>
        <v>Cancelled</v>
      </c>
      <c r="Q233" t="str">
        <f t="shared" si="23"/>
        <v>Cancelled</v>
      </c>
      <c r="R233" t="str">
        <f>_xlfn.XLOOKUP(B233,CustomerMaster!$A$2:$A$287,CustomerMaster!$B$2:$B$287)</f>
        <v>Customer_279</v>
      </c>
      <c r="S233" t="str">
        <f>_xlfn.XLOOKUP(C233,ProductMaster!$A$2:$A$51,ProductMaster!$B$2:$B$51)</f>
        <v>Product_18</v>
      </c>
      <c r="T233" t="str">
        <f>_xlfn.XLOOKUP(G233,RegionMaster!$A$2:$A$5,RegionMaster!$B$2:$B$5)</f>
        <v>C</v>
      </c>
    </row>
    <row r="234" spans="1:20" ht="15.75" customHeight="1">
      <c r="A234" s="2" t="s">
        <v>944</v>
      </c>
      <c r="B234" s="2" t="s">
        <v>563</v>
      </c>
      <c r="C234" s="2" t="s">
        <v>128</v>
      </c>
      <c r="D234" s="3">
        <v>45778</v>
      </c>
      <c r="E234" s="3">
        <v>45782</v>
      </c>
      <c r="F234" s="4"/>
      <c r="G234" s="2" t="s">
        <v>22</v>
      </c>
      <c r="H234" s="2" t="s">
        <v>59</v>
      </c>
      <c r="I234" s="2" t="s">
        <v>178</v>
      </c>
      <c r="J234" s="2" t="s">
        <v>133</v>
      </c>
      <c r="K234" s="2">
        <v>2969.14</v>
      </c>
      <c r="L234" s="2" t="str">
        <f t="shared" si="18"/>
        <v>May</v>
      </c>
      <c r="M234" s="2" t="str">
        <f t="shared" si="19"/>
        <v>May</v>
      </c>
      <c r="N234" t="str">
        <f t="shared" si="20"/>
        <v>Delivered</v>
      </c>
      <c r="O234">
        <f t="shared" si="21"/>
        <v>4</v>
      </c>
      <c r="P234" t="str">
        <f t="shared" si="22"/>
        <v>Completed</v>
      </c>
      <c r="Q234" t="str">
        <f t="shared" si="23"/>
        <v>Slow</v>
      </c>
      <c r="R234" t="str">
        <f>_xlfn.XLOOKUP(B234,CustomerMaster!$A$2:$A$287,CustomerMaster!$B$2:$B$287)</f>
        <v>Customer_172</v>
      </c>
      <c r="S234" t="str">
        <f>_xlfn.XLOOKUP(C234,ProductMaster!$A$2:$A$51,ProductMaster!$B$2:$B$51)</f>
        <v>Product_25</v>
      </c>
      <c r="T234" t="str">
        <f>_xlfn.XLOOKUP(G234,RegionMaster!$A$2:$A$5,RegionMaster!$B$2:$B$5)</f>
        <v>C</v>
      </c>
    </row>
    <row r="235" spans="1:20" ht="15.75" customHeight="1">
      <c r="A235" s="2" t="s">
        <v>945</v>
      </c>
      <c r="B235" s="2" t="s">
        <v>796</v>
      </c>
      <c r="C235" s="2" t="s">
        <v>104</v>
      </c>
      <c r="D235" s="3">
        <v>45733</v>
      </c>
      <c r="E235" s="3">
        <v>45737</v>
      </c>
      <c r="F235" s="4"/>
      <c r="G235" s="2" t="s">
        <v>45</v>
      </c>
      <c r="H235" s="2" t="s">
        <v>54</v>
      </c>
      <c r="I235" s="2" t="s">
        <v>195</v>
      </c>
      <c r="J235" s="2" t="s">
        <v>107</v>
      </c>
      <c r="K235" s="2">
        <v>2564.08</v>
      </c>
      <c r="L235" s="2" t="str">
        <f t="shared" si="18"/>
        <v>March</v>
      </c>
      <c r="M235" s="2" t="str">
        <f t="shared" si="19"/>
        <v>March</v>
      </c>
      <c r="N235" t="str">
        <f t="shared" si="20"/>
        <v>Delivered</v>
      </c>
      <c r="O235">
        <f t="shared" si="21"/>
        <v>4</v>
      </c>
      <c r="P235" t="str">
        <f t="shared" si="22"/>
        <v>Completed</v>
      </c>
      <c r="Q235" t="str">
        <f t="shared" si="23"/>
        <v>Slow</v>
      </c>
      <c r="R235" t="str">
        <f>_xlfn.XLOOKUP(B235,CustomerMaster!$A$2:$A$287,CustomerMaster!$B$2:$B$287)</f>
        <v>Customer_282</v>
      </c>
      <c r="S235" t="str">
        <f>_xlfn.XLOOKUP(C235,ProductMaster!$A$2:$A$51,ProductMaster!$B$2:$B$51)</f>
        <v>Product_19</v>
      </c>
      <c r="T235" t="str">
        <f>_xlfn.XLOOKUP(G235,RegionMaster!$A$2:$A$5,RegionMaster!$B$2:$B$5)</f>
        <v>D</v>
      </c>
    </row>
    <row r="236" spans="1:20" ht="15.75" customHeight="1">
      <c r="A236" s="2" t="s">
        <v>946</v>
      </c>
      <c r="B236" s="2" t="s">
        <v>515</v>
      </c>
      <c r="C236" s="2" t="s">
        <v>125</v>
      </c>
      <c r="D236" s="3">
        <v>45683</v>
      </c>
      <c r="E236" s="3">
        <v>45688</v>
      </c>
      <c r="F236" s="4"/>
      <c r="G236" s="2" t="s">
        <v>17</v>
      </c>
      <c r="H236" s="2" t="s">
        <v>27</v>
      </c>
      <c r="I236" s="2" t="s">
        <v>178</v>
      </c>
      <c r="J236" s="2" t="s">
        <v>107</v>
      </c>
      <c r="K236" s="2">
        <v>1137.17</v>
      </c>
      <c r="L236" s="2" t="str">
        <f t="shared" si="18"/>
        <v>January</v>
      </c>
      <c r="M236" s="2" t="str">
        <f t="shared" si="19"/>
        <v>January</v>
      </c>
      <c r="N236" t="str">
        <f t="shared" si="20"/>
        <v>Delivered</v>
      </c>
      <c r="O236">
        <f t="shared" si="21"/>
        <v>5</v>
      </c>
      <c r="P236" t="str">
        <f t="shared" si="22"/>
        <v>Completed</v>
      </c>
      <c r="Q236" t="str">
        <f t="shared" si="23"/>
        <v>Slow</v>
      </c>
      <c r="R236" t="str">
        <f>_xlfn.XLOOKUP(B236,CustomerMaster!$A$2:$A$287,CustomerMaster!$B$2:$B$287)</f>
        <v>Customer_152</v>
      </c>
      <c r="S236" t="str">
        <f>_xlfn.XLOOKUP(C236,ProductMaster!$A$2:$A$51,ProductMaster!$B$2:$B$51)</f>
        <v>Product_24</v>
      </c>
      <c r="T236" t="str">
        <f>_xlfn.XLOOKUP(G236,RegionMaster!$A$2:$A$5,RegionMaster!$B$2:$B$5)</f>
        <v>B</v>
      </c>
    </row>
    <row r="237" spans="1:20" ht="15.75" customHeight="1">
      <c r="A237" s="2" t="s">
        <v>947</v>
      </c>
      <c r="B237" s="2" t="s">
        <v>369</v>
      </c>
      <c r="C237" s="2" t="s">
        <v>207</v>
      </c>
      <c r="D237" s="3">
        <v>45759</v>
      </c>
      <c r="E237" s="4"/>
      <c r="F237" s="3">
        <v>45761</v>
      </c>
      <c r="G237" s="2" t="s">
        <v>45</v>
      </c>
      <c r="H237" s="2" t="s">
        <v>59</v>
      </c>
      <c r="I237" s="2" t="s">
        <v>121</v>
      </c>
      <c r="J237" s="2" t="s">
        <v>133</v>
      </c>
      <c r="K237" s="2">
        <v>3667.77</v>
      </c>
      <c r="L237" s="2" t="str">
        <f t="shared" si="18"/>
        <v>April</v>
      </c>
      <c r="M237" s="2" t="str">
        <f t="shared" si="19"/>
        <v>Cancelled</v>
      </c>
      <c r="N237" t="str">
        <f t="shared" si="20"/>
        <v>Cancelled</v>
      </c>
      <c r="O237" t="str">
        <f t="shared" si="21"/>
        <v>Order Cancelled</v>
      </c>
      <c r="P237" t="str">
        <f t="shared" si="22"/>
        <v>Cancelled</v>
      </c>
      <c r="Q237" t="str">
        <f t="shared" si="23"/>
        <v>Cancelled</v>
      </c>
      <c r="R237" t="str">
        <f>_xlfn.XLOOKUP(B237,CustomerMaster!$A$2:$A$287,CustomerMaster!$B$2:$B$287)</f>
        <v>Customer_92</v>
      </c>
      <c r="S237" t="str">
        <f>_xlfn.XLOOKUP(C237,ProductMaster!$A$2:$A$51,ProductMaster!$B$2:$B$51)</f>
        <v>Product_47</v>
      </c>
      <c r="T237" t="str">
        <f>_xlfn.XLOOKUP(G237,RegionMaster!$A$2:$A$5,RegionMaster!$B$2:$B$5)</f>
        <v>D</v>
      </c>
    </row>
    <row r="238" spans="1:20" ht="15.75" customHeight="1">
      <c r="A238" s="2" t="s">
        <v>948</v>
      </c>
      <c r="B238" s="2" t="s">
        <v>378</v>
      </c>
      <c r="C238" s="2" t="s">
        <v>56</v>
      </c>
      <c r="D238" s="3">
        <v>45773</v>
      </c>
      <c r="E238" s="3">
        <v>45778</v>
      </c>
      <c r="F238" s="4"/>
      <c r="G238" s="2" t="s">
        <v>45</v>
      </c>
      <c r="H238" s="2" t="s">
        <v>37</v>
      </c>
      <c r="I238" s="2" t="s">
        <v>121</v>
      </c>
      <c r="J238" s="2" t="s">
        <v>94</v>
      </c>
      <c r="K238" s="2">
        <v>1547.71</v>
      </c>
      <c r="L238" s="2" t="str">
        <f t="shared" si="18"/>
        <v>April</v>
      </c>
      <c r="M238" s="2" t="str">
        <f t="shared" si="19"/>
        <v>May</v>
      </c>
      <c r="N238" t="str">
        <f t="shared" si="20"/>
        <v>Delivered</v>
      </c>
      <c r="O238">
        <f t="shared" si="21"/>
        <v>5</v>
      </c>
      <c r="P238" t="str">
        <f t="shared" si="22"/>
        <v>Completed</v>
      </c>
      <c r="Q238" t="str">
        <f t="shared" si="23"/>
        <v>Slow</v>
      </c>
      <c r="R238" t="str">
        <f>_xlfn.XLOOKUP(B238,CustomerMaster!$A$2:$A$287,CustomerMaster!$B$2:$B$287)</f>
        <v>Customer_96</v>
      </c>
      <c r="S238" t="str">
        <f>_xlfn.XLOOKUP(C238,ProductMaster!$A$2:$A$51,ProductMaster!$B$2:$B$51)</f>
        <v>Product_7</v>
      </c>
      <c r="T238" t="str">
        <f>_xlfn.XLOOKUP(G238,RegionMaster!$A$2:$A$5,RegionMaster!$B$2:$B$5)</f>
        <v>D</v>
      </c>
    </row>
    <row r="239" spans="1:20" ht="15.75" customHeight="1">
      <c r="A239" s="2" t="s">
        <v>949</v>
      </c>
      <c r="B239" s="2" t="s">
        <v>446</v>
      </c>
      <c r="C239" s="2" t="s">
        <v>180</v>
      </c>
      <c r="D239" s="3">
        <v>45755</v>
      </c>
      <c r="E239" s="4"/>
      <c r="F239" s="3">
        <v>45756</v>
      </c>
      <c r="G239" s="2" t="s">
        <v>22</v>
      </c>
      <c r="H239" s="2" t="s">
        <v>59</v>
      </c>
      <c r="I239" s="2" t="s">
        <v>121</v>
      </c>
      <c r="J239" s="2" t="s">
        <v>133</v>
      </c>
      <c r="K239" s="2">
        <v>316.72000000000003</v>
      </c>
      <c r="L239" s="2" t="str">
        <f t="shared" si="18"/>
        <v>April</v>
      </c>
      <c r="M239" s="2" t="str">
        <f t="shared" si="19"/>
        <v>Cancelled</v>
      </c>
      <c r="N239" t="str">
        <f t="shared" si="20"/>
        <v>Cancelled</v>
      </c>
      <c r="O239" t="str">
        <f t="shared" si="21"/>
        <v>Order Cancelled</v>
      </c>
      <c r="P239" t="str">
        <f t="shared" si="22"/>
        <v>Cancelled</v>
      </c>
      <c r="Q239" t="str">
        <f t="shared" si="23"/>
        <v>Cancelled</v>
      </c>
      <c r="R239" t="str">
        <f>_xlfn.XLOOKUP(B239,CustomerMaster!$A$2:$A$287,CustomerMaster!$B$2:$B$287)</f>
        <v>Customer_124</v>
      </c>
      <c r="S239" t="str">
        <f>_xlfn.XLOOKUP(C239,ProductMaster!$A$2:$A$51,ProductMaster!$B$2:$B$51)</f>
        <v>Product_40</v>
      </c>
      <c r="T239" t="str">
        <f>_xlfn.XLOOKUP(G239,RegionMaster!$A$2:$A$5,RegionMaster!$B$2:$B$5)</f>
        <v>C</v>
      </c>
    </row>
    <row r="240" spans="1:20" ht="15.75" customHeight="1">
      <c r="A240" s="2" t="s">
        <v>950</v>
      </c>
      <c r="B240" s="2" t="s">
        <v>722</v>
      </c>
      <c r="C240" s="2" t="s">
        <v>199</v>
      </c>
      <c r="D240" s="3">
        <v>45741</v>
      </c>
      <c r="E240" s="3">
        <v>45747</v>
      </c>
      <c r="F240" s="4"/>
      <c r="G240" s="2" t="s">
        <v>17</v>
      </c>
      <c r="H240" s="2" t="s">
        <v>27</v>
      </c>
      <c r="I240" s="2" t="s">
        <v>90</v>
      </c>
      <c r="J240" s="2" t="s">
        <v>94</v>
      </c>
      <c r="K240" s="2">
        <v>3298.27</v>
      </c>
      <c r="L240" s="2" t="str">
        <f t="shared" si="18"/>
        <v>March</v>
      </c>
      <c r="M240" s="2" t="str">
        <f t="shared" si="19"/>
        <v>March</v>
      </c>
      <c r="N240" t="str">
        <f t="shared" si="20"/>
        <v>Delivered</v>
      </c>
      <c r="O240">
        <f t="shared" si="21"/>
        <v>6</v>
      </c>
      <c r="P240" t="str">
        <f t="shared" si="22"/>
        <v>Completed</v>
      </c>
      <c r="Q240" t="str">
        <f t="shared" si="23"/>
        <v>Slow</v>
      </c>
      <c r="R240" t="str">
        <f>_xlfn.XLOOKUP(B240,CustomerMaster!$A$2:$A$287,CustomerMaster!$B$2:$B$287)</f>
        <v>Customer_241</v>
      </c>
      <c r="S240" t="str">
        <f>_xlfn.XLOOKUP(C240,ProductMaster!$A$2:$A$51,ProductMaster!$B$2:$B$51)</f>
        <v>Product_45</v>
      </c>
      <c r="T240" t="str">
        <f>_xlfn.XLOOKUP(G240,RegionMaster!$A$2:$A$5,RegionMaster!$B$2:$B$5)</f>
        <v>B</v>
      </c>
    </row>
    <row r="241" spans="1:20" ht="15.75" customHeight="1">
      <c r="A241" s="2" t="s">
        <v>951</v>
      </c>
      <c r="B241" s="2" t="s">
        <v>466</v>
      </c>
      <c r="C241" s="2" t="s">
        <v>91</v>
      </c>
      <c r="D241" s="3">
        <v>45753</v>
      </c>
      <c r="E241" s="4"/>
      <c r="F241" s="3">
        <v>45753</v>
      </c>
      <c r="G241" s="2" t="s">
        <v>22</v>
      </c>
      <c r="H241" s="2" t="s">
        <v>27</v>
      </c>
      <c r="I241" s="2" t="s">
        <v>195</v>
      </c>
      <c r="J241" s="2" t="s">
        <v>94</v>
      </c>
      <c r="K241" s="2">
        <v>1050.1300000000001</v>
      </c>
      <c r="L241" s="2" t="str">
        <f t="shared" si="18"/>
        <v>April</v>
      </c>
      <c r="M241" s="2" t="str">
        <f t="shared" si="19"/>
        <v>Cancelled</v>
      </c>
      <c r="N241" t="str">
        <f t="shared" si="20"/>
        <v>Cancelled</v>
      </c>
      <c r="O241" t="str">
        <f t="shared" si="21"/>
        <v>Order Cancelled</v>
      </c>
      <c r="P241" t="str">
        <f t="shared" si="22"/>
        <v>Cancelled</v>
      </c>
      <c r="Q241" t="str">
        <f t="shared" si="23"/>
        <v>Cancelled</v>
      </c>
      <c r="R241" t="str">
        <f>_xlfn.XLOOKUP(B241,CustomerMaster!$A$2:$A$287,CustomerMaster!$B$2:$B$287)</f>
        <v>Customer_132</v>
      </c>
      <c r="S241" t="str">
        <f>_xlfn.XLOOKUP(C241,ProductMaster!$A$2:$A$51,ProductMaster!$B$2:$B$51)</f>
        <v>Product_16</v>
      </c>
      <c r="T241" t="str">
        <f>_xlfn.XLOOKUP(G241,RegionMaster!$A$2:$A$5,RegionMaster!$B$2:$B$5)</f>
        <v>C</v>
      </c>
    </row>
    <row r="242" spans="1:20" ht="15.75" customHeight="1">
      <c r="A242" s="2" t="s">
        <v>952</v>
      </c>
      <c r="B242" s="2" t="s">
        <v>639</v>
      </c>
      <c r="C242" s="2" t="s">
        <v>210</v>
      </c>
      <c r="D242" s="3">
        <v>45750</v>
      </c>
      <c r="E242" s="4"/>
      <c r="F242" s="3">
        <v>45750</v>
      </c>
      <c r="G242" s="2" t="s">
        <v>7</v>
      </c>
      <c r="H242" s="2" t="s">
        <v>27</v>
      </c>
      <c r="I242" s="2" t="s">
        <v>106</v>
      </c>
      <c r="J242" s="2" t="s">
        <v>133</v>
      </c>
      <c r="K242" s="2">
        <v>4714.2</v>
      </c>
      <c r="L242" s="2" t="str">
        <f t="shared" si="18"/>
        <v>April</v>
      </c>
      <c r="M242" s="2" t="str">
        <f t="shared" si="19"/>
        <v>Cancelled</v>
      </c>
      <c r="N242" t="str">
        <f t="shared" si="20"/>
        <v>Cancelled</v>
      </c>
      <c r="O242" t="str">
        <f t="shared" si="21"/>
        <v>Order Cancelled</v>
      </c>
      <c r="P242" t="str">
        <f t="shared" si="22"/>
        <v>Cancelled</v>
      </c>
      <c r="Q242" t="str">
        <f t="shared" si="23"/>
        <v>Cancelled</v>
      </c>
      <c r="R242" t="str">
        <f>_xlfn.XLOOKUP(B242,CustomerMaster!$A$2:$A$287,CustomerMaster!$B$2:$B$287)</f>
        <v>Customer_204</v>
      </c>
      <c r="S242" t="str">
        <f>_xlfn.XLOOKUP(C242,ProductMaster!$A$2:$A$51,ProductMaster!$B$2:$B$51)</f>
        <v>Product_48</v>
      </c>
      <c r="T242" t="str">
        <f>_xlfn.XLOOKUP(G242,RegionMaster!$A$2:$A$5,RegionMaster!$B$2:$B$5)</f>
        <v>A</v>
      </c>
    </row>
    <row r="243" spans="1:20" ht="15.75" customHeight="1">
      <c r="A243" s="2" t="s">
        <v>953</v>
      </c>
      <c r="B243" s="2" t="s">
        <v>89</v>
      </c>
      <c r="C243" s="2" t="s">
        <v>172</v>
      </c>
      <c r="D243" s="3">
        <v>45769</v>
      </c>
      <c r="E243" s="3">
        <v>45774</v>
      </c>
      <c r="F243" s="4"/>
      <c r="G243" s="2" t="s">
        <v>45</v>
      </c>
      <c r="H243" s="2" t="s">
        <v>27</v>
      </c>
      <c r="I243" s="2" t="s">
        <v>195</v>
      </c>
      <c r="J243" s="2" t="s">
        <v>133</v>
      </c>
      <c r="K243" s="2">
        <v>4778.8599999999997</v>
      </c>
      <c r="L243" s="2" t="str">
        <f t="shared" si="18"/>
        <v>April</v>
      </c>
      <c r="M243" s="2" t="str">
        <f t="shared" si="19"/>
        <v>April</v>
      </c>
      <c r="N243" t="str">
        <f t="shared" si="20"/>
        <v>Delivered</v>
      </c>
      <c r="O243">
        <f t="shared" si="21"/>
        <v>5</v>
      </c>
      <c r="P243" t="str">
        <f t="shared" si="22"/>
        <v>Completed</v>
      </c>
      <c r="Q243" t="str">
        <f t="shared" si="23"/>
        <v>Slow</v>
      </c>
      <c r="R243" t="str">
        <f>_xlfn.XLOOKUP(B243,CustomerMaster!$A$2:$A$287,CustomerMaster!$B$2:$B$287)</f>
        <v>Customer_12</v>
      </c>
      <c r="S243" t="str">
        <f>_xlfn.XLOOKUP(C243,ProductMaster!$A$2:$A$51,ProductMaster!$B$2:$B$51)</f>
        <v>Product_39</v>
      </c>
      <c r="T243" t="str">
        <f>_xlfn.XLOOKUP(G243,RegionMaster!$A$2:$A$5,RegionMaster!$B$2:$B$5)</f>
        <v>D</v>
      </c>
    </row>
    <row r="244" spans="1:20" ht="15.75" customHeight="1">
      <c r="A244" s="2" t="s">
        <v>954</v>
      </c>
      <c r="B244" s="2" t="s">
        <v>262</v>
      </c>
      <c r="C244" s="2" t="s">
        <v>101</v>
      </c>
      <c r="D244" s="3">
        <v>45722</v>
      </c>
      <c r="E244" s="3">
        <v>45724</v>
      </c>
      <c r="F244" s="4"/>
      <c r="G244" s="2" t="s">
        <v>7</v>
      </c>
      <c r="H244" s="2" t="s">
        <v>16</v>
      </c>
      <c r="I244" s="2" t="s">
        <v>121</v>
      </c>
      <c r="J244" s="2" t="s">
        <v>133</v>
      </c>
      <c r="K244" s="2">
        <v>4591.3500000000004</v>
      </c>
      <c r="L244" s="2" t="str">
        <f t="shared" si="18"/>
        <v>March</v>
      </c>
      <c r="M244" s="2" t="str">
        <f t="shared" si="19"/>
        <v>March</v>
      </c>
      <c r="N244" t="str">
        <f t="shared" si="20"/>
        <v>Delivered</v>
      </c>
      <c r="O244">
        <f t="shared" si="21"/>
        <v>2</v>
      </c>
      <c r="P244" t="str">
        <f t="shared" si="22"/>
        <v>Completed</v>
      </c>
      <c r="Q244" t="str">
        <f t="shared" si="23"/>
        <v>Fast</v>
      </c>
      <c r="R244" t="str">
        <f>_xlfn.XLOOKUP(B244,CustomerMaster!$A$2:$A$287,CustomerMaster!$B$2:$B$287)</f>
        <v>Customer_46</v>
      </c>
      <c r="S244" t="str">
        <f>_xlfn.XLOOKUP(C244,ProductMaster!$A$2:$A$51,ProductMaster!$B$2:$B$51)</f>
        <v>Product_27</v>
      </c>
      <c r="T244" t="str">
        <f>_xlfn.XLOOKUP(G244,RegionMaster!$A$2:$A$5,RegionMaster!$B$2:$B$5)</f>
        <v>A</v>
      </c>
    </row>
    <row r="245" spans="1:20" ht="15.75" customHeight="1">
      <c r="A245" s="2" t="s">
        <v>955</v>
      </c>
      <c r="B245" s="2" t="s">
        <v>534</v>
      </c>
      <c r="C245" s="2" t="s">
        <v>162</v>
      </c>
      <c r="D245" s="3">
        <v>45737</v>
      </c>
      <c r="E245" s="3">
        <v>45743</v>
      </c>
      <c r="F245" s="4"/>
      <c r="G245" s="2" t="s">
        <v>17</v>
      </c>
      <c r="H245" s="2" t="s">
        <v>16</v>
      </c>
      <c r="I245" s="2" t="s">
        <v>90</v>
      </c>
      <c r="J245" s="2" t="s">
        <v>94</v>
      </c>
      <c r="K245" s="2">
        <v>1976.76</v>
      </c>
      <c r="L245" s="2" t="str">
        <f t="shared" si="18"/>
        <v>March</v>
      </c>
      <c r="M245" s="2" t="str">
        <f t="shared" si="19"/>
        <v>March</v>
      </c>
      <c r="N245" t="str">
        <f t="shared" si="20"/>
        <v>Delivered</v>
      </c>
      <c r="O245">
        <f t="shared" si="21"/>
        <v>6</v>
      </c>
      <c r="P245" t="str">
        <f t="shared" si="22"/>
        <v>Completed</v>
      </c>
      <c r="Q245" t="str">
        <f t="shared" si="23"/>
        <v>Slow</v>
      </c>
      <c r="R245" t="str">
        <f>_xlfn.XLOOKUP(B245,CustomerMaster!$A$2:$A$287,CustomerMaster!$B$2:$B$287)</f>
        <v>Customer_159</v>
      </c>
      <c r="S245" t="str">
        <f>_xlfn.XLOOKUP(C245,ProductMaster!$A$2:$A$51,ProductMaster!$B$2:$B$51)</f>
        <v>Product_35</v>
      </c>
      <c r="T245" t="str">
        <f>_xlfn.XLOOKUP(G245,RegionMaster!$A$2:$A$5,RegionMaster!$B$2:$B$5)</f>
        <v>B</v>
      </c>
    </row>
    <row r="246" spans="1:20" ht="15.75" customHeight="1">
      <c r="A246" s="2" t="s">
        <v>956</v>
      </c>
      <c r="B246" s="2" t="s">
        <v>305</v>
      </c>
      <c r="C246" s="2" t="s">
        <v>75</v>
      </c>
      <c r="D246" s="3">
        <v>45689</v>
      </c>
      <c r="E246" s="4"/>
      <c r="F246" s="3">
        <v>45689</v>
      </c>
      <c r="G246" s="2" t="s">
        <v>17</v>
      </c>
      <c r="H246" s="2" t="s">
        <v>16</v>
      </c>
      <c r="I246" s="2" t="s">
        <v>106</v>
      </c>
      <c r="J246" s="2" t="s">
        <v>94</v>
      </c>
      <c r="K246" s="2">
        <v>274.19</v>
      </c>
      <c r="L246" s="2" t="str">
        <f t="shared" si="18"/>
        <v>February</v>
      </c>
      <c r="M246" s="2" t="str">
        <f t="shared" si="19"/>
        <v>Cancelled</v>
      </c>
      <c r="N246" t="str">
        <f t="shared" si="20"/>
        <v>Cancelled</v>
      </c>
      <c r="O246" t="str">
        <f t="shared" si="21"/>
        <v>Order Cancelled</v>
      </c>
      <c r="P246" t="str">
        <f t="shared" si="22"/>
        <v>Cancelled</v>
      </c>
      <c r="Q246" t="str">
        <f t="shared" si="23"/>
        <v>Cancelled</v>
      </c>
      <c r="R246" t="str">
        <f>_xlfn.XLOOKUP(B246,CustomerMaster!$A$2:$A$287,CustomerMaster!$B$2:$B$287)</f>
        <v>Customer_63</v>
      </c>
      <c r="S246" t="str">
        <f>_xlfn.XLOOKUP(C246,ProductMaster!$A$2:$A$51,ProductMaster!$B$2:$B$51)</f>
        <v>Product_11</v>
      </c>
      <c r="T246" t="str">
        <f>_xlfn.XLOOKUP(G246,RegionMaster!$A$2:$A$5,RegionMaster!$B$2:$B$5)</f>
        <v>B</v>
      </c>
    </row>
    <row r="247" spans="1:20" ht="15.75" customHeight="1">
      <c r="A247" s="2" t="s">
        <v>957</v>
      </c>
      <c r="B247" s="2" t="s">
        <v>286</v>
      </c>
      <c r="C247" s="2" t="s">
        <v>109</v>
      </c>
      <c r="D247" s="3">
        <v>45753</v>
      </c>
      <c r="E247" s="3">
        <v>45757</v>
      </c>
      <c r="F247" s="4"/>
      <c r="G247" s="2" t="s">
        <v>7</v>
      </c>
      <c r="H247" s="2" t="s">
        <v>16</v>
      </c>
      <c r="I247" s="2" t="s">
        <v>106</v>
      </c>
      <c r="J247" s="2" t="s">
        <v>94</v>
      </c>
      <c r="K247" s="2">
        <v>4655.93</v>
      </c>
      <c r="L247" s="2" t="str">
        <f t="shared" si="18"/>
        <v>April</v>
      </c>
      <c r="M247" s="2" t="str">
        <f t="shared" si="19"/>
        <v>April</v>
      </c>
      <c r="N247" t="str">
        <f t="shared" si="20"/>
        <v>Delivered</v>
      </c>
      <c r="O247">
        <f t="shared" si="21"/>
        <v>4</v>
      </c>
      <c r="P247" t="str">
        <f t="shared" si="22"/>
        <v>Completed</v>
      </c>
      <c r="Q247" t="str">
        <f t="shared" si="23"/>
        <v>Slow</v>
      </c>
      <c r="R247" t="str">
        <f>_xlfn.XLOOKUP(B247,CustomerMaster!$A$2:$A$287,CustomerMaster!$B$2:$B$287)</f>
        <v>Customer_55</v>
      </c>
      <c r="S247" t="str">
        <f>_xlfn.XLOOKUP(C247,ProductMaster!$A$2:$A$51,ProductMaster!$B$2:$B$51)</f>
        <v>Product_20</v>
      </c>
      <c r="T247" t="str">
        <f>_xlfn.XLOOKUP(G247,RegionMaster!$A$2:$A$5,RegionMaster!$B$2:$B$5)</f>
        <v>A</v>
      </c>
    </row>
    <row r="248" spans="1:20" ht="15.75" customHeight="1">
      <c r="A248" s="2" t="s">
        <v>958</v>
      </c>
      <c r="B248" s="2" t="s">
        <v>149</v>
      </c>
      <c r="C248" s="2" t="s">
        <v>191</v>
      </c>
      <c r="D248" s="3">
        <v>45685</v>
      </c>
      <c r="E248" s="4"/>
      <c r="F248" s="3">
        <v>45687</v>
      </c>
      <c r="G248" s="2" t="s">
        <v>17</v>
      </c>
      <c r="H248" s="2" t="s">
        <v>59</v>
      </c>
      <c r="I248" s="2" t="s">
        <v>90</v>
      </c>
      <c r="J248" s="2" t="s">
        <v>107</v>
      </c>
      <c r="K248" s="2">
        <v>2255.2800000000002</v>
      </c>
      <c r="L248" s="2" t="str">
        <f t="shared" si="18"/>
        <v>January</v>
      </c>
      <c r="M248" s="2" t="str">
        <f t="shared" si="19"/>
        <v>Cancelled</v>
      </c>
      <c r="N248" t="str">
        <f t="shared" si="20"/>
        <v>Cancelled</v>
      </c>
      <c r="O248" t="str">
        <f t="shared" si="21"/>
        <v>Order Cancelled</v>
      </c>
      <c r="P248" t="str">
        <f t="shared" si="22"/>
        <v>Cancelled</v>
      </c>
      <c r="Q248" t="str">
        <f t="shared" si="23"/>
        <v>Cancelled</v>
      </c>
      <c r="R248" t="str">
        <f>_xlfn.XLOOKUP(B248,CustomerMaster!$A$2:$A$287,CustomerMaster!$B$2:$B$287)</f>
        <v>Customer_19</v>
      </c>
      <c r="S248" t="str">
        <f>_xlfn.XLOOKUP(C248,ProductMaster!$A$2:$A$51,ProductMaster!$B$2:$B$51)</f>
        <v>Product_43</v>
      </c>
      <c r="T248" t="str">
        <f>_xlfn.XLOOKUP(G248,RegionMaster!$A$2:$A$5,RegionMaster!$B$2:$B$5)</f>
        <v>B</v>
      </c>
    </row>
    <row r="249" spans="1:20" ht="15.75" customHeight="1">
      <c r="A249" s="2" t="s">
        <v>959</v>
      </c>
      <c r="B249" s="2" t="s">
        <v>190</v>
      </c>
      <c r="C249" s="2" t="s">
        <v>157</v>
      </c>
      <c r="D249" s="3">
        <v>45667</v>
      </c>
      <c r="E249" s="4"/>
      <c r="F249" s="3">
        <v>45669</v>
      </c>
      <c r="G249" s="2" t="s">
        <v>17</v>
      </c>
      <c r="H249" s="2" t="s">
        <v>59</v>
      </c>
      <c r="I249" s="2" t="s">
        <v>90</v>
      </c>
      <c r="J249" s="2" t="s">
        <v>133</v>
      </c>
      <c r="K249" s="2">
        <v>4839.9399999999996</v>
      </c>
      <c r="L249" s="2" t="str">
        <f t="shared" si="18"/>
        <v>January</v>
      </c>
      <c r="M249" s="2" t="str">
        <f t="shared" si="19"/>
        <v>Cancelled</v>
      </c>
      <c r="N249" t="str">
        <f t="shared" si="20"/>
        <v>Cancelled</v>
      </c>
      <c r="O249" t="str">
        <f t="shared" si="21"/>
        <v>Order Cancelled</v>
      </c>
      <c r="P249" t="str">
        <f t="shared" si="22"/>
        <v>Cancelled</v>
      </c>
      <c r="Q249" t="str">
        <f t="shared" si="23"/>
        <v>Cancelled</v>
      </c>
      <c r="R249" t="str">
        <f>_xlfn.XLOOKUP(B249,CustomerMaster!$A$2:$A$287,CustomerMaster!$B$2:$B$287)</f>
        <v>Customer_25</v>
      </c>
      <c r="S249" t="str">
        <f>_xlfn.XLOOKUP(C249,ProductMaster!$A$2:$A$51,ProductMaster!$B$2:$B$51)</f>
        <v>Product_33</v>
      </c>
      <c r="T249" t="str">
        <f>_xlfn.XLOOKUP(G249,RegionMaster!$A$2:$A$5,RegionMaster!$B$2:$B$5)</f>
        <v>B</v>
      </c>
    </row>
    <row r="250" spans="1:20" ht="15.75" customHeight="1">
      <c r="A250" s="2" t="s">
        <v>960</v>
      </c>
      <c r="B250" s="2" t="s">
        <v>593</v>
      </c>
      <c r="C250" s="2" t="s">
        <v>20</v>
      </c>
      <c r="D250" s="3">
        <v>45698</v>
      </c>
      <c r="E250" s="4"/>
      <c r="F250" s="3">
        <v>45700</v>
      </c>
      <c r="G250" s="2" t="s">
        <v>7</v>
      </c>
      <c r="H250" s="2" t="s">
        <v>37</v>
      </c>
      <c r="I250" s="2" t="s">
        <v>106</v>
      </c>
      <c r="J250" s="2" t="s">
        <v>133</v>
      </c>
      <c r="K250" s="2">
        <v>4825.38</v>
      </c>
      <c r="L250" s="2" t="str">
        <f t="shared" si="18"/>
        <v>February</v>
      </c>
      <c r="M250" s="2" t="str">
        <f t="shared" si="19"/>
        <v>Cancelled</v>
      </c>
      <c r="N250" t="str">
        <f t="shared" si="20"/>
        <v>Cancelled</v>
      </c>
      <c r="O250" t="str">
        <f t="shared" si="21"/>
        <v>Order Cancelled</v>
      </c>
      <c r="P250" t="str">
        <f t="shared" si="22"/>
        <v>Cancelled</v>
      </c>
      <c r="Q250" t="str">
        <f t="shared" si="23"/>
        <v>Cancelled</v>
      </c>
      <c r="R250" t="str">
        <f>_xlfn.XLOOKUP(B250,CustomerMaster!$A$2:$A$287,CustomerMaster!$B$2:$B$287)</f>
        <v>Customer_184</v>
      </c>
      <c r="S250" t="str">
        <f>_xlfn.XLOOKUP(C250,ProductMaster!$A$2:$A$51,ProductMaster!$B$2:$B$51)</f>
        <v>Product_1</v>
      </c>
      <c r="T250" t="str">
        <f>_xlfn.XLOOKUP(G250,RegionMaster!$A$2:$A$5,RegionMaster!$B$2:$B$5)</f>
        <v>A</v>
      </c>
    </row>
    <row r="251" spans="1:20" ht="15.75" customHeight="1">
      <c r="A251" s="2" t="s">
        <v>961</v>
      </c>
      <c r="B251" s="2" t="s">
        <v>496</v>
      </c>
      <c r="C251" s="2" t="s">
        <v>191</v>
      </c>
      <c r="D251" s="3">
        <v>45668</v>
      </c>
      <c r="E251" s="3">
        <v>45670</v>
      </c>
      <c r="F251" s="4"/>
      <c r="G251" s="2" t="s">
        <v>45</v>
      </c>
      <c r="H251" s="2" t="s">
        <v>59</v>
      </c>
      <c r="I251" s="2" t="s">
        <v>106</v>
      </c>
      <c r="J251" s="2" t="s">
        <v>94</v>
      </c>
      <c r="K251" s="2">
        <v>4294.45</v>
      </c>
      <c r="L251" s="2" t="str">
        <f t="shared" si="18"/>
        <v>January</v>
      </c>
      <c r="M251" s="2" t="str">
        <f t="shared" si="19"/>
        <v>January</v>
      </c>
      <c r="N251" t="str">
        <f t="shared" si="20"/>
        <v>Delivered</v>
      </c>
      <c r="O251">
        <f t="shared" si="21"/>
        <v>2</v>
      </c>
      <c r="P251" t="str">
        <f t="shared" si="22"/>
        <v>Completed</v>
      </c>
      <c r="Q251" t="str">
        <f t="shared" si="23"/>
        <v>Fast</v>
      </c>
      <c r="R251" t="str">
        <f>_xlfn.XLOOKUP(B251,CustomerMaster!$A$2:$A$287,CustomerMaster!$B$2:$B$287)</f>
        <v>Customer_145</v>
      </c>
      <c r="S251" t="str">
        <f>_xlfn.XLOOKUP(C251,ProductMaster!$A$2:$A$51,ProductMaster!$B$2:$B$51)</f>
        <v>Product_43</v>
      </c>
      <c r="T251" t="str">
        <f>_xlfn.XLOOKUP(G251,RegionMaster!$A$2:$A$5,RegionMaster!$B$2:$B$5)</f>
        <v>D</v>
      </c>
    </row>
    <row r="252" spans="1:20" ht="15.75" customHeight="1">
      <c r="A252" s="2" t="s">
        <v>962</v>
      </c>
      <c r="B252" s="2" t="s">
        <v>235</v>
      </c>
      <c r="C252" s="2" t="s">
        <v>43</v>
      </c>
      <c r="D252" s="3">
        <v>45752</v>
      </c>
      <c r="E252" s="4"/>
      <c r="F252" s="3">
        <v>45752</v>
      </c>
      <c r="G252" s="2" t="s">
        <v>17</v>
      </c>
      <c r="H252" s="2" t="s">
        <v>59</v>
      </c>
      <c r="I252" s="2" t="s">
        <v>90</v>
      </c>
      <c r="J252" s="2" t="s">
        <v>133</v>
      </c>
      <c r="K252" s="2">
        <v>1613.35</v>
      </c>
      <c r="L252" s="2" t="str">
        <f t="shared" si="18"/>
        <v>April</v>
      </c>
      <c r="M252" s="2" t="str">
        <f t="shared" si="19"/>
        <v>Cancelled</v>
      </c>
      <c r="N252" t="str">
        <f t="shared" si="20"/>
        <v>Cancelled</v>
      </c>
      <c r="O252" t="str">
        <f t="shared" si="21"/>
        <v>Order Cancelled</v>
      </c>
      <c r="P252" t="str">
        <f t="shared" si="22"/>
        <v>Cancelled</v>
      </c>
      <c r="Q252" t="str">
        <f t="shared" si="23"/>
        <v>Cancelled</v>
      </c>
      <c r="R252" t="str">
        <f>_xlfn.XLOOKUP(B252,CustomerMaster!$A$2:$A$287,CustomerMaster!$B$2:$B$287)</f>
        <v>Customer_36</v>
      </c>
      <c r="S252" t="str">
        <f>_xlfn.XLOOKUP(C252,ProductMaster!$A$2:$A$51,ProductMaster!$B$2:$B$51)</f>
        <v>Product_5</v>
      </c>
      <c r="T252" t="str">
        <f>_xlfn.XLOOKUP(G252,RegionMaster!$A$2:$A$5,RegionMaster!$B$2:$B$5)</f>
        <v>B</v>
      </c>
    </row>
    <row r="253" spans="1:20" ht="15.75" customHeight="1">
      <c r="A253" s="2" t="s">
        <v>963</v>
      </c>
      <c r="B253" s="2" t="s">
        <v>454</v>
      </c>
      <c r="C253" s="2" t="s">
        <v>191</v>
      </c>
      <c r="D253" s="3">
        <v>45731</v>
      </c>
      <c r="E253" s="4"/>
      <c r="F253" s="3">
        <v>45733</v>
      </c>
      <c r="G253" s="2" t="s">
        <v>7</v>
      </c>
      <c r="H253" s="2" t="s">
        <v>16</v>
      </c>
      <c r="I253" s="2" t="s">
        <v>195</v>
      </c>
      <c r="J253" s="2" t="s">
        <v>133</v>
      </c>
      <c r="K253" s="2">
        <v>2048.4699999999998</v>
      </c>
      <c r="L253" s="2" t="str">
        <f t="shared" si="18"/>
        <v>March</v>
      </c>
      <c r="M253" s="2" t="str">
        <f t="shared" si="19"/>
        <v>Cancelled</v>
      </c>
      <c r="N253" t="str">
        <f t="shared" si="20"/>
        <v>Cancelled</v>
      </c>
      <c r="O253" t="str">
        <f t="shared" si="21"/>
        <v>Order Cancelled</v>
      </c>
      <c r="P253" t="str">
        <f t="shared" si="22"/>
        <v>Cancelled</v>
      </c>
      <c r="Q253" t="str">
        <f t="shared" si="23"/>
        <v>Cancelled</v>
      </c>
      <c r="R253" t="str">
        <f>_xlfn.XLOOKUP(B253,CustomerMaster!$A$2:$A$287,CustomerMaster!$B$2:$B$287)</f>
        <v>Customer_197</v>
      </c>
      <c r="S253" t="str">
        <f>_xlfn.XLOOKUP(C253,ProductMaster!$A$2:$A$51,ProductMaster!$B$2:$B$51)</f>
        <v>Product_43</v>
      </c>
      <c r="T253" t="str">
        <f>_xlfn.XLOOKUP(G253,RegionMaster!$A$2:$A$5,RegionMaster!$B$2:$B$5)</f>
        <v>A</v>
      </c>
    </row>
    <row r="254" spans="1:20" ht="15.75" customHeight="1">
      <c r="A254" s="2" t="s">
        <v>964</v>
      </c>
      <c r="B254" s="2" t="s">
        <v>394</v>
      </c>
      <c r="C254" s="2" t="s">
        <v>114</v>
      </c>
      <c r="D254" s="3">
        <v>45744</v>
      </c>
      <c r="E254" s="4"/>
      <c r="F254" s="3">
        <v>45745</v>
      </c>
      <c r="G254" s="2" t="s">
        <v>22</v>
      </c>
      <c r="H254" s="2" t="s">
        <v>54</v>
      </c>
      <c r="I254" s="2" t="s">
        <v>90</v>
      </c>
      <c r="J254" s="2" t="s">
        <v>94</v>
      </c>
      <c r="K254" s="2">
        <v>4285.46</v>
      </c>
      <c r="L254" s="2" t="str">
        <f t="shared" si="18"/>
        <v>March</v>
      </c>
      <c r="M254" s="2" t="str">
        <f t="shared" si="19"/>
        <v>Cancelled</v>
      </c>
      <c r="N254" t="str">
        <f t="shared" si="20"/>
        <v>Cancelled</v>
      </c>
      <c r="O254" t="str">
        <f t="shared" si="21"/>
        <v>Order Cancelled</v>
      </c>
      <c r="P254" t="str">
        <f t="shared" si="22"/>
        <v>Cancelled</v>
      </c>
      <c r="Q254" t="str">
        <f t="shared" si="23"/>
        <v>Cancelled</v>
      </c>
      <c r="R254" t="str">
        <f>_xlfn.XLOOKUP(B254,CustomerMaster!$A$2:$A$287,CustomerMaster!$B$2:$B$287)</f>
        <v>Customer_102</v>
      </c>
      <c r="S254" t="str">
        <f>_xlfn.XLOOKUP(C254,ProductMaster!$A$2:$A$51,ProductMaster!$B$2:$B$51)</f>
        <v>Product_21</v>
      </c>
      <c r="T254" t="str">
        <f>_xlfn.XLOOKUP(G254,RegionMaster!$A$2:$A$5,RegionMaster!$B$2:$B$5)</f>
        <v>C</v>
      </c>
    </row>
    <row r="255" spans="1:20" ht="15.75" customHeight="1">
      <c r="A255" s="2" t="s">
        <v>965</v>
      </c>
      <c r="B255" s="2" t="s">
        <v>332</v>
      </c>
      <c r="C255" s="2" t="s">
        <v>142</v>
      </c>
      <c r="D255" s="3">
        <v>45715</v>
      </c>
      <c r="E255" s="3">
        <v>45720</v>
      </c>
      <c r="F255" s="4"/>
      <c r="G255" s="2" t="s">
        <v>22</v>
      </c>
      <c r="H255" s="2" t="s">
        <v>37</v>
      </c>
      <c r="I255" s="2" t="s">
        <v>90</v>
      </c>
      <c r="J255" s="2" t="s">
        <v>133</v>
      </c>
      <c r="K255" s="2">
        <v>1721.23</v>
      </c>
      <c r="L255" s="2" t="str">
        <f t="shared" si="18"/>
        <v>February</v>
      </c>
      <c r="M255" s="2" t="str">
        <f t="shared" si="19"/>
        <v>March</v>
      </c>
      <c r="N255" t="str">
        <f t="shared" si="20"/>
        <v>Delivered</v>
      </c>
      <c r="O255">
        <f t="shared" si="21"/>
        <v>5</v>
      </c>
      <c r="P255" t="str">
        <f t="shared" si="22"/>
        <v>Completed</v>
      </c>
      <c r="Q255" t="str">
        <f t="shared" si="23"/>
        <v>Slow</v>
      </c>
      <c r="R255" t="str">
        <f>_xlfn.XLOOKUP(B255,CustomerMaster!$A$2:$A$287,CustomerMaster!$B$2:$B$287)</f>
        <v>Customer_75</v>
      </c>
      <c r="S255" t="str">
        <f>_xlfn.XLOOKUP(C255,ProductMaster!$A$2:$A$51,ProductMaster!$B$2:$B$51)</f>
        <v>Product_29</v>
      </c>
      <c r="T255" t="str">
        <f>_xlfn.XLOOKUP(G255,RegionMaster!$A$2:$A$5,RegionMaster!$B$2:$B$5)</f>
        <v>C</v>
      </c>
    </row>
    <row r="256" spans="1:20" ht="15.75" customHeight="1">
      <c r="A256" s="2" t="s">
        <v>966</v>
      </c>
      <c r="B256" s="2" t="s">
        <v>113</v>
      </c>
      <c r="C256" s="2" t="s">
        <v>39</v>
      </c>
      <c r="D256" s="3">
        <v>45718</v>
      </c>
      <c r="E256" s="4"/>
      <c r="F256" s="3">
        <v>45720</v>
      </c>
      <c r="G256" s="2" t="s">
        <v>22</v>
      </c>
      <c r="H256" s="2" t="s">
        <v>27</v>
      </c>
      <c r="I256" s="2" t="s">
        <v>178</v>
      </c>
      <c r="J256" s="2" t="s">
        <v>133</v>
      </c>
      <c r="K256" s="2">
        <v>1013.57</v>
      </c>
      <c r="L256" s="2" t="str">
        <f t="shared" si="18"/>
        <v>March</v>
      </c>
      <c r="M256" s="2" t="str">
        <f t="shared" si="19"/>
        <v>Cancelled</v>
      </c>
      <c r="N256" t="str">
        <f t="shared" si="20"/>
        <v>Cancelled</v>
      </c>
      <c r="O256" t="str">
        <f t="shared" si="21"/>
        <v>Order Cancelled</v>
      </c>
      <c r="P256" t="str">
        <f t="shared" si="22"/>
        <v>Cancelled</v>
      </c>
      <c r="Q256" t="str">
        <f t="shared" si="23"/>
        <v>Cancelled</v>
      </c>
      <c r="R256" t="str">
        <f>_xlfn.XLOOKUP(B256,CustomerMaster!$A$2:$A$287,CustomerMaster!$B$2:$B$287)</f>
        <v>Customer_136</v>
      </c>
      <c r="S256" t="str">
        <f>_xlfn.XLOOKUP(C256,ProductMaster!$A$2:$A$51,ProductMaster!$B$2:$B$51)</f>
        <v>Product_4</v>
      </c>
      <c r="T256" t="str">
        <f>_xlfn.XLOOKUP(G256,RegionMaster!$A$2:$A$5,RegionMaster!$B$2:$B$5)</f>
        <v>C</v>
      </c>
    </row>
    <row r="257" spans="1:20" ht="15.75" customHeight="1">
      <c r="A257" s="2" t="s">
        <v>967</v>
      </c>
      <c r="B257" s="2" t="s">
        <v>156</v>
      </c>
      <c r="C257" s="2" t="s">
        <v>142</v>
      </c>
      <c r="D257" s="3">
        <v>45762</v>
      </c>
      <c r="E257" s="3">
        <v>45764</v>
      </c>
      <c r="F257" s="4"/>
      <c r="G257" s="2" t="s">
        <v>45</v>
      </c>
      <c r="H257" s="2" t="s">
        <v>59</v>
      </c>
      <c r="I257" s="2" t="s">
        <v>178</v>
      </c>
      <c r="J257" s="2" t="s">
        <v>94</v>
      </c>
      <c r="K257" s="2">
        <v>2872.65</v>
      </c>
      <c r="L257" s="2" t="str">
        <f t="shared" si="18"/>
        <v>April</v>
      </c>
      <c r="M257" s="2" t="str">
        <f t="shared" si="19"/>
        <v>April</v>
      </c>
      <c r="N257" t="str">
        <f t="shared" si="20"/>
        <v>Delivered</v>
      </c>
      <c r="O257">
        <f t="shared" si="21"/>
        <v>2</v>
      </c>
      <c r="P257" t="str">
        <f t="shared" si="22"/>
        <v>Completed</v>
      </c>
      <c r="Q257" t="str">
        <f t="shared" si="23"/>
        <v>Fast</v>
      </c>
      <c r="R257" t="str">
        <f>_xlfn.XLOOKUP(B257,CustomerMaster!$A$2:$A$287,CustomerMaster!$B$2:$B$287)</f>
        <v>Customer_20</v>
      </c>
      <c r="S257" t="str">
        <f>_xlfn.XLOOKUP(C257,ProductMaster!$A$2:$A$51,ProductMaster!$B$2:$B$51)</f>
        <v>Product_29</v>
      </c>
      <c r="T257" t="str">
        <f>_xlfn.XLOOKUP(G257,RegionMaster!$A$2:$A$5,RegionMaster!$B$2:$B$5)</f>
        <v>D</v>
      </c>
    </row>
    <row r="258" spans="1:20" ht="15.75" customHeight="1">
      <c r="A258" s="2" t="s">
        <v>968</v>
      </c>
      <c r="B258" s="2" t="s">
        <v>466</v>
      </c>
      <c r="C258" s="2" t="s">
        <v>63</v>
      </c>
      <c r="D258" s="3">
        <v>45756</v>
      </c>
      <c r="E258" s="4"/>
      <c r="F258" s="3">
        <v>45758</v>
      </c>
      <c r="G258" s="2" t="s">
        <v>45</v>
      </c>
      <c r="H258" s="2" t="s">
        <v>27</v>
      </c>
      <c r="I258" s="2" t="s">
        <v>195</v>
      </c>
      <c r="J258" s="2" t="s">
        <v>107</v>
      </c>
      <c r="K258" s="2">
        <v>4693.54</v>
      </c>
      <c r="L258" s="2" t="str">
        <f t="shared" si="18"/>
        <v>April</v>
      </c>
      <c r="M258" s="2" t="str">
        <f t="shared" si="19"/>
        <v>Cancelled</v>
      </c>
      <c r="N258" t="str">
        <f t="shared" si="20"/>
        <v>Cancelled</v>
      </c>
      <c r="O258" t="str">
        <f t="shared" si="21"/>
        <v>Order Cancelled</v>
      </c>
      <c r="P258" t="str">
        <f t="shared" si="22"/>
        <v>Cancelled</v>
      </c>
      <c r="Q258" t="str">
        <f t="shared" si="23"/>
        <v>Cancelled</v>
      </c>
      <c r="R258" t="str">
        <f>_xlfn.XLOOKUP(B258,CustomerMaster!$A$2:$A$287,CustomerMaster!$B$2:$B$287)</f>
        <v>Customer_132</v>
      </c>
      <c r="S258" t="str">
        <f>_xlfn.XLOOKUP(C258,ProductMaster!$A$2:$A$51,ProductMaster!$B$2:$B$51)</f>
        <v>Product_8</v>
      </c>
      <c r="T258" t="str">
        <f>_xlfn.XLOOKUP(G258,RegionMaster!$A$2:$A$5,RegionMaster!$B$2:$B$5)</f>
        <v>D</v>
      </c>
    </row>
    <row r="259" spans="1:20" ht="15.75" customHeight="1">
      <c r="A259" s="2" t="s">
        <v>969</v>
      </c>
      <c r="B259" s="2" t="s">
        <v>223</v>
      </c>
      <c r="C259" s="2" t="s">
        <v>148</v>
      </c>
      <c r="D259" s="3">
        <v>45663</v>
      </c>
      <c r="E259" s="4"/>
      <c r="F259" s="3">
        <v>45665</v>
      </c>
      <c r="G259" s="2" t="s">
        <v>17</v>
      </c>
      <c r="H259" s="2" t="s">
        <v>59</v>
      </c>
      <c r="I259" s="2" t="s">
        <v>195</v>
      </c>
      <c r="J259" s="2" t="s">
        <v>133</v>
      </c>
      <c r="K259" s="2">
        <v>3540.94</v>
      </c>
      <c r="L259" s="2" t="str">
        <f t="shared" ref="L259:L322" si="24">TEXT(D259,"MMMM")</f>
        <v>January</v>
      </c>
      <c r="M259" s="2" t="str">
        <f t="shared" ref="M259:M322" si="25">IF(NOT(ISBLANK(E259)),TEXT(E259,"MMMM"),"Cancelled")</f>
        <v>Cancelled</v>
      </c>
      <c r="N259" t="str">
        <f t="shared" ref="N259:N322" si="26">IF(F259="","Delivered","Cancelled")</f>
        <v>Cancelled</v>
      </c>
      <c r="O259" t="str">
        <f t="shared" ref="O259:O322" si="27">IF(E259="","Order Cancelled",_xlfn.DAYS(E259,D259))</f>
        <v>Order Cancelled</v>
      </c>
      <c r="P259" t="str">
        <f t="shared" ref="P259:P322" si="28">IF(F259="","Completed","Cancelled")</f>
        <v>Cancelled</v>
      </c>
      <c r="Q259" t="str">
        <f t="shared" ref="Q259:Q322" si="29">IF(O259="Order Cancelled","Cancelled",IF(O259&lt;=2,"Fast","Slow"))</f>
        <v>Cancelled</v>
      </c>
      <c r="R259" t="str">
        <f>_xlfn.XLOOKUP(B259,CustomerMaster!$A$2:$A$287,CustomerMaster!$B$2:$B$287)</f>
        <v>Customer_44</v>
      </c>
      <c r="S259" t="str">
        <f>_xlfn.XLOOKUP(C259,ProductMaster!$A$2:$A$51,ProductMaster!$B$2:$B$51)</f>
        <v>Product_31</v>
      </c>
      <c r="T259" t="str">
        <f>_xlfn.XLOOKUP(G259,RegionMaster!$A$2:$A$5,RegionMaster!$B$2:$B$5)</f>
        <v>B</v>
      </c>
    </row>
    <row r="260" spans="1:20" ht="15.75" customHeight="1">
      <c r="A260" s="2" t="s">
        <v>970</v>
      </c>
      <c r="B260" s="2" t="s">
        <v>305</v>
      </c>
      <c r="C260" s="2" t="s">
        <v>43</v>
      </c>
      <c r="D260" s="3">
        <v>45701</v>
      </c>
      <c r="E260" s="3">
        <v>45704</v>
      </c>
      <c r="F260" s="4"/>
      <c r="G260" s="2" t="s">
        <v>17</v>
      </c>
      <c r="H260" s="2" t="s">
        <v>59</v>
      </c>
      <c r="I260" s="2" t="s">
        <v>195</v>
      </c>
      <c r="J260" s="2" t="s">
        <v>94</v>
      </c>
      <c r="K260" s="2">
        <v>2936.29</v>
      </c>
      <c r="L260" s="2" t="str">
        <f t="shared" si="24"/>
        <v>February</v>
      </c>
      <c r="M260" s="2" t="str">
        <f t="shared" si="25"/>
        <v>February</v>
      </c>
      <c r="N260" t="str">
        <f t="shared" si="26"/>
        <v>Delivered</v>
      </c>
      <c r="O260">
        <f t="shared" si="27"/>
        <v>3</v>
      </c>
      <c r="P260" t="str">
        <f t="shared" si="28"/>
        <v>Completed</v>
      </c>
      <c r="Q260" t="str">
        <f t="shared" si="29"/>
        <v>Slow</v>
      </c>
      <c r="R260" t="str">
        <f>_xlfn.XLOOKUP(B260,CustomerMaster!$A$2:$A$287,CustomerMaster!$B$2:$B$287)</f>
        <v>Customer_63</v>
      </c>
      <c r="S260" t="str">
        <f>_xlfn.XLOOKUP(C260,ProductMaster!$A$2:$A$51,ProductMaster!$B$2:$B$51)</f>
        <v>Product_5</v>
      </c>
      <c r="T260" t="str">
        <f>_xlfn.XLOOKUP(G260,RegionMaster!$A$2:$A$5,RegionMaster!$B$2:$B$5)</f>
        <v>B</v>
      </c>
    </row>
    <row r="261" spans="1:20" ht="15.75" customHeight="1">
      <c r="A261" s="2" t="s">
        <v>971</v>
      </c>
      <c r="B261" s="2" t="s">
        <v>520</v>
      </c>
      <c r="C261" s="2" t="s">
        <v>130</v>
      </c>
      <c r="D261" s="3">
        <v>45708</v>
      </c>
      <c r="E261" s="4"/>
      <c r="F261" s="3">
        <v>45708</v>
      </c>
      <c r="G261" s="2" t="s">
        <v>7</v>
      </c>
      <c r="H261" s="2" t="s">
        <v>37</v>
      </c>
      <c r="I261" s="2" t="s">
        <v>121</v>
      </c>
      <c r="J261" s="2" t="s">
        <v>107</v>
      </c>
      <c r="K261" s="2">
        <v>666.45</v>
      </c>
      <c r="L261" s="2" t="str">
        <f t="shared" si="24"/>
        <v>February</v>
      </c>
      <c r="M261" s="2" t="str">
        <f t="shared" si="25"/>
        <v>Cancelled</v>
      </c>
      <c r="N261" t="str">
        <f t="shared" si="26"/>
        <v>Cancelled</v>
      </c>
      <c r="O261" t="str">
        <f t="shared" si="27"/>
        <v>Order Cancelled</v>
      </c>
      <c r="P261" t="str">
        <f t="shared" si="28"/>
        <v>Cancelled</v>
      </c>
      <c r="Q261" t="str">
        <f t="shared" si="29"/>
        <v>Cancelled</v>
      </c>
      <c r="R261" t="str">
        <f>_xlfn.XLOOKUP(B261,CustomerMaster!$A$2:$A$287,CustomerMaster!$B$2:$B$287)</f>
        <v>Customer_154</v>
      </c>
      <c r="S261" t="str">
        <f>_xlfn.XLOOKUP(C261,ProductMaster!$A$2:$A$51,ProductMaster!$B$2:$B$51)</f>
        <v>Product_26</v>
      </c>
      <c r="T261" t="str">
        <f>_xlfn.XLOOKUP(G261,RegionMaster!$A$2:$A$5,RegionMaster!$B$2:$B$5)</f>
        <v>A</v>
      </c>
    </row>
    <row r="262" spans="1:20" ht="15.75" customHeight="1">
      <c r="A262" s="2" t="s">
        <v>972</v>
      </c>
      <c r="B262" s="2" t="s">
        <v>251</v>
      </c>
      <c r="C262" s="2" t="s">
        <v>207</v>
      </c>
      <c r="D262" s="3">
        <v>45685</v>
      </c>
      <c r="E262" s="3">
        <v>45687</v>
      </c>
      <c r="F262" s="4"/>
      <c r="G262" s="2" t="s">
        <v>17</v>
      </c>
      <c r="H262" s="2" t="s">
        <v>37</v>
      </c>
      <c r="I262" s="2" t="s">
        <v>106</v>
      </c>
      <c r="J262" s="2" t="s">
        <v>133</v>
      </c>
      <c r="K262" s="2">
        <v>3152.03</v>
      </c>
      <c r="L262" s="2" t="str">
        <f t="shared" si="24"/>
        <v>January</v>
      </c>
      <c r="M262" s="2" t="str">
        <f t="shared" si="25"/>
        <v>January</v>
      </c>
      <c r="N262" t="str">
        <f t="shared" si="26"/>
        <v>Delivered</v>
      </c>
      <c r="O262">
        <f t="shared" si="27"/>
        <v>2</v>
      </c>
      <c r="P262" t="str">
        <f t="shared" si="28"/>
        <v>Completed</v>
      </c>
      <c r="Q262" t="str">
        <f t="shared" si="29"/>
        <v>Fast</v>
      </c>
      <c r="R262" t="str">
        <f>_xlfn.XLOOKUP(B262,CustomerMaster!$A$2:$A$287,CustomerMaster!$B$2:$B$287)</f>
        <v>Customer_42</v>
      </c>
      <c r="S262" t="str">
        <f>_xlfn.XLOOKUP(C262,ProductMaster!$A$2:$A$51,ProductMaster!$B$2:$B$51)</f>
        <v>Product_47</v>
      </c>
      <c r="T262" t="str">
        <f>_xlfn.XLOOKUP(G262,RegionMaster!$A$2:$A$5,RegionMaster!$B$2:$B$5)</f>
        <v>B</v>
      </c>
    </row>
    <row r="263" spans="1:20" ht="15.75" customHeight="1">
      <c r="A263" s="2" t="s">
        <v>973</v>
      </c>
      <c r="B263" s="2" t="s">
        <v>386</v>
      </c>
      <c r="C263" s="2" t="s">
        <v>125</v>
      </c>
      <c r="D263" s="3">
        <v>45767</v>
      </c>
      <c r="E263" s="3">
        <v>45773</v>
      </c>
      <c r="F263" s="4"/>
      <c r="G263" s="2" t="s">
        <v>17</v>
      </c>
      <c r="H263" s="2" t="s">
        <v>37</v>
      </c>
      <c r="I263" s="2" t="s">
        <v>90</v>
      </c>
      <c r="J263" s="2" t="s">
        <v>133</v>
      </c>
      <c r="K263" s="2">
        <v>4952.26</v>
      </c>
      <c r="L263" s="2" t="str">
        <f t="shared" si="24"/>
        <v>April</v>
      </c>
      <c r="M263" s="2" t="str">
        <f t="shared" si="25"/>
        <v>April</v>
      </c>
      <c r="N263" t="str">
        <f t="shared" si="26"/>
        <v>Delivered</v>
      </c>
      <c r="O263">
        <f t="shared" si="27"/>
        <v>6</v>
      </c>
      <c r="P263" t="str">
        <f t="shared" si="28"/>
        <v>Completed</v>
      </c>
      <c r="Q263" t="str">
        <f t="shared" si="29"/>
        <v>Slow</v>
      </c>
      <c r="R263" t="str">
        <f>_xlfn.XLOOKUP(B263,CustomerMaster!$A$2:$A$287,CustomerMaster!$B$2:$B$287)</f>
        <v>Customer_99</v>
      </c>
      <c r="S263" t="str">
        <f>_xlfn.XLOOKUP(C263,ProductMaster!$A$2:$A$51,ProductMaster!$B$2:$B$51)</f>
        <v>Product_24</v>
      </c>
      <c r="T263" t="str">
        <f>_xlfn.XLOOKUP(G263,RegionMaster!$A$2:$A$5,RegionMaster!$B$2:$B$5)</f>
        <v>B</v>
      </c>
    </row>
    <row r="264" spans="1:20" ht="15.75" customHeight="1">
      <c r="A264" s="2" t="s">
        <v>974</v>
      </c>
      <c r="B264" s="2" t="s">
        <v>693</v>
      </c>
      <c r="C264" s="2" t="s">
        <v>146</v>
      </c>
      <c r="D264" s="3">
        <v>45735</v>
      </c>
      <c r="E264" s="3">
        <v>45739</v>
      </c>
      <c r="F264" s="4"/>
      <c r="G264" s="2" t="s">
        <v>45</v>
      </c>
      <c r="H264" s="2" t="s">
        <v>16</v>
      </c>
      <c r="I264" s="2" t="s">
        <v>178</v>
      </c>
      <c r="J264" s="2" t="s">
        <v>107</v>
      </c>
      <c r="K264" s="2">
        <v>872.4</v>
      </c>
      <c r="L264" s="2" t="str">
        <f t="shared" si="24"/>
        <v>March</v>
      </c>
      <c r="M264" s="2" t="str">
        <f t="shared" si="25"/>
        <v>March</v>
      </c>
      <c r="N264" t="str">
        <f t="shared" si="26"/>
        <v>Delivered</v>
      </c>
      <c r="O264">
        <f t="shared" si="27"/>
        <v>4</v>
      </c>
      <c r="P264" t="str">
        <f t="shared" si="28"/>
        <v>Completed</v>
      </c>
      <c r="Q264" t="str">
        <f t="shared" si="29"/>
        <v>Slow</v>
      </c>
      <c r="R264" t="str">
        <f>_xlfn.XLOOKUP(B264,CustomerMaster!$A$2:$A$287,CustomerMaster!$B$2:$B$287)</f>
        <v>Customer_245</v>
      </c>
      <c r="S264" t="str">
        <f>_xlfn.XLOOKUP(C264,ProductMaster!$A$2:$A$51,ProductMaster!$B$2:$B$51)</f>
        <v>Product_30</v>
      </c>
      <c r="T264" t="str">
        <f>_xlfn.XLOOKUP(G264,RegionMaster!$A$2:$A$5,RegionMaster!$B$2:$B$5)</f>
        <v>D</v>
      </c>
    </row>
    <row r="265" spans="1:20" ht="15.75" customHeight="1">
      <c r="A265" s="2" t="s">
        <v>975</v>
      </c>
      <c r="B265" s="2" t="s">
        <v>441</v>
      </c>
      <c r="C265" s="2" t="s">
        <v>157</v>
      </c>
      <c r="D265" s="3">
        <v>45760</v>
      </c>
      <c r="E265" s="4"/>
      <c r="F265" s="3">
        <v>45760</v>
      </c>
      <c r="G265" s="2" t="s">
        <v>45</v>
      </c>
      <c r="H265" s="2" t="s">
        <v>59</v>
      </c>
      <c r="I265" s="2" t="s">
        <v>121</v>
      </c>
      <c r="J265" s="2" t="s">
        <v>94</v>
      </c>
      <c r="K265" s="2">
        <v>2687.98</v>
      </c>
      <c r="L265" s="2" t="str">
        <f t="shared" si="24"/>
        <v>April</v>
      </c>
      <c r="M265" s="2" t="str">
        <f t="shared" si="25"/>
        <v>Cancelled</v>
      </c>
      <c r="N265" t="str">
        <f t="shared" si="26"/>
        <v>Cancelled</v>
      </c>
      <c r="O265" t="str">
        <f t="shared" si="27"/>
        <v>Order Cancelled</v>
      </c>
      <c r="P265" t="str">
        <f t="shared" si="28"/>
        <v>Cancelled</v>
      </c>
      <c r="Q265" t="str">
        <f t="shared" si="29"/>
        <v>Cancelled</v>
      </c>
      <c r="R265" t="str">
        <f>_xlfn.XLOOKUP(B265,CustomerMaster!$A$2:$A$287,CustomerMaster!$B$2:$B$287)</f>
        <v>Customer_122</v>
      </c>
      <c r="S265" t="str">
        <f>_xlfn.XLOOKUP(C265,ProductMaster!$A$2:$A$51,ProductMaster!$B$2:$B$51)</f>
        <v>Product_33</v>
      </c>
      <c r="T265" t="str">
        <f>_xlfn.XLOOKUP(G265,RegionMaster!$A$2:$A$5,RegionMaster!$B$2:$B$5)</f>
        <v>D</v>
      </c>
    </row>
    <row r="266" spans="1:20" ht="15.75" customHeight="1">
      <c r="A266" s="2" t="s">
        <v>976</v>
      </c>
      <c r="B266" s="2" t="s">
        <v>187</v>
      </c>
      <c r="C266" s="2" t="s">
        <v>199</v>
      </c>
      <c r="D266" s="3">
        <v>45739</v>
      </c>
      <c r="E266" s="3">
        <v>45743</v>
      </c>
      <c r="F266" s="4"/>
      <c r="G266" s="2" t="s">
        <v>45</v>
      </c>
      <c r="H266" s="2" t="s">
        <v>54</v>
      </c>
      <c r="I266" s="2" t="s">
        <v>195</v>
      </c>
      <c r="J266" s="2" t="s">
        <v>133</v>
      </c>
      <c r="K266" s="2">
        <v>4411.3900000000003</v>
      </c>
      <c r="L266" s="2" t="str">
        <f t="shared" si="24"/>
        <v>March</v>
      </c>
      <c r="M266" s="2" t="str">
        <f t="shared" si="25"/>
        <v>March</v>
      </c>
      <c r="N266" t="str">
        <f t="shared" si="26"/>
        <v>Delivered</v>
      </c>
      <c r="O266">
        <f t="shared" si="27"/>
        <v>4</v>
      </c>
      <c r="P266" t="str">
        <f t="shared" si="28"/>
        <v>Completed</v>
      </c>
      <c r="Q266" t="str">
        <f t="shared" si="29"/>
        <v>Slow</v>
      </c>
      <c r="R266" t="str">
        <f>_xlfn.XLOOKUP(B266,CustomerMaster!$A$2:$A$287,CustomerMaster!$B$2:$B$287)</f>
        <v>Customer_60</v>
      </c>
      <c r="S266" t="str">
        <f>_xlfn.XLOOKUP(C266,ProductMaster!$A$2:$A$51,ProductMaster!$B$2:$B$51)</f>
        <v>Product_45</v>
      </c>
      <c r="T266" t="str">
        <f>_xlfn.XLOOKUP(G266,RegionMaster!$A$2:$A$5,RegionMaster!$B$2:$B$5)</f>
        <v>D</v>
      </c>
    </row>
    <row r="267" spans="1:20" ht="15.75" customHeight="1">
      <c r="A267" s="2" t="s">
        <v>977</v>
      </c>
      <c r="B267" s="2" t="s">
        <v>706</v>
      </c>
      <c r="C267" s="2" t="s">
        <v>68</v>
      </c>
      <c r="D267" s="3">
        <v>45665</v>
      </c>
      <c r="E267" s="3">
        <v>45668</v>
      </c>
      <c r="F267" s="4"/>
      <c r="G267" s="2" t="s">
        <v>45</v>
      </c>
      <c r="H267" s="2" t="s">
        <v>37</v>
      </c>
      <c r="I267" s="2" t="s">
        <v>90</v>
      </c>
      <c r="J267" s="2" t="s">
        <v>94</v>
      </c>
      <c r="K267" s="2">
        <v>3755.69</v>
      </c>
      <c r="L267" s="2" t="str">
        <f t="shared" si="24"/>
        <v>January</v>
      </c>
      <c r="M267" s="2" t="str">
        <f t="shared" si="25"/>
        <v>January</v>
      </c>
      <c r="N267" t="str">
        <f t="shared" si="26"/>
        <v>Delivered</v>
      </c>
      <c r="O267">
        <f t="shared" si="27"/>
        <v>3</v>
      </c>
      <c r="P267" t="str">
        <f t="shared" si="28"/>
        <v>Completed</v>
      </c>
      <c r="Q267" t="str">
        <f t="shared" si="29"/>
        <v>Slow</v>
      </c>
      <c r="R267" t="str">
        <f>_xlfn.XLOOKUP(B267,CustomerMaster!$A$2:$A$287,CustomerMaster!$B$2:$B$287)</f>
        <v>Customer_234</v>
      </c>
      <c r="S267" t="str">
        <f>_xlfn.XLOOKUP(C267,ProductMaster!$A$2:$A$51,ProductMaster!$B$2:$B$51)</f>
        <v>Product_13</v>
      </c>
      <c r="T267" t="str">
        <f>_xlfn.XLOOKUP(G267,RegionMaster!$A$2:$A$5,RegionMaster!$B$2:$B$5)</f>
        <v>D</v>
      </c>
    </row>
    <row r="268" spans="1:20" ht="15.75" customHeight="1">
      <c r="A268" s="2" t="s">
        <v>978</v>
      </c>
      <c r="B268" s="2" t="s">
        <v>396</v>
      </c>
      <c r="C268" s="2" t="s">
        <v>153</v>
      </c>
      <c r="D268" s="3">
        <v>45659</v>
      </c>
      <c r="E268" s="3">
        <v>45663</v>
      </c>
      <c r="F268" s="4"/>
      <c r="G268" s="2" t="s">
        <v>7</v>
      </c>
      <c r="H268" s="2" t="s">
        <v>16</v>
      </c>
      <c r="I268" s="2" t="s">
        <v>178</v>
      </c>
      <c r="J268" s="2" t="s">
        <v>107</v>
      </c>
      <c r="K268" s="2">
        <v>3545.68</v>
      </c>
      <c r="L268" s="2" t="str">
        <f t="shared" si="24"/>
        <v>January</v>
      </c>
      <c r="M268" s="2" t="str">
        <f t="shared" si="25"/>
        <v>January</v>
      </c>
      <c r="N268" t="str">
        <f t="shared" si="26"/>
        <v>Delivered</v>
      </c>
      <c r="O268">
        <f t="shared" si="27"/>
        <v>4</v>
      </c>
      <c r="P268" t="str">
        <f t="shared" si="28"/>
        <v>Completed</v>
      </c>
      <c r="Q268" t="str">
        <f t="shared" si="29"/>
        <v>Slow</v>
      </c>
      <c r="R268" t="str">
        <f>_xlfn.XLOOKUP(B268,CustomerMaster!$A$2:$A$287,CustomerMaster!$B$2:$B$287)</f>
        <v>Customer_103</v>
      </c>
      <c r="S268" t="str">
        <f>_xlfn.XLOOKUP(C268,ProductMaster!$A$2:$A$51,ProductMaster!$B$2:$B$51)</f>
        <v>Product_32</v>
      </c>
      <c r="T268" t="str">
        <f>_xlfn.XLOOKUP(G268,RegionMaster!$A$2:$A$5,RegionMaster!$B$2:$B$5)</f>
        <v>A</v>
      </c>
    </row>
    <row r="269" spans="1:20" ht="15.75" customHeight="1">
      <c r="A269" s="2" t="s">
        <v>979</v>
      </c>
      <c r="B269" s="2" t="s">
        <v>276</v>
      </c>
      <c r="C269" s="2" t="s">
        <v>128</v>
      </c>
      <c r="D269" s="3">
        <v>45761</v>
      </c>
      <c r="E269" s="4"/>
      <c r="F269" s="3">
        <v>45763</v>
      </c>
      <c r="G269" s="2" t="s">
        <v>22</v>
      </c>
      <c r="H269" s="2" t="s">
        <v>16</v>
      </c>
      <c r="I269" s="2" t="s">
        <v>178</v>
      </c>
      <c r="J269" s="2" t="s">
        <v>107</v>
      </c>
      <c r="K269" s="2">
        <v>3571.92</v>
      </c>
      <c r="L269" s="2" t="str">
        <f t="shared" si="24"/>
        <v>April</v>
      </c>
      <c r="M269" s="2" t="str">
        <f t="shared" si="25"/>
        <v>Cancelled</v>
      </c>
      <c r="N269" t="str">
        <f t="shared" si="26"/>
        <v>Cancelled</v>
      </c>
      <c r="O269" t="str">
        <f t="shared" si="27"/>
        <v>Order Cancelled</v>
      </c>
      <c r="P269" t="str">
        <f t="shared" si="28"/>
        <v>Cancelled</v>
      </c>
      <c r="Q269" t="str">
        <f t="shared" si="29"/>
        <v>Cancelled</v>
      </c>
      <c r="R269" t="str">
        <f>_xlfn.XLOOKUP(B269,CustomerMaster!$A$2:$A$287,CustomerMaster!$B$2:$B$287)</f>
        <v>Customer_51</v>
      </c>
      <c r="S269" t="str">
        <f>_xlfn.XLOOKUP(C269,ProductMaster!$A$2:$A$51,ProductMaster!$B$2:$B$51)</f>
        <v>Product_25</v>
      </c>
      <c r="T269" t="str">
        <f>_xlfn.XLOOKUP(G269,RegionMaster!$A$2:$A$5,RegionMaster!$B$2:$B$5)</f>
        <v>C</v>
      </c>
    </row>
    <row r="270" spans="1:20" ht="15.75" customHeight="1">
      <c r="A270" s="2" t="s">
        <v>980</v>
      </c>
      <c r="B270" s="2" t="s">
        <v>651</v>
      </c>
      <c r="C270" s="2" t="s">
        <v>157</v>
      </c>
      <c r="D270" s="3">
        <v>45720</v>
      </c>
      <c r="E270" s="3">
        <v>45726</v>
      </c>
      <c r="F270" s="4"/>
      <c r="G270" s="2" t="s">
        <v>22</v>
      </c>
      <c r="H270" s="2" t="s">
        <v>54</v>
      </c>
      <c r="I270" s="2" t="s">
        <v>121</v>
      </c>
      <c r="J270" s="2" t="s">
        <v>107</v>
      </c>
      <c r="K270" s="2">
        <v>1925.56</v>
      </c>
      <c r="L270" s="2" t="str">
        <f t="shared" si="24"/>
        <v>March</v>
      </c>
      <c r="M270" s="2" t="str">
        <f t="shared" si="25"/>
        <v>March</v>
      </c>
      <c r="N270" t="str">
        <f t="shared" si="26"/>
        <v>Delivered</v>
      </c>
      <c r="O270">
        <f t="shared" si="27"/>
        <v>6</v>
      </c>
      <c r="P270" t="str">
        <f t="shared" si="28"/>
        <v>Completed</v>
      </c>
      <c r="Q270" t="str">
        <f t="shared" si="29"/>
        <v>Slow</v>
      </c>
      <c r="R270" t="str">
        <f>_xlfn.XLOOKUP(B270,CustomerMaster!$A$2:$A$287,CustomerMaster!$B$2:$B$287)</f>
        <v>Customer_209</v>
      </c>
      <c r="S270" t="str">
        <f>_xlfn.XLOOKUP(C270,ProductMaster!$A$2:$A$51,ProductMaster!$B$2:$B$51)</f>
        <v>Product_33</v>
      </c>
      <c r="T270" t="str">
        <f>_xlfn.XLOOKUP(G270,RegionMaster!$A$2:$A$5,RegionMaster!$B$2:$B$5)</f>
        <v>C</v>
      </c>
    </row>
    <row r="271" spans="1:20" ht="15.75" customHeight="1">
      <c r="A271" s="2" t="s">
        <v>981</v>
      </c>
      <c r="B271" s="2" t="s">
        <v>438</v>
      </c>
      <c r="C271" s="2" t="s">
        <v>180</v>
      </c>
      <c r="D271" s="3">
        <v>45745</v>
      </c>
      <c r="E271" s="3">
        <v>45747</v>
      </c>
      <c r="F271" s="4"/>
      <c r="G271" s="2" t="s">
        <v>17</v>
      </c>
      <c r="H271" s="2" t="s">
        <v>59</v>
      </c>
      <c r="I271" s="2" t="s">
        <v>178</v>
      </c>
      <c r="J271" s="2" t="s">
        <v>107</v>
      </c>
      <c r="K271" s="2">
        <v>1609.24</v>
      </c>
      <c r="L271" s="2" t="str">
        <f t="shared" si="24"/>
        <v>March</v>
      </c>
      <c r="M271" s="2" t="str">
        <f t="shared" si="25"/>
        <v>March</v>
      </c>
      <c r="N271" t="str">
        <f t="shared" si="26"/>
        <v>Delivered</v>
      </c>
      <c r="O271">
        <f t="shared" si="27"/>
        <v>2</v>
      </c>
      <c r="P271" t="str">
        <f t="shared" si="28"/>
        <v>Completed</v>
      </c>
      <c r="Q271" t="str">
        <f t="shared" si="29"/>
        <v>Fast</v>
      </c>
      <c r="R271" t="str">
        <f>_xlfn.XLOOKUP(B271,CustomerMaster!$A$2:$A$287,CustomerMaster!$B$2:$B$287)</f>
        <v>Customer_121</v>
      </c>
      <c r="S271" t="str">
        <f>_xlfn.XLOOKUP(C271,ProductMaster!$A$2:$A$51,ProductMaster!$B$2:$B$51)</f>
        <v>Product_40</v>
      </c>
      <c r="T271" t="str">
        <f>_xlfn.XLOOKUP(G271,RegionMaster!$A$2:$A$5,RegionMaster!$B$2:$B$5)</f>
        <v>B</v>
      </c>
    </row>
    <row r="272" spans="1:20" ht="15.75" customHeight="1">
      <c r="A272" s="2" t="s">
        <v>982</v>
      </c>
      <c r="B272" s="2" t="s">
        <v>337</v>
      </c>
      <c r="C272" s="2" t="s">
        <v>114</v>
      </c>
      <c r="D272" s="3">
        <v>45665</v>
      </c>
      <c r="E272" s="4"/>
      <c r="F272" s="3">
        <v>45665</v>
      </c>
      <c r="G272" s="2" t="s">
        <v>7</v>
      </c>
      <c r="H272" s="2" t="s">
        <v>27</v>
      </c>
      <c r="I272" s="2" t="s">
        <v>178</v>
      </c>
      <c r="J272" s="2" t="s">
        <v>133</v>
      </c>
      <c r="K272" s="2">
        <v>4084.93</v>
      </c>
      <c r="L272" s="2" t="str">
        <f t="shared" si="24"/>
        <v>January</v>
      </c>
      <c r="M272" s="2" t="str">
        <f t="shared" si="25"/>
        <v>Cancelled</v>
      </c>
      <c r="N272" t="str">
        <f t="shared" si="26"/>
        <v>Cancelled</v>
      </c>
      <c r="O272" t="str">
        <f t="shared" si="27"/>
        <v>Order Cancelled</v>
      </c>
      <c r="P272" t="str">
        <f t="shared" si="28"/>
        <v>Cancelled</v>
      </c>
      <c r="Q272" t="str">
        <f t="shared" si="29"/>
        <v>Cancelled</v>
      </c>
      <c r="R272" t="str">
        <f>_xlfn.XLOOKUP(B272,CustomerMaster!$A$2:$A$287,CustomerMaster!$B$2:$B$287)</f>
        <v>Customer_107</v>
      </c>
      <c r="S272" t="str">
        <f>_xlfn.XLOOKUP(C272,ProductMaster!$A$2:$A$51,ProductMaster!$B$2:$B$51)</f>
        <v>Product_21</v>
      </c>
      <c r="T272" t="str">
        <f>_xlfn.XLOOKUP(G272,RegionMaster!$A$2:$A$5,RegionMaster!$B$2:$B$5)</f>
        <v>A</v>
      </c>
    </row>
    <row r="273" spans="1:20" ht="15.75" customHeight="1">
      <c r="A273" s="2" t="s">
        <v>983</v>
      </c>
      <c r="B273" s="2" t="s">
        <v>748</v>
      </c>
      <c r="C273" s="2" t="s">
        <v>168</v>
      </c>
      <c r="D273" s="3">
        <v>45679</v>
      </c>
      <c r="E273" s="4"/>
      <c r="F273" s="3">
        <v>45679</v>
      </c>
      <c r="G273" s="2" t="s">
        <v>7</v>
      </c>
      <c r="H273" s="2" t="s">
        <v>59</v>
      </c>
      <c r="I273" s="2" t="s">
        <v>195</v>
      </c>
      <c r="J273" s="2" t="s">
        <v>94</v>
      </c>
      <c r="K273" s="2">
        <v>4088.54</v>
      </c>
      <c r="L273" s="2" t="str">
        <f t="shared" si="24"/>
        <v>January</v>
      </c>
      <c r="M273" s="2" t="str">
        <f t="shared" si="25"/>
        <v>Cancelled</v>
      </c>
      <c r="N273" t="str">
        <f t="shared" si="26"/>
        <v>Cancelled</v>
      </c>
      <c r="O273" t="str">
        <f t="shared" si="27"/>
        <v>Order Cancelled</v>
      </c>
      <c r="P273" t="str">
        <f t="shared" si="28"/>
        <v>Cancelled</v>
      </c>
      <c r="Q273" t="str">
        <f t="shared" si="29"/>
        <v>Cancelled</v>
      </c>
      <c r="R273" t="str">
        <f>_xlfn.XLOOKUP(B273,CustomerMaster!$A$2:$A$287,CustomerMaster!$B$2:$B$287)</f>
        <v>Customer_253</v>
      </c>
      <c r="S273" t="str">
        <f>_xlfn.XLOOKUP(C273,ProductMaster!$A$2:$A$51,ProductMaster!$B$2:$B$51)</f>
        <v>Product_37</v>
      </c>
      <c r="T273" t="str">
        <f>_xlfn.XLOOKUP(G273,RegionMaster!$A$2:$A$5,RegionMaster!$B$2:$B$5)</f>
        <v>A</v>
      </c>
    </row>
    <row r="274" spans="1:20" ht="15.75" customHeight="1">
      <c r="A274" s="2" t="s">
        <v>984</v>
      </c>
      <c r="B274" s="2" t="s">
        <v>247</v>
      </c>
      <c r="C274" s="2" t="s">
        <v>91</v>
      </c>
      <c r="D274" s="3">
        <v>45672</v>
      </c>
      <c r="E274" s="3">
        <v>45676</v>
      </c>
      <c r="F274" s="4"/>
      <c r="G274" s="2" t="s">
        <v>7</v>
      </c>
      <c r="H274" s="2" t="s">
        <v>16</v>
      </c>
      <c r="I274" s="2" t="s">
        <v>121</v>
      </c>
      <c r="J274" s="2" t="s">
        <v>107</v>
      </c>
      <c r="K274" s="2">
        <v>4361.95</v>
      </c>
      <c r="L274" s="2" t="str">
        <f t="shared" si="24"/>
        <v>January</v>
      </c>
      <c r="M274" s="2" t="str">
        <f t="shared" si="25"/>
        <v>January</v>
      </c>
      <c r="N274" t="str">
        <f t="shared" si="26"/>
        <v>Delivered</v>
      </c>
      <c r="O274">
        <f t="shared" si="27"/>
        <v>4</v>
      </c>
      <c r="P274" t="str">
        <f t="shared" si="28"/>
        <v>Completed</v>
      </c>
      <c r="Q274" t="str">
        <f t="shared" si="29"/>
        <v>Slow</v>
      </c>
      <c r="R274" t="str">
        <f>_xlfn.XLOOKUP(B274,CustomerMaster!$A$2:$A$287,CustomerMaster!$B$2:$B$287)</f>
        <v>Customer_40</v>
      </c>
      <c r="S274" t="str">
        <f>_xlfn.XLOOKUP(C274,ProductMaster!$A$2:$A$51,ProductMaster!$B$2:$B$51)</f>
        <v>Product_16</v>
      </c>
      <c r="T274" t="str">
        <f>_xlfn.XLOOKUP(G274,RegionMaster!$A$2:$A$5,RegionMaster!$B$2:$B$5)</f>
        <v>A</v>
      </c>
    </row>
    <row r="275" spans="1:20" ht="15.75" customHeight="1">
      <c r="A275" s="2" t="s">
        <v>985</v>
      </c>
      <c r="B275" s="2" t="s">
        <v>197</v>
      </c>
      <c r="C275" s="2" t="s">
        <v>87</v>
      </c>
      <c r="D275" s="3">
        <v>45686</v>
      </c>
      <c r="E275" s="3">
        <v>45691</v>
      </c>
      <c r="F275" s="4"/>
      <c r="G275" s="2" t="s">
        <v>22</v>
      </c>
      <c r="H275" s="2" t="s">
        <v>27</v>
      </c>
      <c r="I275" s="2" t="s">
        <v>178</v>
      </c>
      <c r="J275" s="2" t="s">
        <v>133</v>
      </c>
      <c r="K275" s="2">
        <v>4583.55</v>
      </c>
      <c r="L275" s="2" t="str">
        <f t="shared" si="24"/>
        <v>January</v>
      </c>
      <c r="M275" s="2" t="str">
        <f t="shared" si="25"/>
        <v>February</v>
      </c>
      <c r="N275" t="str">
        <f t="shared" si="26"/>
        <v>Delivered</v>
      </c>
      <c r="O275">
        <f t="shared" si="27"/>
        <v>5</v>
      </c>
      <c r="P275" t="str">
        <f t="shared" si="28"/>
        <v>Completed</v>
      </c>
      <c r="Q275" t="str">
        <f t="shared" si="29"/>
        <v>Slow</v>
      </c>
      <c r="R275" t="str">
        <f>_xlfn.XLOOKUP(B275,CustomerMaster!$A$2:$A$287,CustomerMaster!$B$2:$B$287)</f>
        <v>Customer_26</v>
      </c>
      <c r="S275" t="str">
        <f>_xlfn.XLOOKUP(C275,ProductMaster!$A$2:$A$51,ProductMaster!$B$2:$B$51)</f>
        <v>Product_15</v>
      </c>
      <c r="T275" t="str">
        <f>_xlfn.XLOOKUP(G275,RegionMaster!$A$2:$A$5,RegionMaster!$B$2:$B$5)</f>
        <v>C</v>
      </c>
    </row>
    <row r="276" spans="1:20" ht="15.75" customHeight="1">
      <c r="A276" s="2" t="s">
        <v>986</v>
      </c>
      <c r="B276" s="2" t="s">
        <v>556</v>
      </c>
      <c r="C276" s="2" t="s">
        <v>122</v>
      </c>
      <c r="D276" s="3">
        <v>45718</v>
      </c>
      <c r="E276" s="3">
        <v>45720</v>
      </c>
      <c r="F276" s="4"/>
      <c r="G276" s="2" t="s">
        <v>17</v>
      </c>
      <c r="H276" s="2" t="s">
        <v>37</v>
      </c>
      <c r="I276" s="2" t="s">
        <v>195</v>
      </c>
      <c r="J276" s="2" t="s">
        <v>133</v>
      </c>
      <c r="K276" s="2">
        <v>2654.44</v>
      </c>
      <c r="L276" s="2" t="str">
        <f t="shared" si="24"/>
        <v>March</v>
      </c>
      <c r="M276" s="2" t="str">
        <f t="shared" si="25"/>
        <v>March</v>
      </c>
      <c r="N276" t="str">
        <f t="shared" si="26"/>
        <v>Delivered</v>
      </c>
      <c r="O276">
        <f t="shared" si="27"/>
        <v>2</v>
      </c>
      <c r="P276" t="str">
        <f t="shared" si="28"/>
        <v>Completed</v>
      </c>
      <c r="Q276" t="str">
        <f t="shared" si="29"/>
        <v>Fast</v>
      </c>
      <c r="R276" t="str">
        <f>_xlfn.XLOOKUP(B276,CustomerMaster!$A$2:$A$287,CustomerMaster!$B$2:$B$287)</f>
        <v>Customer_168</v>
      </c>
      <c r="S276" t="str">
        <f>_xlfn.XLOOKUP(C276,ProductMaster!$A$2:$A$51,ProductMaster!$B$2:$B$51)</f>
        <v>Product_23</v>
      </c>
      <c r="T276" t="str">
        <f>_xlfn.XLOOKUP(G276,RegionMaster!$A$2:$A$5,RegionMaster!$B$2:$B$5)</f>
        <v>B</v>
      </c>
    </row>
    <row r="277" spans="1:20" ht="15.75" customHeight="1">
      <c r="A277" s="2" t="s">
        <v>987</v>
      </c>
      <c r="B277" s="2" t="s">
        <v>202</v>
      </c>
      <c r="C277" s="2" t="s">
        <v>109</v>
      </c>
      <c r="D277" s="3">
        <v>45692</v>
      </c>
      <c r="E277" s="4"/>
      <c r="F277" s="3">
        <v>45693</v>
      </c>
      <c r="G277" s="2" t="s">
        <v>45</v>
      </c>
      <c r="H277" s="2" t="s">
        <v>54</v>
      </c>
      <c r="I277" s="2" t="s">
        <v>121</v>
      </c>
      <c r="J277" s="2" t="s">
        <v>133</v>
      </c>
      <c r="K277" s="2">
        <v>2607.2800000000002</v>
      </c>
      <c r="L277" s="2" t="str">
        <f t="shared" si="24"/>
        <v>February</v>
      </c>
      <c r="M277" s="2" t="str">
        <f t="shared" si="25"/>
        <v>Cancelled</v>
      </c>
      <c r="N277" t="str">
        <f t="shared" si="26"/>
        <v>Cancelled</v>
      </c>
      <c r="O277" t="str">
        <f t="shared" si="27"/>
        <v>Order Cancelled</v>
      </c>
      <c r="P277" t="str">
        <f t="shared" si="28"/>
        <v>Cancelled</v>
      </c>
      <c r="Q277" t="str">
        <f t="shared" si="29"/>
        <v>Cancelled</v>
      </c>
      <c r="R277" t="str">
        <f>_xlfn.XLOOKUP(B277,CustomerMaster!$A$2:$A$287,CustomerMaster!$B$2:$B$287)</f>
        <v>Customer_27</v>
      </c>
      <c r="S277" t="str">
        <f>_xlfn.XLOOKUP(C277,ProductMaster!$A$2:$A$51,ProductMaster!$B$2:$B$51)</f>
        <v>Product_20</v>
      </c>
      <c r="T277" t="str">
        <f>_xlfn.XLOOKUP(G277,RegionMaster!$A$2:$A$5,RegionMaster!$B$2:$B$5)</f>
        <v>D</v>
      </c>
    </row>
    <row r="278" spans="1:20" ht="15.75" customHeight="1">
      <c r="A278" s="2" t="s">
        <v>988</v>
      </c>
      <c r="B278" s="2" t="s">
        <v>190</v>
      </c>
      <c r="C278" s="2" t="s">
        <v>39</v>
      </c>
      <c r="D278" s="3">
        <v>45717</v>
      </c>
      <c r="E278" s="4"/>
      <c r="F278" s="3">
        <v>45717</v>
      </c>
      <c r="G278" s="2" t="s">
        <v>17</v>
      </c>
      <c r="H278" s="2" t="s">
        <v>16</v>
      </c>
      <c r="I278" s="2" t="s">
        <v>178</v>
      </c>
      <c r="J278" s="2" t="s">
        <v>107</v>
      </c>
      <c r="K278" s="2">
        <v>4031.82</v>
      </c>
      <c r="L278" s="2" t="str">
        <f t="shared" si="24"/>
        <v>March</v>
      </c>
      <c r="M278" s="2" t="str">
        <f t="shared" si="25"/>
        <v>Cancelled</v>
      </c>
      <c r="N278" t="str">
        <f t="shared" si="26"/>
        <v>Cancelled</v>
      </c>
      <c r="O278" t="str">
        <f t="shared" si="27"/>
        <v>Order Cancelled</v>
      </c>
      <c r="P278" t="str">
        <f t="shared" si="28"/>
        <v>Cancelled</v>
      </c>
      <c r="Q278" t="str">
        <f t="shared" si="29"/>
        <v>Cancelled</v>
      </c>
      <c r="R278" t="str">
        <f>_xlfn.XLOOKUP(B278,CustomerMaster!$A$2:$A$287,CustomerMaster!$B$2:$B$287)</f>
        <v>Customer_25</v>
      </c>
      <c r="S278" t="str">
        <f>_xlfn.XLOOKUP(C278,ProductMaster!$A$2:$A$51,ProductMaster!$B$2:$B$51)</f>
        <v>Product_4</v>
      </c>
      <c r="T278" t="str">
        <f>_xlfn.XLOOKUP(G278,RegionMaster!$A$2:$A$5,RegionMaster!$B$2:$B$5)</f>
        <v>B</v>
      </c>
    </row>
    <row r="279" spans="1:20" ht="15.75" customHeight="1">
      <c r="A279" s="2" t="s">
        <v>989</v>
      </c>
      <c r="B279" s="2" t="s">
        <v>651</v>
      </c>
      <c r="C279" s="2" t="s">
        <v>125</v>
      </c>
      <c r="D279" s="3">
        <v>45735</v>
      </c>
      <c r="E279" s="3">
        <v>45740</v>
      </c>
      <c r="F279" s="4"/>
      <c r="G279" s="2" t="s">
        <v>45</v>
      </c>
      <c r="H279" s="2" t="s">
        <v>16</v>
      </c>
      <c r="I279" s="2" t="s">
        <v>106</v>
      </c>
      <c r="J279" s="2" t="s">
        <v>94</v>
      </c>
      <c r="K279" s="2">
        <v>3319.83</v>
      </c>
      <c r="L279" s="2" t="str">
        <f t="shared" si="24"/>
        <v>March</v>
      </c>
      <c r="M279" s="2" t="str">
        <f t="shared" si="25"/>
        <v>March</v>
      </c>
      <c r="N279" t="str">
        <f t="shared" si="26"/>
        <v>Delivered</v>
      </c>
      <c r="O279">
        <f t="shared" si="27"/>
        <v>5</v>
      </c>
      <c r="P279" t="str">
        <f t="shared" si="28"/>
        <v>Completed</v>
      </c>
      <c r="Q279" t="str">
        <f t="shared" si="29"/>
        <v>Slow</v>
      </c>
      <c r="R279" t="str">
        <f>_xlfn.XLOOKUP(B279,CustomerMaster!$A$2:$A$287,CustomerMaster!$B$2:$B$287)</f>
        <v>Customer_209</v>
      </c>
      <c r="S279" t="str">
        <f>_xlfn.XLOOKUP(C279,ProductMaster!$A$2:$A$51,ProductMaster!$B$2:$B$51)</f>
        <v>Product_24</v>
      </c>
      <c r="T279" t="str">
        <f>_xlfn.XLOOKUP(G279,RegionMaster!$A$2:$A$5,RegionMaster!$B$2:$B$5)</f>
        <v>D</v>
      </c>
    </row>
    <row r="280" spans="1:20" ht="15.75" customHeight="1">
      <c r="A280" s="2" t="s">
        <v>990</v>
      </c>
      <c r="B280" s="2" t="s">
        <v>407</v>
      </c>
      <c r="C280" s="2" t="s">
        <v>69</v>
      </c>
      <c r="D280" s="3">
        <v>45694</v>
      </c>
      <c r="E280" s="3">
        <v>45699</v>
      </c>
      <c r="F280" s="4"/>
      <c r="G280" s="2" t="s">
        <v>7</v>
      </c>
      <c r="H280" s="2" t="s">
        <v>16</v>
      </c>
      <c r="I280" s="2" t="s">
        <v>121</v>
      </c>
      <c r="J280" s="2" t="s">
        <v>133</v>
      </c>
      <c r="K280" s="2">
        <v>3569.44</v>
      </c>
      <c r="L280" s="2" t="str">
        <f t="shared" si="24"/>
        <v>February</v>
      </c>
      <c r="M280" s="2" t="str">
        <f t="shared" si="25"/>
        <v>February</v>
      </c>
      <c r="N280" t="str">
        <f t="shared" si="26"/>
        <v>Delivered</v>
      </c>
      <c r="O280">
        <f t="shared" si="27"/>
        <v>5</v>
      </c>
      <c r="P280" t="str">
        <f t="shared" si="28"/>
        <v>Completed</v>
      </c>
      <c r="Q280" t="str">
        <f t="shared" si="29"/>
        <v>Slow</v>
      </c>
      <c r="R280" t="str">
        <f>_xlfn.XLOOKUP(B280,CustomerMaster!$A$2:$A$287,CustomerMaster!$B$2:$B$287)</f>
        <v>Customer_215</v>
      </c>
      <c r="S280" t="str">
        <f>_xlfn.XLOOKUP(C280,ProductMaster!$A$2:$A$51,ProductMaster!$B$2:$B$51)</f>
        <v>Product_9</v>
      </c>
      <c r="T280" t="str">
        <f>_xlfn.XLOOKUP(G280,RegionMaster!$A$2:$A$5,RegionMaster!$B$2:$B$5)</f>
        <v>A</v>
      </c>
    </row>
    <row r="281" spans="1:20" ht="15.75" customHeight="1">
      <c r="A281" s="2" t="s">
        <v>991</v>
      </c>
      <c r="B281" s="2" t="s">
        <v>673</v>
      </c>
      <c r="C281" s="2" t="s">
        <v>104</v>
      </c>
      <c r="D281" s="3">
        <v>45778</v>
      </c>
      <c r="E281" s="3">
        <v>45779</v>
      </c>
      <c r="F281" s="4"/>
      <c r="G281" s="2" t="s">
        <v>22</v>
      </c>
      <c r="H281" s="2" t="s">
        <v>54</v>
      </c>
      <c r="I281" s="2" t="s">
        <v>106</v>
      </c>
      <c r="J281" s="2" t="s">
        <v>94</v>
      </c>
      <c r="K281" s="2">
        <v>4019.8</v>
      </c>
      <c r="L281" s="2" t="str">
        <f t="shared" si="24"/>
        <v>May</v>
      </c>
      <c r="M281" s="2" t="str">
        <f t="shared" si="25"/>
        <v>May</v>
      </c>
      <c r="N281" t="str">
        <f t="shared" si="26"/>
        <v>Delivered</v>
      </c>
      <c r="O281">
        <f t="shared" si="27"/>
        <v>1</v>
      </c>
      <c r="P281" t="str">
        <f t="shared" si="28"/>
        <v>Completed</v>
      </c>
      <c r="Q281" t="str">
        <f t="shared" si="29"/>
        <v>Fast</v>
      </c>
      <c r="R281" t="str">
        <f>_xlfn.XLOOKUP(B281,CustomerMaster!$A$2:$A$287,CustomerMaster!$B$2:$B$287)</f>
        <v>Customer_219</v>
      </c>
      <c r="S281" t="str">
        <f>_xlfn.XLOOKUP(C281,ProductMaster!$A$2:$A$51,ProductMaster!$B$2:$B$51)</f>
        <v>Product_19</v>
      </c>
      <c r="T281" t="str">
        <f>_xlfn.XLOOKUP(G281,RegionMaster!$A$2:$A$5,RegionMaster!$B$2:$B$5)</f>
        <v>C</v>
      </c>
    </row>
    <row r="282" spans="1:20" ht="15.75" customHeight="1">
      <c r="A282" s="2" t="s">
        <v>992</v>
      </c>
      <c r="B282" s="2" t="s">
        <v>625</v>
      </c>
      <c r="C282" s="2" t="s">
        <v>109</v>
      </c>
      <c r="D282" s="3">
        <v>45698</v>
      </c>
      <c r="E282" s="3">
        <v>45699</v>
      </c>
      <c r="F282" s="4"/>
      <c r="G282" s="2" t="s">
        <v>7</v>
      </c>
      <c r="H282" s="2" t="s">
        <v>16</v>
      </c>
      <c r="I282" s="2" t="s">
        <v>121</v>
      </c>
      <c r="J282" s="2" t="s">
        <v>133</v>
      </c>
      <c r="K282" s="2">
        <v>4472.03</v>
      </c>
      <c r="L282" s="2" t="str">
        <f t="shared" si="24"/>
        <v>February</v>
      </c>
      <c r="M282" s="2" t="str">
        <f t="shared" si="25"/>
        <v>February</v>
      </c>
      <c r="N282" t="str">
        <f t="shared" si="26"/>
        <v>Delivered</v>
      </c>
      <c r="O282">
        <f t="shared" si="27"/>
        <v>1</v>
      </c>
      <c r="P282" t="str">
        <f t="shared" si="28"/>
        <v>Completed</v>
      </c>
      <c r="Q282" t="str">
        <f t="shared" si="29"/>
        <v>Fast</v>
      </c>
      <c r="R282" t="str">
        <f>_xlfn.XLOOKUP(B282,CustomerMaster!$A$2:$A$287,CustomerMaster!$B$2:$B$287)</f>
        <v>Customer_198</v>
      </c>
      <c r="S282" t="str">
        <f>_xlfn.XLOOKUP(C282,ProductMaster!$A$2:$A$51,ProductMaster!$B$2:$B$51)</f>
        <v>Product_20</v>
      </c>
      <c r="T282" t="str">
        <f>_xlfn.XLOOKUP(G282,RegionMaster!$A$2:$A$5,RegionMaster!$B$2:$B$5)</f>
        <v>A</v>
      </c>
    </row>
    <row r="283" spans="1:20" ht="15.75" customHeight="1">
      <c r="A283" s="2" t="s">
        <v>993</v>
      </c>
      <c r="B283" s="2" t="s">
        <v>249</v>
      </c>
      <c r="C283" s="2" t="s">
        <v>114</v>
      </c>
      <c r="D283" s="3">
        <v>45737</v>
      </c>
      <c r="E283" s="3">
        <v>45741</v>
      </c>
      <c r="F283" s="4"/>
      <c r="G283" s="2" t="s">
        <v>17</v>
      </c>
      <c r="H283" s="2" t="s">
        <v>37</v>
      </c>
      <c r="I283" s="2" t="s">
        <v>90</v>
      </c>
      <c r="J283" s="2" t="s">
        <v>94</v>
      </c>
      <c r="K283" s="2">
        <v>1822.38</v>
      </c>
      <c r="L283" s="2" t="str">
        <f t="shared" si="24"/>
        <v>March</v>
      </c>
      <c r="M283" s="2" t="str">
        <f t="shared" si="25"/>
        <v>March</v>
      </c>
      <c r="N283" t="str">
        <f t="shared" si="26"/>
        <v>Delivered</v>
      </c>
      <c r="O283">
        <f t="shared" si="27"/>
        <v>4</v>
      </c>
      <c r="P283" t="str">
        <f t="shared" si="28"/>
        <v>Completed</v>
      </c>
      <c r="Q283" t="str">
        <f t="shared" si="29"/>
        <v>Slow</v>
      </c>
      <c r="R283" t="str">
        <f>_xlfn.XLOOKUP(B283,CustomerMaster!$A$2:$A$287,CustomerMaster!$B$2:$B$287)</f>
        <v>Customer_41</v>
      </c>
      <c r="S283" t="str">
        <f>_xlfn.XLOOKUP(C283,ProductMaster!$A$2:$A$51,ProductMaster!$B$2:$B$51)</f>
        <v>Product_21</v>
      </c>
      <c r="T283" t="str">
        <f>_xlfn.XLOOKUP(G283,RegionMaster!$A$2:$A$5,RegionMaster!$B$2:$B$5)</f>
        <v>B</v>
      </c>
    </row>
    <row r="284" spans="1:20" ht="15.75" customHeight="1">
      <c r="A284" s="2" t="s">
        <v>994</v>
      </c>
      <c r="B284" s="2" t="s">
        <v>353</v>
      </c>
      <c r="C284" s="2" t="s">
        <v>142</v>
      </c>
      <c r="D284" s="3">
        <v>45680</v>
      </c>
      <c r="E284" s="4"/>
      <c r="F284" s="3">
        <v>45681</v>
      </c>
      <c r="G284" s="2" t="s">
        <v>7</v>
      </c>
      <c r="H284" s="2" t="s">
        <v>54</v>
      </c>
      <c r="I284" s="2" t="s">
        <v>90</v>
      </c>
      <c r="J284" s="2" t="s">
        <v>107</v>
      </c>
      <c r="K284" s="2">
        <v>2002.8</v>
      </c>
      <c r="L284" s="2" t="str">
        <f t="shared" si="24"/>
        <v>January</v>
      </c>
      <c r="M284" s="2" t="str">
        <f t="shared" si="25"/>
        <v>Cancelled</v>
      </c>
      <c r="N284" t="str">
        <f t="shared" si="26"/>
        <v>Cancelled</v>
      </c>
      <c r="O284" t="str">
        <f t="shared" si="27"/>
        <v>Order Cancelled</v>
      </c>
      <c r="P284" t="str">
        <f t="shared" si="28"/>
        <v>Cancelled</v>
      </c>
      <c r="Q284" t="str">
        <f t="shared" si="29"/>
        <v>Cancelled</v>
      </c>
      <c r="R284" t="str">
        <f>_xlfn.XLOOKUP(B284,CustomerMaster!$A$2:$A$287,CustomerMaster!$B$2:$B$287)</f>
        <v>Customer_84</v>
      </c>
      <c r="S284" t="str">
        <f>_xlfn.XLOOKUP(C284,ProductMaster!$A$2:$A$51,ProductMaster!$B$2:$B$51)</f>
        <v>Product_29</v>
      </c>
      <c r="T284" t="str">
        <f>_xlfn.XLOOKUP(G284,RegionMaster!$A$2:$A$5,RegionMaster!$B$2:$B$5)</f>
        <v>A</v>
      </c>
    </row>
    <row r="285" spans="1:20" ht="15.75" customHeight="1">
      <c r="A285" s="2" t="s">
        <v>995</v>
      </c>
      <c r="B285" s="2" t="s">
        <v>728</v>
      </c>
      <c r="C285" s="2" t="s">
        <v>172</v>
      </c>
      <c r="D285" s="3">
        <v>45721</v>
      </c>
      <c r="E285" s="4"/>
      <c r="F285" s="3">
        <v>45723</v>
      </c>
      <c r="G285" s="2" t="s">
        <v>7</v>
      </c>
      <c r="H285" s="2" t="s">
        <v>27</v>
      </c>
      <c r="I285" s="2" t="s">
        <v>106</v>
      </c>
      <c r="J285" s="2" t="s">
        <v>133</v>
      </c>
      <c r="K285" s="2">
        <v>651.11</v>
      </c>
      <c r="L285" s="2" t="str">
        <f t="shared" si="24"/>
        <v>March</v>
      </c>
      <c r="M285" s="2" t="str">
        <f t="shared" si="25"/>
        <v>Cancelled</v>
      </c>
      <c r="N285" t="str">
        <f t="shared" si="26"/>
        <v>Cancelled</v>
      </c>
      <c r="O285" t="str">
        <f t="shared" si="27"/>
        <v>Order Cancelled</v>
      </c>
      <c r="P285" t="str">
        <f t="shared" si="28"/>
        <v>Cancelled</v>
      </c>
      <c r="Q285" t="str">
        <f t="shared" si="29"/>
        <v>Cancelled</v>
      </c>
      <c r="R285" t="str">
        <f>_xlfn.XLOOKUP(B285,CustomerMaster!$A$2:$A$287,CustomerMaster!$B$2:$B$287)</f>
        <v>Customer_244</v>
      </c>
      <c r="S285" t="str">
        <f>_xlfn.XLOOKUP(C285,ProductMaster!$A$2:$A$51,ProductMaster!$B$2:$B$51)</f>
        <v>Product_39</v>
      </c>
      <c r="T285" t="str">
        <f>_xlfn.XLOOKUP(G285,RegionMaster!$A$2:$A$5,RegionMaster!$B$2:$B$5)</f>
        <v>A</v>
      </c>
    </row>
    <row r="286" spans="1:20" ht="15.75" customHeight="1">
      <c r="A286" s="2" t="s">
        <v>996</v>
      </c>
      <c r="B286" s="2" t="s">
        <v>251</v>
      </c>
      <c r="C286" s="2" t="s">
        <v>102</v>
      </c>
      <c r="D286" s="3">
        <v>45678</v>
      </c>
      <c r="E286" s="4"/>
      <c r="F286" s="3">
        <v>45680</v>
      </c>
      <c r="G286" s="2" t="s">
        <v>17</v>
      </c>
      <c r="H286" s="2" t="s">
        <v>27</v>
      </c>
      <c r="I286" s="2" t="s">
        <v>195</v>
      </c>
      <c r="J286" s="2" t="s">
        <v>94</v>
      </c>
      <c r="K286" s="2">
        <v>2975.74</v>
      </c>
      <c r="L286" s="2" t="str">
        <f t="shared" si="24"/>
        <v>January</v>
      </c>
      <c r="M286" s="2" t="str">
        <f t="shared" si="25"/>
        <v>Cancelled</v>
      </c>
      <c r="N286" t="str">
        <f t="shared" si="26"/>
        <v>Cancelled</v>
      </c>
      <c r="O286" t="str">
        <f t="shared" si="27"/>
        <v>Order Cancelled</v>
      </c>
      <c r="P286" t="str">
        <f t="shared" si="28"/>
        <v>Cancelled</v>
      </c>
      <c r="Q286" t="str">
        <f t="shared" si="29"/>
        <v>Cancelled</v>
      </c>
      <c r="R286" t="str">
        <f>_xlfn.XLOOKUP(B286,CustomerMaster!$A$2:$A$287,CustomerMaster!$B$2:$B$287)</f>
        <v>Customer_42</v>
      </c>
      <c r="S286" t="str">
        <f>_xlfn.XLOOKUP(C286,ProductMaster!$A$2:$A$51,ProductMaster!$B$2:$B$51)</f>
        <v>Product_18</v>
      </c>
      <c r="T286" t="str">
        <f>_xlfn.XLOOKUP(G286,RegionMaster!$A$2:$A$5,RegionMaster!$B$2:$B$5)</f>
        <v>B</v>
      </c>
    </row>
    <row r="287" spans="1:20" ht="15.75" customHeight="1">
      <c r="A287" s="2" t="s">
        <v>997</v>
      </c>
      <c r="B287" s="2" t="s">
        <v>143</v>
      </c>
      <c r="C287" s="2" t="s">
        <v>130</v>
      </c>
      <c r="D287" s="3">
        <v>45716</v>
      </c>
      <c r="E287" s="4"/>
      <c r="F287" s="3">
        <v>45717</v>
      </c>
      <c r="G287" s="2" t="s">
        <v>17</v>
      </c>
      <c r="H287" s="2" t="s">
        <v>16</v>
      </c>
      <c r="I287" s="2" t="s">
        <v>106</v>
      </c>
      <c r="J287" s="2" t="s">
        <v>107</v>
      </c>
      <c r="K287" s="2">
        <v>372.52</v>
      </c>
      <c r="L287" s="2" t="str">
        <f t="shared" si="24"/>
        <v>February</v>
      </c>
      <c r="M287" s="2" t="str">
        <f t="shared" si="25"/>
        <v>Cancelled</v>
      </c>
      <c r="N287" t="str">
        <f t="shared" si="26"/>
        <v>Cancelled</v>
      </c>
      <c r="O287" t="str">
        <f t="shared" si="27"/>
        <v>Order Cancelled</v>
      </c>
      <c r="P287" t="str">
        <f t="shared" si="28"/>
        <v>Cancelled</v>
      </c>
      <c r="Q287" t="str">
        <f t="shared" si="29"/>
        <v>Cancelled</v>
      </c>
      <c r="R287" t="str">
        <f>_xlfn.XLOOKUP(B287,CustomerMaster!$A$2:$A$287,CustomerMaster!$B$2:$B$287)</f>
        <v>Customer_18</v>
      </c>
      <c r="S287" t="str">
        <f>_xlfn.XLOOKUP(C287,ProductMaster!$A$2:$A$51,ProductMaster!$B$2:$B$51)</f>
        <v>Product_26</v>
      </c>
      <c r="T287" t="str">
        <f>_xlfn.XLOOKUP(G287,RegionMaster!$A$2:$A$5,RegionMaster!$B$2:$B$5)</f>
        <v>B</v>
      </c>
    </row>
    <row r="288" spans="1:20" ht="15.75" customHeight="1">
      <c r="A288" s="2" t="s">
        <v>998</v>
      </c>
      <c r="B288" s="2" t="s">
        <v>507</v>
      </c>
      <c r="C288" s="2" t="s">
        <v>213</v>
      </c>
      <c r="D288" s="3">
        <v>45703</v>
      </c>
      <c r="E288" s="3">
        <v>45708</v>
      </c>
      <c r="F288" s="4"/>
      <c r="G288" s="2" t="s">
        <v>45</v>
      </c>
      <c r="H288" s="2" t="s">
        <v>37</v>
      </c>
      <c r="I288" s="2" t="s">
        <v>90</v>
      </c>
      <c r="J288" s="2" t="s">
        <v>107</v>
      </c>
      <c r="K288" s="2">
        <v>2434.87</v>
      </c>
      <c r="L288" s="2" t="str">
        <f t="shared" si="24"/>
        <v>February</v>
      </c>
      <c r="M288" s="2" t="str">
        <f t="shared" si="25"/>
        <v>February</v>
      </c>
      <c r="N288" t="str">
        <f t="shared" si="26"/>
        <v>Delivered</v>
      </c>
      <c r="O288">
        <f t="shared" si="27"/>
        <v>5</v>
      </c>
      <c r="P288" t="str">
        <f t="shared" si="28"/>
        <v>Completed</v>
      </c>
      <c r="Q288" t="str">
        <f t="shared" si="29"/>
        <v>Slow</v>
      </c>
      <c r="R288" t="str">
        <f>_xlfn.XLOOKUP(B288,CustomerMaster!$A$2:$A$287,CustomerMaster!$B$2:$B$287)</f>
        <v>Customer_269</v>
      </c>
      <c r="S288" t="str">
        <f>_xlfn.XLOOKUP(C288,ProductMaster!$A$2:$A$51,ProductMaster!$B$2:$B$51)</f>
        <v>Product_49</v>
      </c>
      <c r="T288" t="str">
        <f>_xlfn.XLOOKUP(G288,RegionMaster!$A$2:$A$5,RegionMaster!$B$2:$B$5)</f>
        <v>D</v>
      </c>
    </row>
    <row r="289" spans="1:20" ht="15.75" customHeight="1">
      <c r="A289" s="2" t="s">
        <v>999</v>
      </c>
      <c r="B289" s="2" t="s">
        <v>534</v>
      </c>
      <c r="C289" s="2" t="s">
        <v>194</v>
      </c>
      <c r="D289" s="3">
        <v>45737</v>
      </c>
      <c r="E289" s="3">
        <v>45739</v>
      </c>
      <c r="F289" s="4"/>
      <c r="G289" s="2" t="s">
        <v>7</v>
      </c>
      <c r="H289" s="2" t="s">
        <v>59</v>
      </c>
      <c r="I289" s="2" t="s">
        <v>121</v>
      </c>
      <c r="J289" s="2" t="s">
        <v>107</v>
      </c>
      <c r="K289" s="2">
        <v>2804.69</v>
      </c>
      <c r="L289" s="2" t="str">
        <f t="shared" si="24"/>
        <v>March</v>
      </c>
      <c r="M289" s="2" t="str">
        <f t="shared" si="25"/>
        <v>March</v>
      </c>
      <c r="N289" t="str">
        <f t="shared" si="26"/>
        <v>Delivered</v>
      </c>
      <c r="O289">
        <f t="shared" si="27"/>
        <v>2</v>
      </c>
      <c r="P289" t="str">
        <f t="shared" si="28"/>
        <v>Completed</v>
      </c>
      <c r="Q289" t="str">
        <f t="shared" si="29"/>
        <v>Fast</v>
      </c>
      <c r="R289" t="str">
        <f>_xlfn.XLOOKUP(B289,CustomerMaster!$A$2:$A$287,CustomerMaster!$B$2:$B$287)</f>
        <v>Customer_159</v>
      </c>
      <c r="S289" t="str">
        <f>_xlfn.XLOOKUP(C289,ProductMaster!$A$2:$A$51,ProductMaster!$B$2:$B$51)</f>
        <v>Product_44</v>
      </c>
      <c r="T289" t="str">
        <f>_xlfn.XLOOKUP(G289,RegionMaster!$A$2:$A$5,RegionMaster!$B$2:$B$5)</f>
        <v>A</v>
      </c>
    </row>
    <row r="290" spans="1:20" ht="15.75" customHeight="1">
      <c r="A290" s="2" t="s">
        <v>1000</v>
      </c>
      <c r="B290" s="2" t="s">
        <v>507</v>
      </c>
      <c r="C290" s="2" t="s">
        <v>162</v>
      </c>
      <c r="D290" s="3">
        <v>45721</v>
      </c>
      <c r="E290" s="3">
        <v>45724</v>
      </c>
      <c r="F290" s="4"/>
      <c r="G290" s="2" t="s">
        <v>17</v>
      </c>
      <c r="H290" s="2" t="s">
        <v>59</v>
      </c>
      <c r="I290" s="2" t="s">
        <v>178</v>
      </c>
      <c r="J290" s="2" t="s">
        <v>133</v>
      </c>
      <c r="K290" s="2">
        <v>1575.4</v>
      </c>
      <c r="L290" s="2" t="str">
        <f t="shared" si="24"/>
        <v>March</v>
      </c>
      <c r="M290" s="2" t="str">
        <f t="shared" si="25"/>
        <v>March</v>
      </c>
      <c r="N290" t="str">
        <f t="shared" si="26"/>
        <v>Delivered</v>
      </c>
      <c r="O290">
        <f t="shared" si="27"/>
        <v>3</v>
      </c>
      <c r="P290" t="str">
        <f t="shared" si="28"/>
        <v>Completed</v>
      </c>
      <c r="Q290" t="str">
        <f t="shared" si="29"/>
        <v>Slow</v>
      </c>
      <c r="R290" t="str">
        <f>_xlfn.XLOOKUP(B290,CustomerMaster!$A$2:$A$287,CustomerMaster!$B$2:$B$287)</f>
        <v>Customer_269</v>
      </c>
      <c r="S290" t="str">
        <f>_xlfn.XLOOKUP(C290,ProductMaster!$A$2:$A$51,ProductMaster!$B$2:$B$51)</f>
        <v>Product_35</v>
      </c>
      <c r="T290" t="str">
        <f>_xlfn.XLOOKUP(G290,RegionMaster!$A$2:$A$5,RegionMaster!$B$2:$B$5)</f>
        <v>B</v>
      </c>
    </row>
    <row r="291" spans="1:20" ht="15.75" customHeight="1">
      <c r="A291" s="2" t="s">
        <v>1001</v>
      </c>
      <c r="B291" s="2" t="s">
        <v>588</v>
      </c>
      <c r="C291" s="2" t="s">
        <v>43</v>
      </c>
      <c r="D291" s="3">
        <v>45758</v>
      </c>
      <c r="E291" s="4"/>
      <c r="F291" s="3">
        <v>45759</v>
      </c>
      <c r="G291" s="2" t="s">
        <v>22</v>
      </c>
      <c r="H291" s="2" t="s">
        <v>54</v>
      </c>
      <c r="I291" s="2" t="s">
        <v>178</v>
      </c>
      <c r="J291" s="2" t="s">
        <v>107</v>
      </c>
      <c r="K291" s="2">
        <v>3036</v>
      </c>
      <c r="L291" s="2" t="str">
        <f t="shared" si="24"/>
        <v>April</v>
      </c>
      <c r="M291" s="2" t="str">
        <f t="shared" si="25"/>
        <v>Cancelled</v>
      </c>
      <c r="N291" t="str">
        <f t="shared" si="26"/>
        <v>Cancelled</v>
      </c>
      <c r="O291" t="str">
        <f t="shared" si="27"/>
        <v>Order Cancelled</v>
      </c>
      <c r="P291" t="str">
        <f t="shared" si="28"/>
        <v>Cancelled</v>
      </c>
      <c r="Q291" t="str">
        <f t="shared" si="29"/>
        <v>Cancelled</v>
      </c>
      <c r="R291" t="str">
        <f>_xlfn.XLOOKUP(B291,CustomerMaster!$A$2:$A$287,CustomerMaster!$B$2:$B$287)</f>
        <v>Customer_182</v>
      </c>
      <c r="S291" t="str">
        <f>_xlfn.XLOOKUP(C291,ProductMaster!$A$2:$A$51,ProductMaster!$B$2:$B$51)</f>
        <v>Product_5</v>
      </c>
      <c r="T291" t="str">
        <f>_xlfn.XLOOKUP(G291,RegionMaster!$A$2:$A$5,RegionMaster!$B$2:$B$5)</f>
        <v>C</v>
      </c>
    </row>
    <row r="292" spans="1:20" ht="15.75" customHeight="1">
      <c r="A292" s="2" t="s">
        <v>1002</v>
      </c>
      <c r="B292" s="2" t="s">
        <v>595</v>
      </c>
      <c r="C292" s="2" t="s">
        <v>75</v>
      </c>
      <c r="D292" s="3">
        <v>45728</v>
      </c>
      <c r="E292" s="3">
        <v>45730</v>
      </c>
      <c r="F292" s="4"/>
      <c r="G292" s="2" t="s">
        <v>22</v>
      </c>
      <c r="H292" s="2" t="s">
        <v>16</v>
      </c>
      <c r="I292" s="2" t="s">
        <v>106</v>
      </c>
      <c r="J292" s="2" t="s">
        <v>107</v>
      </c>
      <c r="K292" s="2">
        <v>346.4</v>
      </c>
      <c r="L292" s="2" t="str">
        <f t="shared" si="24"/>
        <v>March</v>
      </c>
      <c r="M292" s="2" t="str">
        <f t="shared" si="25"/>
        <v>March</v>
      </c>
      <c r="N292" t="str">
        <f t="shared" si="26"/>
        <v>Delivered</v>
      </c>
      <c r="O292">
        <f t="shared" si="27"/>
        <v>2</v>
      </c>
      <c r="P292" t="str">
        <f t="shared" si="28"/>
        <v>Completed</v>
      </c>
      <c r="Q292" t="str">
        <f t="shared" si="29"/>
        <v>Fast</v>
      </c>
      <c r="R292" t="str">
        <f>_xlfn.XLOOKUP(B292,CustomerMaster!$A$2:$A$287,CustomerMaster!$B$2:$B$287)</f>
        <v>Customer_185</v>
      </c>
      <c r="S292" t="str">
        <f>_xlfn.XLOOKUP(C292,ProductMaster!$A$2:$A$51,ProductMaster!$B$2:$B$51)</f>
        <v>Product_11</v>
      </c>
      <c r="T292" t="str">
        <f>_xlfn.XLOOKUP(G292,RegionMaster!$A$2:$A$5,RegionMaster!$B$2:$B$5)</f>
        <v>C</v>
      </c>
    </row>
    <row r="293" spans="1:20" ht="15.75" customHeight="1">
      <c r="A293" s="2" t="s">
        <v>1003</v>
      </c>
      <c r="B293" s="2" t="s">
        <v>595</v>
      </c>
      <c r="C293" s="2" t="s">
        <v>118</v>
      </c>
      <c r="D293" s="3">
        <v>45775</v>
      </c>
      <c r="E293" s="3">
        <v>45777</v>
      </c>
      <c r="F293" s="4"/>
      <c r="G293" s="2" t="s">
        <v>45</v>
      </c>
      <c r="H293" s="2" t="s">
        <v>54</v>
      </c>
      <c r="I293" s="2" t="s">
        <v>121</v>
      </c>
      <c r="J293" s="2" t="s">
        <v>133</v>
      </c>
      <c r="K293" s="2">
        <v>379.27</v>
      </c>
      <c r="L293" s="2" t="str">
        <f t="shared" si="24"/>
        <v>April</v>
      </c>
      <c r="M293" s="2" t="str">
        <f t="shared" si="25"/>
        <v>April</v>
      </c>
      <c r="N293" t="str">
        <f t="shared" si="26"/>
        <v>Delivered</v>
      </c>
      <c r="O293">
        <f t="shared" si="27"/>
        <v>2</v>
      </c>
      <c r="P293" t="str">
        <f t="shared" si="28"/>
        <v>Completed</v>
      </c>
      <c r="Q293" t="str">
        <f t="shared" si="29"/>
        <v>Fast</v>
      </c>
      <c r="R293" t="str">
        <f>_xlfn.XLOOKUP(B293,CustomerMaster!$A$2:$A$287,CustomerMaster!$B$2:$B$287)</f>
        <v>Customer_185</v>
      </c>
      <c r="S293" t="str">
        <f>_xlfn.XLOOKUP(C293,ProductMaster!$A$2:$A$51,ProductMaster!$B$2:$B$51)</f>
        <v>Product_22</v>
      </c>
      <c r="T293" t="str">
        <f>_xlfn.XLOOKUP(G293,RegionMaster!$A$2:$A$5,RegionMaster!$B$2:$B$5)</f>
        <v>D</v>
      </c>
    </row>
    <row r="294" spans="1:20" ht="15.75" customHeight="1">
      <c r="A294" s="2" t="s">
        <v>1004</v>
      </c>
      <c r="B294" s="2" t="s">
        <v>71</v>
      </c>
      <c r="C294" s="2" t="s">
        <v>56</v>
      </c>
      <c r="D294" s="3">
        <v>45740</v>
      </c>
      <c r="E294" s="4"/>
      <c r="F294" s="3">
        <v>45741</v>
      </c>
      <c r="G294" s="2" t="s">
        <v>17</v>
      </c>
      <c r="H294" s="2" t="s">
        <v>16</v>
      </c>
      <c r="I294" s="2" t="s">
        <v>195</v>
      </c>
      <c r="J294" s="2" t="s">
        <v>133</v>
      </c>
      <c r="K294" s="2">
        <v>4148.4799999999996</v>
      </c>
      <c r="L294" s="2" t="str">
        <f t="shared" si="24"/>
        <v>March</v>
      </c>
      <c r="M294" s="2" t="str">
        <f t="shared" si="25"/>
        <v>Cancelled</v>
      </c>
      <c r="N294" t="str">
        <f t="shared" si="26"/>
        <v>Cancelled</v>
      </c>
      <c r="O294" t="str">
        <f t="shared" si="27"/>
        <v>Order Cancelled</v>
      </c>
      <c r="P294" t="str">
        <f t="shared" si="28"/>
        <v>Cancelled</v>
      </c>
      <c r="Q294" t="str">
        <f t="shared" si="29"/>
        <v>Cancelled</v>
      </c>
      <c r="R294" t="str">
        <f>_xlfn.XLOOKUP(B294,CustomerMaster!$A$2:$A$287,CustomerMaster!$B$2:$B$287)</f>
        <v>Customer_8</v>
      </c>
      <c r="S294" t="str">
        <f>_xlfn.XLOOKUP(C294,ProductMaster!$A$2:$A$51,ProductMaster!$B$2:$B$51)</f>
        <v>Product_7</v>
      </c>
      <c r="T294" t="str">
        <f>_xlfn.XLOOKUP(G294,RegionMaster!$A$2:$A$5,RegionMaster!$B$2:$B$5)</f>
        <v>B</v>
      </c>
    </row>
    <row r="295" spans="1:20" ht="15.75" customHeight="1">
      <c r="A295" s="2" t="s">
        <v>1005</v>
      </c>
      <c r="B295" s="2" t="s">
        <v>365</v>
      </c>
      <c r="C295" s="2" t="s">
        <v>87</v>
      </c>
      <c r="D295" s="3">
        <v>45713</v>
      </c>
      <c r="E295" s="3">
        <v>45715</v>
      </c>
      <c r="F295" s="4"/>
      <c r="G295" s="2" t="s">
        <v>17</v>
      </c>
      <c r="H295" s="2" t="s">
        <v>16</v>
      </c>
      <c r="I295" s="2" t="s">
        <v>195</v>
      </c>
      <c r="J295" s="2" t="s">
        <v>94</v>
      </c>
      <c r="K295" s="2">
        <v>1928.92</v>
      </c>
      <c r="L295" s="2" t="str">
        <f t="shared" si="24"/>
        <v>February</v>
      </c>
      <c r="M295" s="2" t="str">
        <f t="shared" si="25"/>
        <v>February</v>
      </c>
      <c r="N295" t="str">
        <f t="shared" si="26"/>
        <v>Delivered</v>
      </c>
      <c r="O295">
        <f t="shared" si="27"/>
        <v>2</v>
      </c>
      <c r="P295" t="str">
        <f t="shared" si="28"/>
        <v>Completed</v>
      </c>
      <c r="Q295" t="str">
        <f t="shared" si="29"/>
        <v>Fast</v>
      </c>
      <c r="R295" t="str">
        <f>_xlfn.XLOOKUP(B295,CustomerMaster!$A$2:$A$287,CustomerMaster!$B$2:$B$287)</f>
        <v>Customer_90</v>
      </c>
      <c r="S295" t="str">
        <f>_xlfn.XLOOKUP(C295,ProductMaster!$A$2:$A$51,ProductMaster!$B$2:$B$51)</f>
        <v>Product_15</v>
      </c>
      <c r="T295" t="str">
        <f>_xlfn.XLOOKUP(G295,RegionMaster!$A$2:$A$5,RegionMaster!$B$2:$B$5)</f>
        <v>B</v>
      </c>
    </row>
    <row r="296" spans="1:20" ht="15.75" customHeight="1">
      <c r="A296" s="2" t="s">
        <v>1006</v>
      </c>
      <c r="B296" s="2" t="s">
        <v>392</v>
      </c>
      <c r="C296" s="2" t="s">
        <v>20</v>
      </c>
      <c r="D296" s="3">
        <v>45679</v>
      </c>
      <c r="E296" s="3">
        <v>45684</v>
      </c>
      <c r="F296" s="4"/>
      <c r="G296" s="2" t="s">
        <v>45</v>
      </c>
      <c r="H296" s="2" t="s">
        <v>54</v>
      </c>
      <c r="I296" s="2" t="s">
        <v>90</v>
      </c>
      <c r="J296" s="2" t="s">
        <v>94</v>
      </c>
      <c r="K296" s="2">
        <v>809.89</v>
      </c>
      <c r="L296" s="2" t="str">
        <f t="shared" si="24"/>
        <v>January</v>
      </c>
      <c r="M296" s="2" t="str">
        <f t="shared" si="25"/>
        <v>January</v>
      </c>
      <c r="N296" t="str">
        <f t="shared" si="26"/>
        <v>Delivered</v>
      </c>
      <c r="O296">
        <f t="shared" si="27"/>
        <v>5</v>
      </c>
      <c r="P296" t="str">
        <f t="shared" si="28"/>
        <v>Completed</v>
      </c>
      <c r="Q296" t="str">
        <f t="shared" si="29"/>
        <v>Slow</v>
      </c>
      <c r="R296" t="str">
        <f>_xlfn.XLOOKUP(B296,CustomerMaster!$A$2:$A$287,CustomerMaster!$B$2:$B$287)</f>
        <v>Customer_101</v>
      </c>
      <c r="S296" t="str">
        <f>_xlfn.XLOOKUP(C296,ProductMaster!$A$2:$A$51,ProductMaster!$B$2:$B$51)</f>
        <v>Product_1</v>
      </c>
      <c r="T296" t="str">
        <f>_xlfn.XLOOKUP(G296,RegionMaster!$A$2:$A$5,RegionMaster!$B$2:$B$5)</f>
        <v>D</v>
      </c>
    </row>
    <row r="297" spans="1:20" ht="15.75" customHeight="1">
      <c r="A297" s="2" t="s">
        <v>1007</v>
      </c>
      <c r="B297" s="2" t="s">
        <v>739</v>
      </c>
      <c r="C297" s="2" t="s">
        <v>128</v>
      </c>
      <c r="D297" s="3">
        <v>45739</v>
      </c>
      <c r="E297" s="3">
        <v>45745</v>
      </c>
      <c r="F297" s="4"/>
      <c r="G297" s="2" t="s">
        <v>22</v>
      </c>
      <c r="H297" s="2" t="s">
        <v>16</v>
      </c>
      <c r="I297" s="2" t="s">
        <v>178</v>
      </c>
      <c r="J297" s="2" t="s">
        <v>133</v>
      </c>
      <c r="K297" s="2">
        <v>2706.77</v>
      </c>
      <c r="L297" s="2" t="str">
        <f t="shared" si="24"/>
        <v>March</v>
      </c>
      <c r="M297" s="2" t="str">
        <f t="shared" si="25"/>
        <v>March</v>
      </c>
      <c r="N297" t="str">
        <f t="shared" si="26"/>
        <v>Delivered</v>
      </c>
      <c r="O297">
        <f t="shared" si="27"/>
        <v>6</v>
      </c>
      <c r="P297" t="str">
        <f t="shared" si="28"/>
        <v>Completed</v>
      </c>
      <c r="Q297" t="str">
        <f t="shared" si="29"/>
        <v>Slow</v>
      </c>
      <c r="R297" t="str">
        <f>_xlfn.XLOOKUP(B297,CustomerMaster!$A$2:$A$287,CustomerMaster!$B$2:$B$287)</f>
        <v>Customer_249</v>
      </c>
      <c r="S297" t="str">
        <f>_xlfn.XLOOKUP(C297,ProductMaster!$A$2:$A$51,ProductMaster!$B$2:$B$51)</f>
        <v>Product_25</v>
      </c>
      <c r="T297" t="str">
        <f>_xlfn.XLOOKUP(G297,RegionMaster!$A$2:$A$5,RegionMaster!$B$2:$B$5)</f>
        <v>C</v>
      </c>
    </row>
    <row r="298" spans="1:20" ht="15.75" customHeight="1">
      <c r="A298" s="2" t="s">
        <v>1008</v>
      </c>
      <c r="B298" s="2" t="s">
        <v>768</v>
      </c>
      <c r="C298" s="2" t="s">
        <v>146</v>
      </c>
      <c r="D298" s="3">
        <v>45760</v>
      </c>
      <c r="E298" s="3">
        <v>45762</v>
      </c>
      <c r="F298" s="4"/>
      <c r="G298" s="2" t="s">
        <v>7</v>
      </c>
      <c r="H298" s="2" t="s">
        <v>59</v>
      </c>
      <c r="I298" s="2" t="s">
        <v>90</v>
      </c>
      <c r="J298" s="2" t="s">
        <v>133</v>
      </c>
      <c r="K298" s="2">
        <v>3895.97</v>
      </c>
      <c r="L298" s="2" t="str">
        <f t="shared" si="24"/>
        <v>April</v>
      </c>
      <c r="M298" s="2" t="str">
        <f t="shared" si="25"/>
        <v>April</v>
      </c>
      <c r="N298" t="str">
        <f t="shared" si="26"/>
        <v>Delivered</v>
      </c>
      <c r="O298">
        <f t="shared" si="27"/>
        <v>2</v>
      </c>
      <c r="P298" t="str">
        <f t="shared" si="28"/>
        <v>Completed</v>
      </c>
      <c r="Q298" t="str">
        <f t="shared" si="29"/>
        <v>Fast</v>
      </c>
      <c r="R298" t="str">
        <f>_xlfn.XLOOKUP(B298,CustomerMaster!$A$2:$A$287,CustomerMaster!$B$2:$B$287)</f>
        <v>Customer_264</v>
      </c>
      <c r="S298" t="str">
        <f>_xlfn.XLOOKUP(C298,ProductMaster!$A$2:$A$51,ProductMaster!$B$2:$B$51)</f>
        <v>Product_30</v>
      </c>
      <c r="T298" t="str">
        <f>_xlfn.XLOOKUP(G298,RegionMaster!$A$2:$A$5,RegionMaster!$B$2:$B$5)</f>
        <v>A</v>
      </c>
    </row>
    <row r="299" spans="1:20" ht="15.75" customHeight="1">
      <c r="A299" s="2" t="s">
        <v>1009</v>
      </c>
      <c r="B299" s="2" t="s">
        <v>732</v>
      </c>
      <c r="C299" s="2" t="s">
        <v>128</v>
      </c>
      <c r="D299" s="3">
        <v>45687</v>
      </c>
      <c r="E299" s="3">
        <v>45688</v>
      </c>
      <c r="F299" s="4"/>
      <c r="G299" s="2" t="s">
        <v>45</v>
      </c>
      <c r="H299" s="2" t="s">
        <v>27</v>
      </c>
      <c r="I299" s="2" t="s">
        <v>178</v>
      </c>
      <c r="J299" s="2" t="s">
        <v>107</v>
      </c>
      <c r="K299" s="2">
        <v>1235.94</v>
      </c>
      <c r="L299" s="2" t="str">
        <f t="shared" si="24"/>
        <v>January</v>
      </c>
      <c r="M299" s="2" t="str">
        <f t="shared" si="25"/>
        <v>January</v>
      </c>
      <c r="N299" t="str">
        <f t="shared" si="26"/>
        <v>Delivered</v>
      </c>
      <c r="O299">
        <f t="shared" si="27"/>
        <v>1</v>
      </c>
      <c r="P299" t="str">
        <f t="shared" si="28"/>
        <v>Completed</v>
      </c>
      <c r="Q299" t="str">
        <f t="shared" si="29"/>
        <v>Fast</v>
      </c>
      <c r="R299" t="str">
        <f>_xlfn.XLOOKUP(B299,CustomerMaster!$A$2:$A$287,CustomerMaster!$B$2:$B$287)</f>
        <v>Customer_246</v>
      </c>
      <c r="S299" t="str">
        <f>_xlfn.XLOOKUP(C299,ProductMaster!$A$2:$A$51,ProductMaster!$B$2:$B$51)</f>
        <v>Product_25</v>
      </c>
      <c r="T299" t="str">
        <f>_xlfn.XLOOKUP(G299,RegionMaster!$A$2:$A$5,RegionMaster!$B$2:$B$5)</f>
        <v>D</v>
      </c>
    </row>
    <row r="300" spans="1:20" ht="15.75" customHeight="1">
      <c r="A300" s="2" t="s">
        <v>1010</v>
      </c>
      <c r="B300" s="2" t="s">
        <v>590</v>
      </c>
      <c r="C300" s="2" t="s">
        <v>43</v>
      </c>
      <c r="D300" s="3">
        <v>45726</v>
      </c>
      <c r="E300" s="4"/>
      <c r="F300" s="3">
        <v>45727</v>
      </c>
      <c r="G300" s="2" t="s">
        <v>7</v>
      </c>
      <c r="H300" s="2" t="s">
        <v>37</v>
      </c>
      <c r="I300" s="2" t="s">
        <v>106</v>
      </c>
      <c r="J300" s="2" t="s">
        <v>107</v>
      </c>
      <c r="K300" s="2">
        <v>3189.87</v>
      </c>
      <c r="L300" s="2" t="str">
        <f t="shared" si="24"/>
        <v>March</v>
      </c>
      <c r="M300" s="2" t="str">
        <f t="shared" si="25"/>
        <v>Cancelled</v>
      </c>
      <c r="N300" t="str">
        <f t="shared" si="26"/>
        <v>Cancelled</v>
      </c>
      <c r="O300" t="str">
        <f t="shared" si="27"/>
        <v>Order Cancelled</v>
      </c>
      <c r="P300" t="str">
        <f t="shared" si="28"/>
        <v>Cancelled</v>
      </c>
      <c r="Q300" t="str">
        <f t="shared" si="29"/>
        <v>Cancelled</v>
      </c>
      <c r="R300" t="str">
        <f>_xlfn.XLOOKUP(B300,CustomerMaster!$A$2:$A$287,CustomerMaster!$B$2:$B$287)</f>
        <v>Customer_183</v>
      </c>
      <c r="S300" t="str">
        <f>_xlfn.XLOOKUP(C300,ProductMaster!$A$2:$A$51,ProductMaster!$B$2:$B$51)</f>
        <v>Product_5</v>
      </c>
      <c r="T300" t="str">
        <f>_xlfn.XLOOKUP(G300,RegionMaster!$A$2:$A$5,RegionMaster!$B$2:$B$5)</f>
        <v>A</v>
      </c>
    </row>
    <row r="301" spans="1:20" ht="15.75" customHeight="1">
      <c r="A301" s="2" t="s">
        <v>1011</v>
      </c>
      <c r="B301" s="2" t="s">
        <v>615</v>
      </c>
      <c r="C301" s="2" t="s">
        <v>83</v>
      </c>
      <c r="D301" s="3">
        <v>45764</v>
      </c>
      <c r="E301" s="3">
        <v>45769</v>
      </c>
      <c r="F301" s="4"/>
      <c r="G301" s="2" t="s">
        <v>22</v>
      </c>
      <c r="H301" s="2" t="s">
        <v>59</v>
      </c>
      <c r="I301" s="2" t="s">
        <v>195</v>
      </c>
      <c r="J301" s="2" t="s">
        <v>133</v>
      </c>
      <c r="K301" s="2">
        <v>609.66999999999996</v>
      </c>
      <c r="L301" s="2" t="str">
        <f t="shared" si="24"/>
        <v>April</v>
      </c>
      <c r="M301" s="2" t="str">
        <f t="shared" si="25"/>
        <v>April</v>
      </c>
      <c r="N301" t="str">
        <f t="shared" si="26"/>
        <v>Delivered</v>
      </c>
      <c r="O301">
        <f t="shared" si="27"/>
        <v>5</v>
      </c>
      <c r="P301" t="str">
        <f t="shared" si="28"/>
        <v>Completed</v>
      </c>
      <c r="Q301" t="str">
        <f t="shared" si="29"/>
        <v>Slow</v>
      </c>
      <c r="R301" t="str">
        <f>_xlfn.XLOOKUP(B301,CustomerMaster!$A$2:$A$287,CustomerMaster!$B$2:$B$287)</f>
        <v>Customer_193</v>
      </c>
      <c r="S301" t="str">
        <f>_xlfn.XLOOKUP(C301,ProductMaster!$A$2:$A$51,ProductMaster!$B$2:$B$51)</f>
        <v>Product_14</v>
      </c>
      <c r="T301" t="str">
        <f>_xlfn.XLOOKUP(G301,RegionMaster!$A$2:$A$5,RegionMaster!$B$2:$B$5)</f>
        <v>C</v>
      </c>
    </row>
    <row r="302" spans="1:20" ht="15.75" customHeight="1">
      <c r="A302" s="2" t="s">
        <v>1012</v>
      </c>
      <c r="B302" s="2" t="s">
        <v>229</v>
      </c>
      <c r="C302" s="2" t="s">
        <v>68</v>
      </c>
      <c r="D302" s="3">
        <v>45711</v>
      </c>
      <c r="E302" s="3">
        <v>45716</v>
      </c>
      <c r="F302" s="4"/>
      <c r="G302" s="2" t="s">
        <v>17</v>
      </c>
      <c r="H302" s="2" t="s">
        <v>54</v>
      </c>
      <c r="I302" s="2" t="s">
        <v>106</v>
      </c>
      <c r="J302" s="2" t="s">
        <v>133</v>
      </c>
      <c r="K302" s="2">
        <v>448.07</v>
      </c>
      <c r="L302" s="2" t="str">
        <f t="shared" si="24"/>
        <v>February</v>
      </c>
      <c r="M302" s="2" t="str">
        <f t="shared" si="25"/>
        <v>February</v>
      </c>
      <c r="N302" t="str">
        <f t="shared" si="26"/>
        <v>Delivered</v>
      </c>
      <c r="O302">
        <f t="shared" si="27"/>
        <v>5</v>
      </c>
      <c r="P302" t="str">
        <f t="shared" si="28"/>
        <v>Completed</v>
      </c>
      <c r="Q302" t="str">
        <f t="shared" si="29"/>
        <v>Slow</v>
      </c>
      <c r="R302" t="str">
        <f>_xlfn.XLOOKUP(B302,CustomerMaster!$A$2:$A$287,CustomerMaster!$B$2:$B$287)</f>
        <v>Customer_33</v>
      </c>
      <c r="S302" t="str">
        <f>_xlfn.XLOOKUP(C302,ProductMaster!$A$2:$A$51,ProductMaster!$B$2:$B$51)</f>
        <v>Product_13</v>
      </c>
      <c r="T302" t="str">
        <f>_xlfn.XLOOKUP(G302,RegionMaster!$A$2:$A$5,RegionMaster!$B$2:$B$5)</f>
        <v>B</v>
      </c>
    </row>
    <row r="303" spans="1:20" ht="15.75" customHeight="1">
      <c r="A303" s="2" t="s">
        <v>1013</v>
      </c>
      <c r="B303" s="2" t="s">
        <v>175</v>
      </c>
      <c r="C303" s="2" t="s">
        <v>95</v>
      </c>
      <c r="D303" s="3">
        <v>45708</v>
      </c>
      <c r="E303" s="3">
        <v>45714</v>
      </c>
      <c r="F303" s="4"/>
      <c r="G303" s="2" t="s">
        <v>22</v>
      </c>
      <c r="H303" s="2" t="s">
        <v>59</v>
      </c>
      <c r="I303" s="2" t="s">
        <v>106</v>
      </c>
      <c r="J303" s="2" t="s">
        <v>94</v>
      </c>
      <c r="K303" s="2">
        <v>2750.5</v>
      </c>
      <c r="L303" s="2" t="str">
        <f t="shared" si="24"/>
        <v>February</v>
      </c>
      <c r="M303" s="2" t="str">
        <f t="shared" si="25"/>
        <v>February</v>
      </c>
      <c r="N303" t="str">
        <f t="shared" si="26"/>
        <v>Delivered</v>
      </c>
      <c r="O303">
        <f t="shared" si="27"/>
        <v>6</v>
      </c>
      <c r="P303" t="str">
        <f t="shared" si="28"/>
        <v>Completed</v>
      </c>
      <c r="Q303" t="str">
        <f t="shared" si="29"/>
        <v>Slow</v>
      </c>
      <c r="R303" t="str">
        <f>_xlfn.XLOOKUP(B303,CustomerMaster!$A$2:$A$287,CustomerMaster!$B$2:$B$287)</f>
        <v>Customer_22</v>
      </c>
      <c r="S303" t="str">
        <f>_xlfn.XLOOKUP(C303,ProductMaster!$A$2:$A$51,ProductMaster!$B$2:$B$51)</f>
        <v>Product_17</v>
      </c>
      <c r="T303" t="str">
        <f>_xlfn.XLOOKUP(G303,RegionMaster!$A$2:$A$5,RegionMaster!$B$2:$B$5)</f>
        <v>C</v>
      </c>
    </row>
    <row r="304" spans="1:20" ht="15.75" customHeight="1">
      <c r="A304" s="2" t="s">
        <v>1014</v>
      </c>
      <c r="B304" s="2" t="s">
        <v>600</v>
      </c>
      <c r="C304" s="2" t="s">
        <v>69</v>
      </c>
      <c r="D304" s="3">
        <v>45695</v>
      </c>
      <c r="E304" s="4"/>
      <c r="F304" s="3">
        <v>45696</v>
      </c>
      <c r="G304" s="2" t="s">
        <v>7</v>
      </c>
      <c r="H304" s="2" t="s">
        <v>16</v>
      </c>
      <c r="I304" s="2" t="s">
        <v>121</v>
      </c>
      <c r="J304" s="2" t="s">
        <v>94</v>
      </c>
      <c r="K304" s="2">
        <v>2795.05</v>
      </c>
      <c r="L304" s="2" t="str">
        <f t="shared" si="24"/>
        <v>February</v>
      </c>
      <c r="M304" s="2" t="str">
        <f t="shared" si="25"/>
        <v>Cancelled</v>
      </c>
      <c r="N304" t="str">
        <f t="shared" si="26"/>
        <v>Cancelled</v>
      </c>
      <c r="O304" t="str">
        <f t="shared" si="27"/>
        <v>Order Cancelled</v>
      </c>
      <c r="P304" t="str">
        <f t="shared" si="28"/>
        <v>Cancelled</v>
      </c>
      <c r="Q304" t="str">
        <f t="shared" si="29"/>
        <v>Cancelled</v>
      </c>
      <c r="R304" t="str">
        <f>_xlfn.XLOOKUP(B304,CustomerMaster!$A$2:$A$287,CustomerMaster!$B$2:$B$287)</f>
        <v>Customer_233</v>
      </c>
      <c r="S304" t="str">
        <f>_xlfn.XLOOKUP(C304,ProductMaster!$A$2:$A$51,ProductMaster!$B$2:$B$51)</f>
        <v>Product_9</v>
      </c>
      <c r="T304" t="str">
        <f>_xlfn.XLOOKUP(G304,RegionMaster!$A$2:$A$5,RegionMaster!$B$2:$B$5)</f>
        <v>A</v>
      </c>
    </row>
    <row r="305" spans="1:20" ht="15.75" customHeight="1">
      <c r="A305" s="2" t="s">
        <v>1015</v>
      </c>
      <c r="B305" s="2" t="s">
        <v>489</v>
      </c>
      <c r="C305" s="2" t="s">
        <v>141</v>
      </c>
      <c r="D305" s="3">
        <v>45740</v>
      </c>
      <c r="E305" s="4"/>
      <c r="F305" s="3">
        <v>45740</v>
      </c>
      <c r="G305" s="2" t="s">
        <v>45</v>
      </c>
      <c r="H305" s="2" t="s">
        <v>59</v>
      </c>
      <c r="I305" s="2" t="s">
        <v>90</v>
      </c>
      <c r="J305" s="2" t="s">
        <v>94</v>
      </c>
      <c r="K305" s="2">
        <v>3259.66</v>
      </c>
      <c r="L305" s="2" t="str">
        <f t="shared" si="24"/>
        <v>March</v>
      </c>
      <c r="M305" s="2" t="str">
        <f t="shared" si="25"/>
        <v>Cancelled</v>
      </c>
      <c r="N305" t="str">
        <f t="shared" si="26"/>
        <v>Cancelled</v>
      </c>
      <c r="O305" t="str">
        <f t="shared" si="27"/>
        <v>Order Cancelled</v>
      </c>
      <c r="P305" t="str">
        <f t="shared" si="28"/>
        <v>Cancelled</v>
      </c>
      <c r="Q305" t="str">
        <f t="shared" si="29"/>
        <v>Cancelled</v>
      </c>
      <c r="R305" t="str">
        <f>_xlfn.XLOOKUP(B305,CustomerMaster!$A$2:$A$287,CustomerMaster!$B$2:$B$287)</f>
        <v>Customer_142</v>
      </c>
      <c r="S305" t="str">
        <f>_xlfn.XLOOKUP(C305,ProductMaster!$A$2:$A$51,ProductMaster!$B$2:$B$51)</f>
        <v>Product_42</v>
      </c>
      <c r="T305" t="str">
        <f>_xlfn.XLOOKUP(G305,RegionMaster!$A$2:$A$5,RegionMaster!$B$2:$B$5)</f>
        <v>D</v>
      </c>
    </row>
    <row r="306" spans="1:20" ht="15.75" customHeight="1">
      <c r="A306" s="2" t="s">
        <v>1016</v>
      </c>
      <c r="B306" s="2" t="s">
        <v>337</v>
      </c>
      <c r="C306" s="2" t="s">
        <v>69</v>
      </c>
      <c r="D306" s="3">
        <v>45734</v>
      </c>
      <c r="E306" s="3">
        <v>45736</v>
      </c>
      <c r="F306" s="4"/>
      <c r="G306" s="2" t="s">
        <v>17</v>
      </c>
      <c r="H306" s="2" t="s">
        <v>54</v>
      </c>
      <c r="I306" s="2" t="s">
        <v>106</v>
      </c>
      <c r="J306" s="2" t="s">
        <v>133</v>
      </c>
      <c r="K306" s="2">
        <v>3685.24</v>
      </c>
      <c r="L306" s="2" t="str">
        <f t="shared" si="24"/>
        <v>March</v>
      </c>
      <c r="M306" s="2" t="str">
        <f t="shared" si="25"/>
        <v>March</v>
      </c>
      <c r="N306" t="str">
        <f t="shared" si="26"/>
        <v>Delivered</v>
      </c>
      <c r="O306">
        <f t="shared" si="27"/>
        <v>2</v>
      </c>
      <c r="P306" t="str">
        <f t="shared" si="28"/>
        <v>Completed</v>
      </c>
      <c r="Q306" t="str">
        <f t="shared" si="29"/>
        <v>Fast</v>
      </c>
      <c r="R306" t="str">
        <f>_xlfn.XLOOKUP(B306,CustomerMaster!$A$2:$A$287,CustomerMaster!$B$2:$B$287)</f>
        <v>Customer_107</v>
      </c>
      <c r="S306" t="str">
        <f>_xlfn.XLOOKUP(C306,ProductMaster!$A$2:$A$51,ProductMaster!$B$2:$B$51)</f>
        <v>Product_9</v>
      </c>
      <c r="T306" t="str">
        <f>_xlfn.XLOOKUP(G306,RegionMaster!$A$2:$A$5,RegionMaster!$B$2:$B$5)</f>
        <v>B</v>
      </c>
    </row>
    <row r="307" spans="1:20" ht="15.75" customHeight="1">
      <c r="A307" s="2" t="s">
        <v>1017</v>
      </c>
      <c r="B307" s="2" t="s">
        <v>272</v>
      </c>
      <c r="C307" s="2" t="s">
        <v>146</v>
      </c>
      <c r="D307" s="3">
        <v>45728</v>
      </c>
      <c r="E307" s="4"/>
      <c r="F307" s="3">
        <v>45729</v>
      </c>
      <c r="G307" s="2" t="s">
        <v>45</v>
      </c>
      <c r="H307" s="2" t="s">
        <v>37</v>
      </c>
      <c r="I307" s="2" t="s">
        <v>178</v>
      </c>
      <c r="J307" s="2" t="s">
        <v>94</v>
      </c>
      <c r="K307" s="2">
        <v>4884.09</v>
      </c>
      <c r="L307" s="2" t="str">
        <f t="shared" si="24"/>
        <v>March</v>
      </c>
      <c r="M307" s="2" t="str">
        <f t="shared" si="25"/>
        <v>Cancelled</v>
      </c>
      <c r="N307" t="str">
        <f t="shared" si="26"/>
        <v>Cancelled</v>
      </c>
      <c r="O307" t="str">
        <f t="shared" si="27"/>
        <v>Order Cancelled</v>
      </c>
      <c r="P307" t="str">
        <f t="shared" si="28"/>
        <v>Cancelled</v>
      </c>
      <c r="Q307" t="str">
        <f t="shared" si="29"/>
        <v>Cancelled</v>
      </c>
      <c r="R307" t="str">
        <f>_xlfn.XLOOKUP(B307,CustomerMaster!$A$2:$A$287,CustomerMaster!$B$2:$B$287)</f>
        <v>Customer_50</v>
      </c>
      <c r="S307" t="str">
        <f>_xlfn.XLOOKUP(C307,ProductMaster!$A$2:$A$51,ProductMaster!$B$2:$B$51)</f>
        <v>Product_30</v>
      </c>
      <c r="T307" t="str">
        <f>_xlfn.XLOOKUP(G307,RegionMaster!$A$2:$A$5,RegionMaster!$B$2:$B$5)</f>
        <v>D</v>
      </c>
    </row>
    <row r="308" spans="1:20" ht="15.75" customHeight="1">
      <c r="A308" s="2" t="s">
        <v>1018</v>
      </c>
      <c r="B308" s="2" t="s">
        <v>262</v>
      </c>
      <c r="C308" s="2" t="s">
        <v>157</v>
      </c>
      <c r="D308" s="3">
        <v>45673</v>
      </c>
      <c r="E308" s="3">
        <v>45676</v>
      </c>
      <c r="F308" s="4"/>
      <c r="G308" s="2" t="s">
        <v>17</v>
      </c>
      <c r="H308" s="2" t="s">
        <v>27</v>
      </c>
      <c r="I308" s="2" t="s">
        <v>121</v>
      </c>
      <c r="J308" s="2" t="s">
        <v>133</v>
      </c>
      <c r="K308" s="2">
        <v>2678.24</v>
      </c>
      <c r="L308" s="2" t="str">
        <f t="shared" si="24"/>
        <v>January</v>
      </c>
      <c r="M308" s="2" t="str">
        <f t="shared" si="25"/>
        <v>January</v>
      </c>
      <c r="N308" t="str">
        <f t="shared" si="26"/>
        <v>Delivered</v>
      </c>
      <c r="O308">
        <f t="shared" si="27"/>
        <v>3</v>
      </c>
      <c r="P308" t="str">
        <f t="shared" si="28"/>
        <v>Completed</v>
      </c>
      <c r="Q308" t="str">
        <f t="shared" si="29"/>
        <v>Slow</v>
      </c>
      <c r="R308" t="str">
        <f>_xlfn.XLOOKUP(B308,CustomerMaster!$A$2:$A$287,CustomerMaster!$B$2:$B$287)</f>
        <v>Customer_46</v>
      </c>
      <c r="S308" t="str">
        <f>_xlfn.XLOOKUP(C308,ProductMaster!$A$2:$A$51,ProductMaster!$B$2:$B$51)</f>
        <v>Product_33</v>
      </c>
      <c r="T308" t="str">
        <f>_xlfn.XLOOKUP(G308,RegionMaster!$A$2:$A$5,RegionMaster!$B$2:$B$5)</f>
        <v>B</v>
      </c>
    </row>
    <row r="309" spans="1:20" ht="15.75" customHeight="1">
      <c r="A309" s="2" t="s">
        <v>1019</v>
      </c>
      <c r="B309" s="2" t="s">
        <v>776</v>
      </c>
      <c r="C309" s="2" t="s">
        <v>173</v>
      </c>
      <c r="D309" s="3">
        <v>45700</v>
      </c>
      <c r="E309" s="3">
        <v>45705</v>
      </c>
      <c r="F309" s="4"/>
      <c r="G309" s="2" t="s">
        <v>7</v>
      </c>
      <c r="H309" s="2" t="s">
        <v>27</v>
      </c>
      <c r="I309" s="2" t="s">
        <v>195</v>
      </c>
      <c r="J309" s="2" t="s">
        <v>133</v>
      </c>
      <c r="K309" s="2">
        <v>1750.19</v>
      </c>
      <c r="L309" s="2" t="str">
        <f t="shared" si="24"/>
        <v>February</v>
      </c>
      <c r="M309" s="2" t="str">
        <f t="shared" si="25"/>
        <v>February</v>
      </c>
      <c r="N309" t="str">
        <f t="shared" si="26"/>
        <v>Delivered</v>
      </c>
      <c r="O309">
        <f t="shared" si="27"/>
        <v>5</v>
      </c>
      <c r="P309" t="str">
        <f t="shared" si="28"/>
        <v>Completed</v>
      </c>
      <c r="Q309" t="str">
        <f t="shared" si="29"/>
        <v>Slow</v>
      </c>
      <c r="R309" t="str">
        <f>_xlfn.XLOOKUP(B309,CustomerMaster!$A$2:$A$287,CustomerMaster!$B$2:$B$287)</f>
        <v>Customer_270</v>
      </c>
      <c r="S309" t="str">
        <f>_xlfn.XLOOKUP(C309,ProductMaster!$A$2:$A$51,ProductMaster!$B$2:$B$51)</f>
        <v>Product_38</v>
      </c>
      <c r="T309" t="str">
        <f>_xlfn.XLOOKUP(G309,RegionMaster!$A$2:$A$5,RegionMaster!$B$2:$B$5)</f>
        <v>A</v>
      </c>
    </row>
    <row r="310" spans="1:20" ht="15.75" customHeight="1">
      <c r="A310" s="2" t="s">
        <v>1020</v>
      </c>
      <c r="B310" s="2" t="s">
        <v>447</v>
      </c>
      <c r="C310" s="2" t="s">
        <v>83</v>
      </c>
      <c r="D310" s="3">
        <v>45692</v>
      </c>
      <c r="E310" s="3">
        <v>45695</v>
      </c>
      <c r="F310" s="4"/>
      <c r="G310" s="2" t="s">
        <v>17</v>
      </c>
      <c r="H310" s="2" t="s">
        <v>37</v>
      </c>
      <c r="I310" s="2" t="s">
        <v>178</v>
      </c>
      <c r="J310" s="2" t="s">
        <v>107</v>
      </c>
      <c r="K310" s="2">
        <v>4016.89</v>
      </c>
      <c r="L310" s="2" t="str">
        <f t="shared" si="24"/>
        <v>February</v>
      </c>
      <c r="M310" s="2" t="str">
        <f t="shared" si="25"/>
        <v>February</v>
      </c>
      <c r="N310" t="str">
        <f t="shared" si="26"/>
        <v>Delivered</v>
      </c>
      <c r="O310">
        <f t="shared" si="27"/>
        <v>3</v>
      </c>
      <c r="P310" t="str">
        <f t="shared" si="28"/>
        <v>Completed</v>
      </c>
      <c r="Q310" t="str">
        <f t="shared" si="29"/>
        <v>Slow</v>
      </c>
      <c r="R310" t="str">
        <f>_xlfn.XLOOKUP(B310,CustomerMaster!$A$2:$A$287,CustomerMaster!$B$2:$B$287)</f>
        <v>Customer_268</v>
      </c>
      <c r="S310" t="str">
        <f>_xlfn.XLOOKUP(C310,ProductMaster!$A$2:$A$51,ProductMaster!$B$2:$B$51)</f>
        <v>Product_14</v>
      </c>
      <c r="T310" t="str">
        <f>_xlfn.XLOOKUP(G310,RegionMaster!$A$2:$A$5,RegionMaster!$B$2:$B$5)</f>
        <v>B</v>
      </c>
    </row>
    <row r="311" spans="1:20" ht="15.75" customHeight="1">
      <c r="A311" s="2" t="s">
        <v>1021</v>
      </c>
      <c r="B311" s="2" t="s">
        <v>728</v>
      </c>
      <c r="C311" s="2" t="s">
        <v>20</v>
      </c>
      <c r="D311" s="3">
        <v>45730</v>
      </c>
      <c r="E311" s="3">
        <v>45734</v>
      </c>
      <c r="F311" s="4"/>
      <c r="G311" s="2" t="s">
        <v>7</v>
      </c>
      <c r="H311" s="2" t="s">
        <v>54</v>
      </c>
      <c r="I311" s="2" t="s">
        <v>106</v>
      </c>
      <c r="J311" s="2" t="s">
        <v>107</v>
      </c>
      <c r="K311" s="2">
        <v>1499.99</v>
      </c>
      <c r="L311" s="2" t="str">
        <f t="shared" si="24"/>
        <v>March</v>
      </c>
      <c r="M311" s="2" t="str">
        <f t="shared" si="25"/>
        <v>March</v>
      </c>
      <c r="N311" t="str">
        <f t="shared" si="26"/>
        <v>Delivered</v>
      </c>
      <c r="O311">
        <f t="shared" si="27"/>
        <v>4</v>
      </c>
      <c r="P311" t="str">
        <f t="shared" si="28"/>
        <v>Completed</v>
      </c>
      <c r="Q311" t="str">
        <f t="shared" si="29"/>
        <v>Slow</v>
      </c>
      <c r="R311" t="str">
        <f>_xlfn.XLOOKUP(B311,CustomerMaster!$A$2:$A$287,CustomerMaster!$B$2:$B$287)</f>
        <v>Customer_244</v>
      </c>
      <c r="S311" t="str">
        <f>_xlfn.XLOOKUP(C311,ProductMaster!$A$2:$A$51,ProductMaster!$B$2:$B$51)</f>
        <v>Product_1</v>
      </c>
      <c r="T311" t="str">
        <f>_xlfn.XLOOKUP(G311,RegionMaster!$A$2:$A$5,RegionMaster!$B$2:$B$5)</f>
        <v>A</v>
      </c>
    </row>
    <row r="312" spans="1:20" ht="15.75" customHeight="1">
      <c r="A312" s="2" t="s">
        <v>1022</v>
      </c>
      <c r="B312" s="2" t="s">
        <v>233</v>
      </c>
      <c r="C312" s="2" t="s">
        <v>87</v>
      </c>
      <c r="D312" s="3">
        <v>45710</v>
      </c>
      <c r="E312" s="4"/>
      <c r="F312" s="3">
        <v>45710</v>
      </c>
      <c r="G312" s="2" t="s">
        <v>22</v>
      </c>
      <c r="H312" s="2" t="s">
        <v>54</v>
      </c>
      <c r="I312" s="2" t="s">
        <v>121</v>
      </c>
      <c r="J312" s="2" t="s">
        <v>94</v>
      </c>
      <c r="K312" s="2">
        <v>2307.06</v>
      </c>
      <c r="L312" s="2" t="str">
        <f t="shared" si="24"/>
        <v>February</v>
      </c>
      <c r="M312" s="2" t="str">
        <f t="shared" si="25"/>
        <v>Cancelled</v>
      </c>
      <c r="N312" t="str">
        <f t="shared" si="26"/>
        <v>Cancelled</v>
      </c>
      <c r="O312" t="str">
        <f t="shared" si="27"/>
        <v>Order Cancelled</v>
      </c>
      <c r="P312" t="str">
        <f t="shared" si="28"/>
        <v>Cancelled</v>
      </c>
      <c r="Q312" t="str">
        <f t="shared" si="29"/>
        <v>Cancelled</v>
      </c>
      <c r="R312" t="str">
        <f>_xlfn.XLOOKUP(B312,CustomerMaster!$A$2:$A$287,CustomerMaster!$B$2:$B$287)</f>
        <v>Customer_35</v>
      </c>
      <c r="S312" t="str">
        <f>_xlfn.XLOOKUP(C312,ProductMaster!$A$2:$A$51,ProductMaster!$B$2:$B$51)</f>
        <v>Product_15</v>
      </c>
      <c r="T312" t="str">
        <f>_xlfn.XLOOKUP(G312,RegionMaster!$A$2:$A$5,RegionMaster!$B$2:$B$5)</f>
        <v>C</v>
      </c>
    </row>
    <row r="313" spans="1:20" ht="15.75" customHeight="1">
      <c r="A313" s="2" t="s">
        <v>1023</v>
      </c>
      <c r="B313" s="2" t="s">
        <v>156</v>
      </c>
      <c r="C313" s="2" t="s">
        <v>109</v>
      </c>
      <c r="D313" s="3">
        <v>45667</v>
      </c>
      <c r="E313" s="4"/>
      <c r="F313" s="3">
        <v>45669</v>
      </c>
      <c r="G313" s="2" t="s">
        <v>45</v>
      </c>
      <c r="H313" s="2" t="s">
        <v>27</v>
      </c>
      <c r="I313" s="2" t="s">
        <v>195</v>
      </c>
      <c r="J313" s="2" t="s">
        <v>133</v>
      </c>
      <c r="K313" s="2">
        <v>576.59</v>
      </c>
      <c r="L313" s="2" t="str">
        <f t="shared" si="24"/>
        <v>January</v>
      </c>
      <c r="M313" s="2" t="str">
        <f t="shared" si="25"/>
        <v>Cancelled</v>
      </c>
      <c r="N313" t="str">
        <f t="shared" si="26"/>
        <v>Cancelled</v>
      </c>
      <c r="O313" t="str">
        <f t="shared" si="27"/>
        <v>Order Cancelled</v>
      </c>
      <c r="P313" t="str">
        <f t="shared" si="28"/>
        <v>Cancelled</v>
      </c>
      <c r="Q313" t="str">
        <f t="shared" si="29"/>
        <v>Cancelled</v>
      </c>
      <c r="R313" t="str">
        <f>_xlfn.XLOOKUP(B313,CustomerMaster!$A$2:$A$287,CustomerMaster!$B$2:$B$287)</f>
        <v>Customer_20</v>
      </c>
      <c r="S313" t="str">
        <f>_xlfn.XLOOKUP(C313,ProductMaster!$A$2:$A$51,ProductMaster!$B$2:$B$51)</f>
        <v>Product_20</v>
      </c>
      <c r="T313" t="str">
        <f>_xlfn.XLOOKUP(G313,RegionMaster!$A$2:$A$5,RegionMaster!$B$2:$B$5)</f>
        <v>D</v>
      </c>
    </row>
    <row r="314" spans="1:20" ht="15.75" customHeight="1">
      <c r="A314" s="2" t="s">
        <v>1024</v>
      </c>
      <c r="B314" s="2" t="s">
        <v>783</v>
      </c>
      <c r="C314" s="2" t="s">
        <v>160</v>
      </c>
      <c r="D314" s="3">
        <v>45726</v>
      </c>
      <c r="E314" s="3">
        <v>45731</v>
      </c>
      <c r="F314" s="4"/>
      <c r="G314" s="2" t="s">
        <v>7</v>
      </c>
      <c r="H314" s="2" t="s">
        <v>37</v>
      </c>
      <c r="I314" s="2" t="s">
        <v>195</v>
      </c>
      <c r="J314" s="2" t="s">
        <v>94</v>
      </c>
      <c r="K314" s="2">
        <v>321.68</v>
      </c>
      <c r="L314" s="2" t="str">
        <f t="shared" si="24"/>
        <v>March</v>
      </c>
      <c r="M314" s="2" t="str">
        <f t="shared" si="25"/>
        <v>March</v>
      </c>
      <c r="N314" t="str">
        <f t="shared" si="26"/>
        <v>Delivered</v>
      </c>
      <c r="O314">
        <f t="shared" si="27"/>
        <v>5</v>
      </c>
      <c r="P314" t="str">
        <f t="shared" si="28"/>
        <v>Completed</v>
      </c>
      <c r="Q314" t="str">
        <f t="shared" si="29"/>
        <v>Slow</v>
      </c>
      <c r="R314" t="str">
        <f>_xlfn.XLOOKUP(B314,CustomerMaster!$A$2:$A$287,CustomerMaster!$B$2:$B$287)</f>
        <v>Customer_274</v>
      </c>
      <c r="S314" t="str">
        <f>_xlfn.XLOOKUP(C314,ProductMaster!$A$2:$A$51,ProductMaster!$B$2:$B$51)</f>
        <v>Product_34</v>
      </c>
      <c r="T314" t="str">
        <f>_xlfn.XLOOKUP(G314,RegionMaster!$A$2:$A$5,RegionMaster!$B$2:$B$5)</f>
        <v>A</v>
      </c>
    </row>
    <row r="315" spans="1:20" ht="15.75" customHeight="1">
      <c r="A315" s="2" t="s">
        <v>1025</v>
      </c>
      <c r="B315" s="2" t="s">
        <v>203</v>
      </c>
      <c r="C315" s="2" t="s">
        <v>95</v>
      </c>
      <c r="D315" s="3">
        <v>45758</v>
      </c>
      <c r="E315" s="3">
        <v>45761</v>
      </c>
      <c r="F315" s="4"/>
      <c r="G315" s="2" t="s">
        <v>45</v>
      </c>
      <c r="H315" s="2" t="s">
        <v>54</v>
      </c>
      <c r="I315" s="2" t="s">
        <v>178</v>
      </c>
      <c r="J315" s="2" t="s">
        <v>94</v>
      </c>
      <c r="K315" s="2">
        <v>4820.71</v>
      </c>
      <c r="L315" s="2" t="str">
        <f t="shared" si="24"/>
        <v>April</v>
      </c>
      <c r="M315" s="2" t="str">
        <f t="shared" si="25"/>
        <v>April</v>
      </c>
      <c r="N315" t="str">
        <f t="shared" si="26"/>
        <v>Delivered</v>
      </c>
      <c r="O315">
        <f t="shared" si="27"/>
        <v>3</v>
      </c>
      <c r="P315" t="str">
        <f t="shared" si="28"/>
        <v>Completed</v>
      </c>
      <c r="Q315" t="str">
        <f t="shared" si="29"/>
        <v>Slow</v>
      </c>
      <c r="R315" t="str">
        <f>_xlfn.XLOOKUP(B315,CustomerMaster!$A$2:$A$287,CustomerMaster!$B$2:$B$287)</f>
        <v>Customer_91</v>
      </c>
      <c r="S315" t="str">
        <f>_xlfn.XLOOKUP(C315,ProductMaster!$A$2:$A$51,ProductMaster!$B$2:$B$51)</f>
        <v>Product_17</v>
      </c>
      <c r="T315" t="str">
        <f>_xlfn.XLOOKUP(G315,RegionMaster!$A$2:$A$5,RegionMaster!$B$2:$B$5)</f>
        <v>D</v>
      </c>
    </row>
    <row r="316" spans="1:20" ht="15.75" customHeight="1">
      <c r="A316" s="2" t="s">
        <v>1026</v>
      </c>
      <c r="B316" s="2" t="s">
        <v>171</v>
      </c>
      <c r="C316" s="2" t="s">
        <v>146</v>
      </c>
      <c r="D316" s="3">
        <v>45686</v>
      </c>
      <c r="E316" s="3">
        <v>45691</v>
      </c>
      <c r="F316" s="4"/>
      <c r="G316" s="2" t="s">
        <v>7</v>
      </c>
      <c r="H316" s="2" t="s">
        <v>27</v>
      </c>
      <c r="I316" s="2" t="s">
        <v>195</v>
      </c>
      <c r="J316" s="2" t="s">
        <v>94</v>
      </c>
      <c r="K316" s="2">
        <v>4212.7</v>
      </c>
      <c r="L316" s="2" t="str">
        <f t="shared" si="24"/>
        <v>January</v>
      </c>
      <c r="M316" s="2" t="str">
        <f t="shared" si="25"/>
        <v>February</v>
      </c>
      <c r="N316" t="str">
        <f t="shared" si="26"/>
        <v>Delivered</v>
      </c>
      <c r="O316">
        <f t="shared" si="27"/>
        <v>5</v>
      </c>
      <c r="P316" t="str">
        <f t="shared" si="28"/>
        <v>Completed</v>
      </c>
      <c r="Q316" t="str">
        <f t="shared" si="29"/>
        <v>Slow</v>
      </c>
      <c r="R316" t="str">
        <f>_xlfn.XLOOKUP(B316,CustomerMaster!$A$2:$A$287,CustomerMaster!$B$2:$B$287)</f>
        <v>Customer_250</v>
      </c>
      <c r="S316" t="str">
        <f>_xlfn.XLOOKUP(C316,ProductMaster!$A$2:$A$51,ProductMaster!$B$2:$B$51)</f>
        <v>Product_30</v>
      </c>
      <c r="T316" t="str">
        <f>_xlfn.XLOOKUP(G316,RegionMaster!$A$2:$A$5,RegionMaster!$B$2:$B$5)</f>
        <v>A</v>
      </c>
    </row>
    <row r="317" spans="1:20" ht="15.75" customHeight="1">
      <c r="A317" s="2" t="s">
        <v>1027</v>
      </c>
      <c r="B317" s="2" t="s">
        <v>275</v>
      </c>
      <c r="C317" s="2" t="s">
        <v>29</v>
      </c>
      <c r="D317" s="3">
        <v>45684</v>
      </c>
      <c r="E317" s="3">
        <v>45687</v>
      </c>
      <c r="F317" s="4"/>
      <c r="G317" s="2" t="s">
        <v>22</v>
      </c>
      <c r="H317" s="2" t="s">
        <v>16</v>
      </c>
      <c r="I317" s="2" t="s">
        <v>178</v>
      </c>
      <c r="J317" s="2" t="s">
        <v>133</v>
      </c>
      <c r="K317" s="2">
        <v>3540.68</v>
      </c>
      <c r="L317" s="2" t="str">
        <f t="shared" si="24"/>
        <v>January</v>
      </c>
      <c r="M317" s="2" t="str">
        <f t="shared" si="25"/>
        <v>January</v>
      </c>
      <c r="N317" t="str">
        <f t="shared" si="26"/>
        <v>Delivered</v>
      </c>
      <c r="O317">
        <f t="shared" si="27"/>
        <v>3</v>
      </c>
      <c r="P317" t="str">
        <f t="shared" si="28"/>
        <v>Completed</v>
      </c>
      <c r="Q317" t="str">
        <f t="shared" si="29"/>
        <v>Slow</v>
      </c>
      <c r="R317" t="str">
        <f>_xlfn.XLOOKUP(B317,CustomerMaster!$A$2:$A$287,CustomerMaster!$B$2:$B$287)</f>
        <v>Customer_199</v>
      </c>
      <c r="S317" t="str">
        <f>_xlfn.XLOOKUP(C317,ProductMaster!$A$2:$A$51,ProductMaster!$B$2:$B$51)</f>
        <v>Product_2</v>
      </c>
      <c r="T317" t="str">
        <f>_xlfn.XLOOKUP(G317,RegionMaster!$A$2:$A$5,RegionMaster!$B$2:$B$5)</f>
        <v>C</v>
      </c>
    </row>
    <row r="318" spans="1:20" ht="15.75" customHeight="1">
      <c r="A318" s="2" t="s">
        <v>1028</v>
      </c>
      <c r="B318" s="2" t="s">
        <v>326</v>
      </c>
      <c r="C318" s="2" t="s">
        <v>207</v>
      </c>
      <c r="D318" s="3">
        <v>45670</v>
      </c>
      <c r="E318" s="3">
        <v>45674</v>
      </c>
      <c r="F318" s="4"/>
      <c r="G318" s="2" t="s">
        <v>17</v>
      </c>
      <c r="H318" s="2" t="s">
        <v>16</v>
      </c>
      <c r="I318" s="2" t="s">
        <v>178</v>
      </c>
      <c r="J318" s="2" t="s">
        <v>94</v>
      </c>
      <c r="K318" s="2">
        <v>2162.9699999999998</v>
      </c>
      <c r="L318" s="2" t="str">
        <f t="shared" si="24"/>
        <v>January</v>
      </c>
      <c r="M318" s="2" t="str">
        <f t="shared" si="25"/>
        <v>January</v>
      </c>
      <c r="N318" t="str">
        <f t="shared" si="26"/>
        <v>Delivered</v>
      </c>
      <c r="O318">
        <f t="shared" si="27"/>
        <v>4</v>
      </c>
      <c r="P318" t="str">
        <f t="shared" si="28"/>
        <v>Completed</v>
      </c>
      <c r="Q318" t="str">
        <f t="shared" si="29"/>
        <v>Slow</v>
      </c>
      <c r="R318" t="str">
        <f>_xlfn.XLOOKUP(B318,CustomerMaster!$A$2:$A$287,CustomerMaster!$B$2:$B$287)</f>
        <v>Customer_72</v>
      </c>
      <c r="S318" t="str">
        <f>_xlfn.XLOOKUP(C318,ProductMaster!$A$2:$A$51,ProductMaster!$B$2:$B$51)</f>
        <v>Product_47</v>
      </c>
      <c r="T318" t="str">
        <f>_xlfn.XLOOKUP(G318,RegionMaster!$A$2:$A$5,RegionMaster!$B$2:$B$5)</f>
        <v>B</v>
      </c>
    </row>
    <row r="319" spans="1:20" ht="15.75" customHeight="1">
      <c r="A319" s="2" t="s">
        <v>1029</v>
      </c>
      <c r="B319" s="2" t="s">
        <v>716</v>
      </c>
      <c r="C319" s="2" t="s">
        <v>69</v>
      </c>
      <c r="D319" s="3">
        <v>45666</v>
      </c>
      <c r="E319" s="3">
        <v>45670</v>
      </c>
      <c r="F319" s="4"/>
      <c r="G319" s="2" t="s">
        <v>45</v>
      </c>
      <c r="H319" s="2" t="s">
        <v>16</v>
      </c>
      <c r="I319" s="2" t="s">
        <v>90</v>
      </c>
      <c r="J319" s="2" t="s">
        <v>133</v>
      </c>
      <c r="K319" s="2">
        <v>1031.81</v>
      </c>
      <c r="L319" s="2" t="str">
        <f t="shared" si="24"/>
        <v>January</v>
      </c>
      <c r="M319" s="2" t="str">
        <f t="shared" si="25"/>
        <v>January</v>
      </c>
      <c r="N319" t="str">
        <f t="shared" si="26"/>
        <v>Delivered</v>
      </c>
      <c r="O319">
        <f t="shared" si="27"/>
        <v>4</v>
      </c>
      <c r="P319" t="str">
        <f t="shared" si="28"/>
        <v>Completed</v>
      </c>
      <c r="Q319" t="str">
        <f t="shared" si="29"/>
        <v>Slow</v>
      </c>
      <c r="R319" t="str">
        <f>_xlfn.XLOOKUP(B319,CustomerMaster!$A$2:$A$287,CustomerMaster!$B$2:$B$287)</f>
        <v>Customer_238</v>
      </c>
      <c r="S319" t="str">
        <f>_xlfn.XLOOKUP(C319,ProductMaster!$A$2:$A$51,ProductMaster!$B$2:$B$51)</f>
        <v>Product_9</v>
      </c>
      <c r="T319" t="str">
        <f>_xlfn.XLOOKUP(G319,RegionMaster!$A$2:$A$5,RegionMaster!$B$2:$B$5)</f>
        <v>D</v>
      </c>
    </row>
    <row r="320" spans="1:20" ht="15.75" customHeight="1">
      <c r="A320" s="2" t="s">
        <v>1030</v>
      </c>
      <c r="B320" s="2" t="s">
        <v>781</v>
      </c>
      <c r="C320" s="2" t="s">
        <v>183</v>
      </c>
      <c r="D320" s="3">
        <v>45699</v>
      </c>
      <c r="E320" s="4"/>
      <c r="F320" s="3">
        <v>45700</v>
      </c>
      <c r="G320" s="2" t="s">
        <v>7</v>
      </c>
      <c r="H320" s="2" t="s">
        <v>54</v>
      </c>
      <c r="I320" s="2" t="s">
        <v>195</v>
      </c>
      <c r="J320" s="2" t="s">
        <v>107</v>
      </c>
      <c r="K320" s="2">
        <v>950.9</v>
      </c>
      <c r="L320" s="2" t="str">
        <f t="shared" si="24"/>
        <v>February</v>
      </c>
      <c r="M320" s="2" t="str">
        <f t="shared" si="25"/>
        <v>Cancelled</v>
      </c>
      <c r="N320" t="str">
        <f t="shared" si="26"/>
        <v>Cancelled</v>
      </c>
      <c r="O320" t="str">
        <f t="shared" si="27"/>
        <v>Order Cancelled</v>
      </c>
      <c r="P320" t="str">
        <f t="shared" si="28"/>
        <v>Cancelled</v>
      </c>
      <c r="Q320" t="str">
        <f t="shared" si="29"/>
        <v>Cancelled</v>
      </c>
      <c r="R320" t="str">
        <f>_xlfn.XLOOKUP(B320,CustomerMaster!$A$2:$A$287,CustomerMaster!$B$2:$B$287)</f>
        <v>Customer_273</v>
      </c>
      <c r="S320" t="str">
        <f>_xlfn.XLOOKUP(C320,ProductMaster!$A$2:$A$51,ProductMaster!$B$2:$B$51)</f>
        <v>Product_41</v>
      </c>
      <c r="T320" t="str">
        <f>_xlfn.XLOOKUP(G320,RegionMaster!$A$2:$A$5,RegionMaster!$B$2:$B$5)</f>
        <v>A</v>
      </c>
    </row>
    <row r="321" spans="1:20" ht="15.75" customHeight="1">
      <c r="A321" s="2" t="s">
        <v>1031</v>
      </c>
      <c r="B321" s="2" t="s">
        <v>462</v>
      </c>
      <c r="C321" s="2" t="s">
        <v>183</v>
      </c>
      <c r="D321" s="3">
        <v>45723</v>
      </c>
      <c r="E321" s="4"/>
      <c r="F321" s="3">
        <v>45724</v>
      </c>
      <c r="G321" s="2" t="s">
        <v>45</v>
      </c>
      <c r="H321" s="2" t="s">
        <v>59</v>
      </c>
      <c r="I321" s="2" t="s">
        <v>121</v>
      </c>
      <c r="J321" s="2" t="s">
        <v>107</v>
      </c>
      <c r="K321" s="2">
        <v>1401.17</v>
      </c>
      <c r="L321" s="2" t="str">
        <f t="shared" si="24"/>
        <v>March</v>
      </c>
      <c r="M321" s="2" t="str">
        <f t="shared" si="25"/>
        <v>Cancelled</v>
      </c>
      <c r="N321" t="str">
        <f t="shared" si="26"/>
        <v>Cancelled</v>
      </c>
      <c r="O321" t="str">
        <f t="shared" si="27"/>
        <v>Order Cancelled</v>
      </c>
      <c r="P321" t="str">
        <f t="shared" si="28"/>
        <v>Cancelled</v>
      </c>
      <c r="Q321" t="str">
        <f t="shared" si="29"/>
        <v>Cancelled</v>
      </c>
      <c r="R321" t="str">
        <f>_xlfn.XLOOKUP(B321,CustomerMaster!$A$2:$A$287,CustomerMaster!$B$2:$B$287)</f>
        <v>Customer_130</v>
      </c>
      <c r="S321" t="str">
        <f>_xlfn.XLOOKUP(C321,ProductMaster!$A$2:$A$51,ProductMaster!$B$2:$B$51)</f>
        <v>Product_41</v>
      </c>
      <c r="T321" t="str">
        <f>_xlfn.XLOOKUP(G321,RegionMaster!$A$2:$A$5,RegionMaster!$B$2:$B$5)</f>
        <v>D</v>
      </c>
    </row>
    <row r="322" spans="1:20" ht="15.75" customHeight="1">
      <c r="A322" s="2" t="s">
        <v>1032</v>
      </c>
      <c r="B322" s="2" t="s">
        <v>676</v>
      </c>
      <c r="C322" s="2" t="s">
        <v>142</v>
      </c>
      <c r="D322" s="3">
        <v>45709</v>
      </c>
      <c r="E322" s="3">
        <v>45714</v>
      </c>
      <c r="F322" s="4"/>
      <c r="G322" s="2" t="s">
        <v>22</v>
      </c>
      <c r="H322" s="2" t="s">
        <v>27</v>
      </c>
      <c r="I322" s="2" t="s">
        <v>178</v>
      </c>
      <c r="J322" s="2" t="s">
        <v>94</v>
      </c>
      <c r="K322" s="2">
        <v>2836.29</v>
      </c>
      <c r="L322" s="2" t="str">
        <f t="shared" si="24"/>
        <v>February</v>
      </c>
      <c r="M322" s="2" t="str">
        <f t="shared" si="25"/>
        <v>February</v>
      </c>
      <c r="N322" t="str">
        <f t="shared" si="26"/>
        <v>Delivered</v>
      </c>
      <c r="O322">
        <f t="shared" si="27"/>
        <v>5</v>
      </c>
      <c r="P322" t="str">
        <f t="shared" si="28"/>
        <v>Completed</v>
      </c>
      <c r="Q322" t="str">
        <f t="shared" si="29"/>
        <v>Slow</v>
      </c>
      <c r="R322" t="str">
        <f>_xlfn.XLOOKUP(B322,CustomerMaster!$A$2:$A$287,CustomerMaster!$B$2:$B$287)</f>
        <v>Customer_220</v>
      </c>
      <c r="S322" t="str">
        <f>_xlfn.XLOOKUP(C322,ProductMaster!$A$2:$A$51,ProductMaster!$B$2:$B$51)</f>
        <v>Product_29</v>
      </c>
      <c r="T322" t="str">
        <f>_xlfn.XLOOKUP(G322,RegionMaster!$A$2:$A$5,RegionMaster!$B$2:$B$5)</f>
        <v>C</v>
      </c>
    </row>
    <row r="323" spans="1:20" ht="15.75" customHeight="1">
      <c r="A323" s="2" t="s">
        <v>1033</v>
      </c>
      <c r="B323" s="2" t="s">
        <v>600</v>
      </c>
      <c r="C323" s="2" t="s">
        <v>160</v>
      </c>
      <c r="D323" s="3">
        <v>45756</v>
      </c>
      <c r="E323" s="3">
        <v>45759</v>
      </c>
      <c r="F323" s="4"/>
      <c r="G323" s="2" t="s">
        <v>17</v>
      </c>
      <c r="H323" s="2" t="s">
        <v>16</v>
      </c>
      <c r="I323" s="2" t="s">
        <v>121</v>
      </c>
      <c r="J323" s="2" t="s">
        <v>94</v>
      </c>
      <c r="K323" s="2">
        <v>3630.06</v>
      </c>
      <c r="L323" s="2" t="str">
        <f t="shared" ref="L323:L386" si="30">TEXT(D323,"MMMM")</f>
        <v>April</v>
      </c>
      <c r="M323" s="2" t="str">
        <f t="shared" ref="M323:M386" si="31">IF(NOT(ISBLANK(E323)),TEXT(E323,"MMMM"),"Cancelled")</f>
        <v>April</v>
      </c>
      <c r="N323" t="str">
        <f t="shared" ref="N323:N386" si="32">IF(F323="","Delivered","Cancelled")</f>
        <v>Delivered</v>
      </c>
      <c r="O323">
        <f t="shared" ref="O323:O386" si="33">IF(E323="","Order Cancelled",_xlfn.DAYS(E323,D323))</f>
        <v>3</v>
      </c>
      <c r="P323" t="str">
        <f t="shared" ref="P323:P386" si="34">IF(F323="","Completed","Cancelled")</f>
        <v>Completed</v>
      </c>
      <c r="Q323" t="str">
        <f t="shared" ref="Q323:Q386" si="35">IF(O323="Order Cancelled","Cancelled",IF(O323&lt;=2,"Fast","Slow"))</f>
        <v>Slow</v>
      </c>
      <c r="R323" t="str">
        <f>_xlfn.XLOOKUP(B323,CustomerMaster!$A$2:$A$287,CustomerMaster!$B$2:$B$287)</f>
        <v>Customer_233</v>
      </c>
      <c r="S323" t="str">
        <f>_xlfn.XLOOKUP(C323,ProductMaster!$A$2:$A$51,ProductMaster!$B$2:$B$51)</f>
        <v>Product_34</v>
      </c>
      <c r="T323" t="str">
        <f>_xlfn.XLOOKUP(G323,RegionMaster!$A$2:$A$5,RegionMaster!$B$2:$B$5)</f>
        <v>B</v>
      </c>
    </row>
    <row r="324" spans="1:20" ht="15.75" customHeight="1">
      <c r="A324" s="2" t="s">
        <v>1034</v>
      </c>
      <c r="B324" s="2" t="s">
        <v>593</v>
      </c>
      <c r="C324" s="2" t="s">
        <v>173</v>
      </c>
      <c r="D324" s="3">
        <v>45724</v>
      </c>
      <c r="E324" s="3">
        <v>45729</v>
      </c>
      <c r="F324" s="4"/>
      <c r="G324" s="2" t="s">
        <v>22</v>
      </c>
      <c r="H324" s="2" t="s">
        <v>54</v>
      </c>
      <c r="I324" s="2" t="s">
        <v>106</v>
      </c>
      <c r="J324" s="2" t="s">
        <v>94</v>
      </c>
      <c r="K324" s="2">
        <v>3368.95</v>
      </c>
      <c r="L324" s="2" t="str">
        <f t="shared" si="30"/>
        <v>March</v>
      </c>
      <c r="M324" s="2" t="str">
        <f t="shared" si="31"/>
        <v>March</v>
      </c>
      <c r="N324" t="str">
        <f t="shared" si="32"/>
        <v>Delivered</v>
      </c>
      <c r="O324">
        <f t="shared" si="33"/>
        <v>5</v>
      </c>
      <c r="P324" t="str">
        <f t="shared" si="34"/>
        <v>Completed</v>
      </c>
      <c r="Q324" t="str">
        <f t="shared" si="35"/>
        <v>Slow</v>
      </c>
      <c r="R324" t="str">
        <f>_xlfn.XLOOKUP(B324,CustomerMaster!$A$2:$A$287,CustomerMaster!$B$2:$B$287)</f>
        <v>Customer_184</v>
      </c>
      <c r="S324" t="str">
        <f>_xlfn.XLOOKUP(C324,ProductMaster!$A$2:$A$51,ProductMaster!$B$2:$B$51)</f>
        <v>Product_38</v>
      </c>
      <c r="T324" t="str">
        <f>_xlfn.XLOOKUP(G324,RegionMaster!$A$2:$A$5,RegionMaster!$B$2:$B$5)</f>
        <v>C</v>
      </c>
    </row>
    <row r="325" spans="1:20" ht="15.75" customHeight="1">
      <c r="A325" s="2" t="s">
        <v>1035</v>
      </c>
      <c r="B325" s="2" t="s">
        <v>447</v>
      </c>
      <c r="C325" s="2" t="s">
        <v>162</v>
      </c>
      <c r="D325" s="3">
        <v>45659</v>
      </c>
      <c r="E325" s="3">
        <v>45660</v>
      </c>
      <c r="F325" s="4"/>
      <c r="G325" s="2" t="s">
        <v>45</v>
      </c>
      <c r="H325" s="2" t="s">
        <v>59</v>
      </c>
      <c r="I325" s="2" t="s">
        <v>178</v>
      </c>
      <c r="J325" s="2" t="s">
        <v>107</v>
      </c>
      <c r="K325" s="2">
        <v>1543.68</v>
      </c>
      <c r="L325" s="2" t="str">
        <f t="shared" si="30"/>
        <v>January</v>
      </c>
      <c r="M325" s="2" t="str">
        <f t="shared" si="31"/>
        <v>January</v>
      </c>
      <c r="N325" t="str">
        <f t="shared" si="32"/>
        <v>Delivered</v>
      </c>
      <c r="O325">
        <f t="shared" si="33"/>
        <v>1</v>
      </c>
      <c r="P325" t="str">
        <f t="shared" si="34"/>
        <v>Completed</v>
      </c>
      <c r="Q325" t="str">
        <f t="shared" si="35"/>
        <v>Fast</v>
      </c>
      <c r="R325" t="str">
        <f>_xlfn.XLOOKUP(B325,CustomerMaster!$A$2:$A$287,CustomerMaster!$B$2:$B$287)</f>
        <v>Customer_268</v>
      </c>
      <c r="S325" t="str">
        <f>_xlfn.XLOOKUP(C325,ProductMaster!$A$2:$A$51,ProductMaster!$B$2:$B$51)</f>
        <v>Product_35</v>
      </c>
      <c r="T325" t="str">
        <f>_xlfn.XLOOKUP(G325,RegionMaster!$A$2:$A$5,RegionMaster!$B$2:$B$5)</f>
        <v>D</v>
      </c>
    </row>
    <row r="326" spans="1:20" ht="15.75" customHeight="1">
      <c r="A326" s="2" t="s">
        <v>1036</v>
      </c>
      <c r="B326" s="2" t="s">
        <v>408</v>
      </c>
      <c r="C326" s="2" t="s">
        <v>138</v>
      </c>
      <c r="D326" s="3">
        <v>45741</v>
      </c>
      <c r="E326" s="3">
        <v>45746</v>
      </c>
      <c r="F326" s="4"/>
      <c r="G326" s="2" t="s">
        <v>45</v>
      </c>
      <c r="H326" s="2" t="s">
        <v>54</v>
      </c>
      <c r="I326" s="2" t="s">
        <v>106</v>
      </c>
      <c r="J326" s="2" t="s">
        <v>94</v>
      </c>
      <c r="K326" s="2">
        <v>4783.3500000000004</v>
      </c>
      <c r="L326" s="2" t="str">
        <f t="shared" si="30"/>
        <v>March</v>
      </c>
      <c r="M326" s="2" t="str">
        <f t="shared" si="31"/>
        <v>March</v>
      </c>
      <c r="N326" t="str">
        <f t="shared" si="32"/>
        <v>Delivered</v>
      </c>
      <c r="O326">
        <f t="shared" si="33"/>
        <v>5</v>
      </c>
      <c r="P326" t="str">
        <f t="shared" si="34"/>
        <v>Completed</v>
      </c>
      <c r="Q326" t="str">
        <f t="shared" si="35"/>
        <v>Slow</v>
      </c>
      <c r="R326" t="str">
        <f>_xlfn.XLOOKUP(B326,CustomerMaster!$A$2:$A$287,CustomerMaster!$B$2:$B$287)</f>
        <v>Customer_108</v>
      </c>
      <c r="S326" t="str">
        <f>_xlfn.XLOOKUP(C326,ProductMaster!$A$2:$A$51,ProductMaster!$B$2:$B$51)</f>
        <v>Product_28</v>
      </c>
      <c r="T326" t="str">
        <f>_xlfn.XLOOKUP(G326,RegionMaster!$A$2:$A$5,RegionMaster!$B$2:$B$5)</f>
        <v>D</v>
      </c>
    </row>
    <row r="327" spans="1:20" ht="15.75" customHeight="1">
      <c r="A327" s="2" t="s">
        <v>1037</v>
      </c>
      <c r="B327" s="2" t="s">
        <v>197</v>
      </c>
      <c r="C327" s="2" t="s">
        <v>172</v>
      </c>
      <c r="D327" s="3">
        <v>45752</v>
      </c>
      <c r="E327" s="4"/>
      <c r="F327" s="3">
        <v>45753</v>
      </c>
      <c r="G327" s="2" t="s">
        <v>45</v>
      </c>
      <c r="H327" s="2" t="s">
        <v>27</v>
      </c>
      <c r="I327" s="2" t="s">
        <v>178</v>
      </c>
      <c r="J327" s="2" t="s">
        <v>107</v>
      </c>
      <c r="K327" s="2">
        <v>3741.91</v>
      </c>
      <c r="L327" s="2" t="str">
        <f t="shared" si="30"/>
        <v>April</v>
      </c>
      <c r="M327" s="2" t="str">
        <f t="shared" si="31"/>
        <v>Cancelled</v>
      </c>
      <c r="N327" t="str">
        <f t="shared" si="32"/>
        <v>Cancelled</v>
      </c>
      <c r="O327" t="str">
        <f t="shared" si="33"/>
        <v>Order Cancelled</v>
      </c>
      <c r="P327" t="str">
        <f t="shared" si="34"/>
        <v>Cancelled</v>
      </c>
      <c r="Q327" t="str">
        <f t="shared" si="35"/>
        <v>Cancelled</v>
      </c>
      <c r="R327" t="str">
        <f>_xlfn.XLOOKUP(B327,CustomerMaster!$A$2:$A$287,CustomerMaster!$B$2:$B$287)</f>
        <v>Customer_26</v>
      </c>
      <c r="S327" t="str">
        <f>_xlfn.XLOOKUP(C327,ProductMaster!$A$2:$A$51,ProductMaster!$B$2:$B$51)</f>
        <v>Product_39</v>
      </c>
      <c r="T327" t="str">
        <f>_xlfn.XLOOKUP(G327,RegionMaster!$A$2:$A$5,RegionMaster!$B$2:$B$5)</f>
        <v>D</v>
      </c>
    </row>
    <row r="328" spans="1:20" ht="15.75" customHeight="1">
      <c r="A328" s="2" t="s">
        <v>1038</v>
      </c>
      <c r="B328" s="2" t="s">
        <v>410</v>
      </c>
      <c r="C328" s="2" t="s">
        <v>29</v>
      </c>
      <c r="D328" s="3">
        <v>45690</v>
      </c>
      <c r="E328" s="3">
        <v>45696</v>
      </c>
      <c r="F328" s="4"/>
      <c r="G328" s="2" t="s">
        <v>7</v>
      </c>
      <c r="H328" s="2" t="s">
        <v>27</v>
      </c>
      <c r="I328" s="2" t="s">
        <v>121</v>
      </c>
      <c r="J328" s="2" t="s">
        <v>133</v>
      </c>
      <c r="K328" s="2">
        <v>2860.9</v>
      </c>
      <c r="L328" s="2" t="str">
        <f t="shared" si="30"/>
        <v>February</v>
      </c>
      <c r="M328" s="2" t="str">
        <f t="shared" si="31"/>
        <v>February</v>
      </c>
      <c r="N328" t="str">
        <f t="shared" si="32"/>
        <v>Delivered</v>
      </c>
      <c r="O328">
        <f t="shared" si="33"/>
        <v>6</v>
      </c>
      <c r="P328" t="str">
        <f t="shared" si="34"/>
        <v>Completed</v>
      </c>
      <c r="Q328" t="str">
        <f t="shared" si="35"/>
        <v>Slow</v>
      </c>
      <c r="R328" t="str">
        <f>_xlfn.XLOOKUP(B328,CustomerMaster!$A$2:$A$287,CustomerMaster!$B$2:$B$287)</f>
        <v>Customer_109</v>
      </c>
      <c r="S328" t="str">
        <f>_xlfn.XLOOKUP(C328,ProductMaster!$A$2:$A$51,ProductMaster!$B$2:$B$51)</f>
        <v>Product_2</v>
      </c>
      <c r="T328" t="str">
        <f>_xlfn.XLOOKUP(G328,RegionMaster!$A$2:$A$5,RegionMaster!$B$2:$B$5)</f>
        <v>A</v>
      </c>
    </row>
    <row r="329" spans="1:20" ht="15.75" customHeight="1">
      <c r="A329" s="2" t="s">
        <v>1039</v>
      </c>
      <c r="B329" s="2" t="s">
        <v>44</v>
      </c>
      <c r="C329" s="2" t="s">
        <v>29</v>
      </c>
      <c r="D329" s="3">
        <v>45771</v>
      </c>
      <c r="E329" s="4"/>
      <c r="F329" s="3">
        <v>45773</v>
      </c>
      <c r="G329" s="2" t="s">
        <v>7</v>
      </c>
      <c r="H329" s="2" t="s">
        <v>27</v>
      </c>
      <c r="I329" s="2" t="s">
        <v>106</v>
      </c>
      <c r="J329" s="2" t="s">
        <v>133</v>
      </c>
      <c r="K329" s="2">
        <v>3136.26</v>
      </c>
      <c r="L329" s="2" t="str">
        <f t="shared" si="30"/>
        <v>April</v>
      </c>
      <c r="M329" s="2" t="str">
        <f t="shared" si="31"/>
        <v>Cancelled</v>
      </c>
      <c r="N329" t="str">
        <f t="shared" si="32"/>
        <v>Cancelled</v>
      </c>
      <c r="O329" t="str">
        <f t="shared" si="33"/>
        <v>Order Cancelled</v>
      </c>
      <c r="P329" t="str">
        <f t="shared" si="34"/>
        <v>Cancelled</v>
      </c>
      <c r="Q329" t="str">
        <f t="shared" si="35"/>
        <v>Cancelled</v>
      </c>
      <c r="R329" t="str">
        <f>_xlfn.XLOOKUP(B329,CustomerMaster!$A$2:$A$287,CustomerMaster!$B$2:$B$287)</f>
        <v>Customer_4</v>
      </c>
      <c r="S329" t="str">
        <f>_xlfn.XLOOKUP(C329,ProductMaster!$A$2:$A$51,ProductMaster!$B$2:$B$51)</f>
        <v>Product_2</v>
      </c>
      <c r="T329" t="str">
        <f>_xlfn.XLOOKUP(G329,RegionMaster!$A$2:$A$5,RegionMaster!$B$2:$B$5)</f>
        <v>A</v>
      </c>
    </row>
    <row r="330" spans="1:20" ht="15.75" customHeight="1">
      <c r="A330" s="2" t="s">
        <v>1040</v>
      </c>
      <c r="B330" s="2" t="s">
        <v>670</v>
      </c>
      <c r="C330" s="2" t="s">
        <v>63</v>
      </c>
      <c r="D330" s="3">
        <v>45778</v>
      </c>
      <c r="E330" s="3">
        <v>45782</v>
      </c>
      <c r="F330" s="4"/>
      <c r="G330" s="2" t="s">
        <v>45</v>
      </c>
      <c r="H330" s="2" t="s">
        <v>37</v>
      </c>
      <c r="I330" s="2" t="s">
        <v>90</v>
      </c>
      <c r="J330" s="2" t="s">
        <v>94</v>
      </c>
      <c r="K330" s="2">
        <v>2214.08</v>
      </c>
      <c r="L330" s="2" t="str">
        <f t="shared" si="30"/>
        <v>May</v>
      </c>
      <c r="M330" s="2" t="str">
        <f t="shared" si="31"/>
        <v>May</v>
      </c>
      <c r="N330" t="str">
        <f t="shared" si="32"/>
        <v>Delivered</v>
      </c>
      <c r="O330">
        <f t="shared" si="33"/>
        <v>4</v>
      </c>
      <c r="P330" t="str">
        <f t="shared" si="34"/>
        <v>Completed</v>
      </c>
      <c r="Q330" t="str">
        <f t="shared" si="35"/>
        <v>Slow</v>
      </c>
      <c r="R330" t="str">
        <f>_xlfn.XLOOKUP(B330,CustomerMaster!$A$2:$A$287,CustomerMaster!$B$2:$B$287)</f>
        <v>Customer_217</v>
      </c>
      <c r="S330" t="str">
        <f>_xlfn.XLOOKUP(C330,ProductMaster!$A$2:$A$51,ProductMaster!$B$2:$B$51)</f>
        <v>Product_8</v>
      </c>
      <c r="T330" t="str">
        <f>_xlfn.XLOOKUP(G330,RegionMaster!$A$2:$A$5,RegionMaster!$B$2:$B$5)</f>
        <v>D</v>
      </c>
    </row>
    <row r="331" spans="1:20" ht="15.75" customHeight="1">
      <c r="A331" s="2" t="s">
        <v>1041</v>
      </c>
      <c r="B331" s="2" t="s">
        <v>218</v>
      </c>
      <c r="C331" s="2" t="s">
        <v>43</v>
      </c>
      <c r="D331" s="3">
        <v>45739</v>
      </c>
      <c r="E331" s="3">
        <v>45742</v>
      </c>
      <c r="F331" s="4"/>
      <c r="G331" s="2" t="s">
        <v>17</v>
      </c>
      <c r="H331" s="2" t="s">
        <v>16</v>
      </c>
      <c r="I331" s="2" t="s">
        <v>195</v>
      </c>
      <c r="J331" s="2" t="s">
        <v>133</v>
      </c>
      <c r="K331" s="2">
        <v>1389.11</v>
      </c>
      <c r="L331" s="2" t="str">
        <f t="shared" si="30"/>
        <v>March</v>
      </c>
      <c r="M331" s="2" t="str">
        <f t="shared" si="31"/>
        <v>March</v>
      </c>
      <c r="N331" t="str">
        <f t="shared" si="32"/>
        <v>Delivered</v>
      </c>
      <c r="O331">
        <f t="shared" si="33"/>
        <v>3</v>
      </c>
      <c r="P331" t="str">
        <f t="shared" si="34"/>
        <v>Completed</v>
      </c>
      <c r="Q331" t="str">
        <f t="shared" si="35"/>
        <v>Slow</v>
      </c>
      <c r="R331" t="str">
        <f>_xlfn.XLOOKUP(B331,CustomerMaster!$A$2:$A$287,CustomerMaster!$B$2:$B$287)</f>
        <v>Customer_30</v>
      </c>
      <c r="S331" t="str">
        <f>_xlfn.XLOOKUP(C331,ProductMaster!$A$2:$A$51,ProductMaster!$B$2:$B$51)</f>
        <v>Product_5</v>
      </c>
      <c r="T331" t="str">
        <f>_xlfn.XLOOKUP(G331,RegionMaster!$A$2:$A$5,RegionMaster!$B$2:$B$5)</f>
        <v>B</v>
      </c>
    </row>
    <row r="332" spans="1:20" ht="15.75" customHeight="1">
      <c r="A332" s="2" t="s">
        <v>1042</v>
      </c>
      <c r="B332" s="2" t="s">
        <v>455</v>
      </c>
      <c r="C332" s="2" t="s">
        <v>29</v>
      </c>
      <c r="D332" s="3">
        <v>45690</v>
      </c>
      <c r="E332" s="4"/>
      <c r="F332" s="3">
        <v>45690</v>
      </c>
      <c r="G332" s="2" t="s">
        <v>7</v>
      </c>
      <c r="H332" s="2" t="s">
        <v>37</v>
      </c>
      <c r="I332" s="2" t="s">
        <v>121</v>
      </c>
      <c r="J332" s="2" t="s">
        <v>133</v>
      </c>
      <c r="K332" s="2">
        <v>1908.67</v>
      </c>
      <c r="L332" s="2" t="str">
        <f t="shared" si="30"/>
        <v>February</v>
      </c>
      <c r="M332" s="2" t="str">
        <f t="shared" si="31"/>
        <v>Cancelled</v>
      </c>
      <c r="N332" t="str">
        <f t="shared" si="32"/>
        <v>Cancelled</v>
      </c>
      <c r="O332" t="str">
        <f t="shared" si="33"/>
        <v>Order Cancelled</v>
      </c>
      <c r="P332" t="str">
        <f t="shared" si="34"/>
        <v>Cancelled</v>
      </c>
      <c r="Q332" t="str">
        <f t="shared" si="35"/>
        <v>Cancelled</v>
      </c>
      <c r="R332" t="str">
        <f>_xlfn.XLOOKUP(B332,CustomerMaster!$A$2:$A$287,CustomerMaster!$B$2:$B$287)</f>
        <v>Customer_127</v>
      </c>
      <c r="S332" t="str">
        <f>_xlfn.XLOOKUP(C332,ProductMaster!$A$2:$A$51,ProductMaster!$B$2:$B$51)</f>
        <v>Product_2</v>
      </c>
      <c r="T332" t="str">
        <f>_xlfn.XLOOKUP(G332,RegionMaster!$A$2:$A$5,RegionMaster!$B$2:$B$5)</f>
        <v>A</v>
      </c>
    </row>
    <row r="333" spans="1:20" ht="15.75" customHeight="1">
      <c r="A333" s="2" t="s">
        <v>1043</v>
      </c>
      <c r="B333" s="2" t="s">
        <v>259</v>
      </c>
      <c r="C333" s="2" t="s">
        <v>207</v>
      </c>
      <c r="D333" s="3">
        <v>45731</v>
      </c>
      <c r="E333" s="3">
        <v>45733</v>
      </c>
      <c r="F333" s="4"/>
      <c r="G333" s="2" t="s">
        <v>22</v>
      </c>
      <c r="H333" s="2" t="s">
        <v>16</v>
      </c>
      <c r="I333" s="2" t="s">
        <v>178</v>
      </c>
      <c r="J333" s="2" t="s">
        <v>133</v>
      </c>
      <c r="K333" s="2">
        <v>3837.66</v>
      </c>
      <c r="L333" s="2" t="str">
        <f t="shared" si="30"/>
        <v>March</v>
      </c>
      <c r="M333" s="2" t="str">
        <f t="shared" si="31"/>
        <v>March</v>
      </c>
      <c r="N333" t="str">
        <f t="shared" si="32"/>
        <v>Delivered</v>
      </c>
      <c r="O333">
        <f t="shared" si="33"/>
        <v>2</v>
      </c>
      <c r="P333" t="str">
        <f t="shared" si="34"/>
        <v>Completed</v>
      </c>
      <c r="Q333" t="str">
        <f t="shared" si="35"/>
        <v>Fast</v>
      </c>
      <c r="R333" t="str">
        <f>_xlfn.XLOOKUP(B333,CustomerMaster!$A$2:$A$287,CustomerMaster!$B$2:$B$287)</f>
        <v>Customer_45</v>
      </c>
      <c r="S333" t="str">
        <f>_xlfn.XLOOKUP(C333,ProductMaster!$A$2:$A$51,ProductMaster!$B$2:$B$51)</f>
        <v>Product_47</v>
      </c>
      <c r="T333" t="str">
        <f>_xlfn.XLOOKUP(G333,RegionMaster!$A$2:$A$5,RegionMaster!$B$2:$B$5)</f>
        <v>C</v>
      </c>
    </row>
    <row r="334" spans="1:20" ht="15.75" customHeight="1">
      <c r="A334" s="2" t="s">
        <v>1044</v>
      </c>
      <c r="B334" s="2" t="s">
        <v>799</v>
      </c>
      <c r="C334" s="2" t="s">
        <v>87</v>
      </c>
      <c r="D334" s="3">
        <v>45710</v>
      </c>
      <c r="E334" s="3">
        <v>45714</v>
      </c>
      <c r="F334" s="4"/>
      <c r="G334" s="2" t="s">
        <v>17</v>
      </c>
      <c r="H334" s="2" t="s">
        <v>54</v>
      </c>
      <c r="I334" s="2" t="s">
        <v>106</v>
      </c>
      <c r="J334" s="2" t="s">
        <v>94</v>
      </c>
      <c r="K334" s="2">
        <v>269.08999999999997</v>
      </c>
      <c r="L334" s="2" t="str">
        <f t="shared" si="30"/>
        <v>February</v>
      </c>
      <c r="M334" s="2" t="str">
        <f t="shared" si="31"/>
        <v>February</v>
      </c>
      <c r="N334" t="str">
        <f t="shared" si="32"/>
        <v>Delivered</v>
      </c>
      <c r="O334">
        <f t="shared" si="33"/>
        <v>4</v>
      </c>
      <c r="P334" t="str">
        <f t="shared" si="34"/>
        <v>Completed</v>
      </c>
      <c r="Q334" t="str">
        <f t="shared" si="35"/>
        <v>Slow</v>
      </c>
      <c r="R334" t="str">
        <f>_xlfn.XLOOKUP(B334,CustomerMaster!$A$2:$A$287,CustomerMaster!$B$2:$B$287)</f>
        <v>Customer_284</v>
      </c>
      <c r="S334" t="str">
        <f>_xlfn.XLOOKUP(C334,ProductMaster!$A$2:$A$51,ProductMaster!$B$2:$B$51)</f>
        <v>Product_15</v>
      </c>
      <c r="T334" t="str">
        <f>_xlfn.XLOOKUP(G334,RegionMaster!$A$2:$A$5,RegionMaster!$B$2:$B$5)</f>
        <v>B</v>
      </c>
    </row>
    <row r="335" spans="1:20" ht="15.75" customHeight="1">
      <c r="A335" s="2" t="s">
        <v>1045</v>
      </c>
      <c r="B335" s="2" t="s">
        <v>229</v>
      </c>
      <c r="C335" s="2" t="s">
        <v>199</v>
      </c>
      <c r="D335" s="3">
        <v>45720</v>
      </c>
      <c r="E335" s="4"/>
      <c r="F335" s="3">
        <v>45720</v>
      </c>
      <c r="G335" s="2" t="s">
        <v>17</v>
      </c>
      <c r="H335" s="2" t="s">
        <v>54</v>
      </c>
      <c r="I335" s="2" t="s">
        <v>90</v>
      </c>
      <c r="J335" s="2" t="s">
        <v>133</v>
      </c>
      <c r="K335" s="2">
        <v>757.15</v>
      </c>
      <c r="L335" s="2" t="str">
        <f t="shared" si="30"/>
        <v>March</v>
      </c>
      <c r="M335" s="2" t="str">
        <f t="shared" si="31"/>
        <v>Cancelled</v>
      </c>
      <c r="N335" t="str">
        <f t="shared" si="32"/>
        <v>Cancelled</v>
      </c>
      <c r="O335" t="str">
        <f t="shared" si="33"/>
        <v>Order Cancelled</v>
      </c>
      <c r="P335" t="str">
        <f t="shared" si="34"/>
        <v>Cancelled</v>
      </c>
      <c r="Q335" t="str">
        <f t="shared" si="35"/>
        <v>Cancelled</v>
      </c>
      <c r="R335" t="str">
        <f>_xlfn.XLOOKUP(B335,CustomerMaster!$A$2:$A$287,CustomerMaster!$B$2:$B$287)</f>
        <v>Customer_33</v>
      </c>
      <c r="S335" t="str">
        <f>_xlfn.XLOOKUP(C335,ProductMaster!$A$2:$A$51,ProductMaster!$B$2:$B$51)</f>
        <v>Product_45</v>
      </c>
      <c r="T335" t="str">
        <f>_xlfn.XLOOKUP(G335,RegionMaster!$A$2:$A$5,RegionMaster!$B$2:$B$5)</f>
        <v>B</v>
      </c>
    </row>
    <row r="336" spans="1:20" ht="15.75" customHeight="1">
      <c r="A336" s="2" t="s">
        <v>1046</v>
      </c>
      <c r="B336" s="2" t="s">
        <v>750</v>
      </c>
      <c r="C336" s="2" t="s">
        <v>122</v>
      </c>
      <c r="D336" s="3">
        <v>45660</v>
      </c>
      <c r="E336" s="3">
        <v>45663</v>
      </c>
      <c r="F336" s="4"/>
      <c r="G336" s="2" t="s">
        <v>17</v>
      </c>
      <c r="H336" s="2" t="s">
        <v>27</v>
      </c>
      <c r="I336" s="2" t="s">
        <v>90</v>
      </c>
      <c r="J336" s="2" t="s">
        <v>133</v>
      </c>
      <c r="K336" s="2">
        <v>420.81</v>
      </c>
      <c r="L336" s="2" t="str">
        <f t="shared" si="30"/>
        <v>January</v>
      </c>
      <c r="M336" s="2" t="str">
        <f t="shared" si="31"/>
        <v>January</v>
      </c>
      <c r="N336" t="str">
        <f t="shared" si="32"/>
        <v>Delivered</v>
      </c>
      <c r="O336">
        <f t="shared" si="33"/>
        <v>3</v>
      </c>
      <c r="P336" t="str">
        <f t="shared" si="34"/>
        <v>Completed</v>
      </c>
      <c r="Q336" t="str">
        <f t="shared" si="35"/>
        <v>Slow</v>
      </c>
      <c r="R336" t="str">
        <f>_xlfn.XLOOKUP(B336,CustomerMaster!$A$2:$A$287,CustomerMaster!$B$2:$B$287)</f>
        <v>Customer_254</v>
      </c>
      <c r="S336" t="str">
        <f>_xlfn.XLOOKUP(C336,ProductMaster!$A$2:$A$51,ProductMaster!$B$2:$B$51)</f>
        <v>Product_23</v>
      </c>
      <c r="T336" t="str">
        <f>_xlfn.XLOOKUP(G336,RegionMaster!$A$2:$A$5,RegionMaster!$B$2:$B$5)</f>
        <v>B</v>
      </c>
    </row>
    <row r="337" spans="1:20" ht="15.75" customHeight="1">
      <c r="A337" s="2" t="s">
        <v>1047</v>
      </c>
      <c r="B337" s="2" t="s">
        <v>179</v>
      </c>
      <c r="C337" s="2" t="s">
        <v>102</v>
      </c>
      <c r="D337" s="3">
        <v>45722</v>
      </c>
      <c r="E337" s="4"/>
      <c r="F337" s="3">
        <v>45724</v>
      </c>
      <c r="G337" s="2" t="s">
        <v>45</v>
      </c>
      <c r="H337" s="2" t="s">
        <v>27</v>
      </c>
      <c r="I337" s="2" t="s">
        <v>178</v>
      </c>
      <c r="J337" s="2" t="s">
        <v>94</v>
      </c>
      <c r="K337" s="2">
        <v>395.5</v>
      </c>
      <c r="L337" s="2" t="str">
        <f t="shared" si="30"/>
        <v>March</v>
      </c>
      <c r="M337" s="2" t="str">
        <f t="shared" si="31"/>
        <v>Cancelled</v>
      </c>
      <c r="N337" t="str">
        <f t="shared" si="32"/>
        <v>Cancelled</v>
      </c>
      <c r="O337" t="str">
        <f t="shared" si="33"/>
        <v>Order Cancelled</v>
      </c>
      <c r="P337" t="str">
        <f t="shared" si="34"/>
        <v>Cancelled</v>
      </c>
      <c r="Q337" t="str">
        <f t="shared" si="35"/>
        <v>Cancelled</v>
      </c>
      <c r="R337" t="str">
        <f>_xlfn.XLOOKUP(B337,CustomerMaster!$A$2:$A$287,CustomerMaster!$B$2:$B$287)</f>
        <v>Customer_23</v>
      </c>
      <c r="S337" t="str">
        <f>_xlfn.XLOOKUP(C337,ProductMaster!$A$2:$A$51,ProductMaster!$B$2:$B$51)</f>
        <v>Product_18</v>
      </c>
      <c r="T337" t="str">
        <f>_xlfn.XLOOKUP(G337,RegionMaster!$A$2:$A$5,RegionMaster!$B$2:$B$5)</f>
        <v>D</v>
      </c>
    </row>
    <row r="338" spans="1:20" ht="15.75" customHeight="1">
      <c r="A338" s="2" t="s">
        <v>1048</v>
      </c>
      <c r="B338" s="2" t="s">
        <v>186</v>
      </c>
      <c r="C338" s="2" t="s">
        <v>213</v>
      </c>
      <c r="D338" s="3">
        <v>45661</v>
      </c>
      <c r="E338" s="3">
        <v>45665</v>
      </c>
      <c r="F338" s="4"/>
      <c r="G338" s="2" t="s">
        <v>22</v>
      </c>
      <c r="H338" s="2" t="s">
        <v>27</v>
      </c>
      <c r="I338" s="2" t="s">
        <v>121</v>
      </c>
      <c r="J338" s="2" t="s">
        <v>94</v>
      </c>
      <c r="K338" s="2">
        <v>4306.21</v>
      </c>
      <c r="L338" s="2" t="str">
        <f t="shared" si="30"/>
        <v>January</v>
      </c>
      <c r="M338" s="2" t="str">
        <f t="shared" si="31"/>
        <v>January</v>
      </c>
      <c r="N338" t="str">
        <f t="shared" si="32"/>
        <v>Delivered</v>
      </c>
      <c r="O338">
        <f t="shared" si="33"/>
        <v>4</v>
      </c>
      <c r="P338" t="str">
        <f t="shared" si="34"/>
        <v>Completed</v>
      </c>
      <c r="Q338" t="str">
        <f t="shared" si="35"/>
        <v>Slow</v>
      </c>
      <c r="R338" t="str">
        <f>_xlfn.XLOOKUP(B338,CustomerMaster!$A$2:$A$287,CustomerMaster!$B$2:$B$287)</f>
        <v>Customer_24</v>
      </c>
      <c r="S338" t="str">
        <f>_xlfn.XLOOKUP(C338,ProductMaster!$A$2:$A$51,ProductMaster!$B$2:$B$51)</f>
        <v>Product_49</v>
      </c>
      <c r="T338" t="str">
        <f>_xlfn.XLOOKUP(G338,RegionMaster!$A$2:$A$5,RegionMaster!$B$2:$B$5)</f>
        <v>C</v>
      </c>
    </row>
    <row r="339" spans="1:20" ht="15.75" customHeight="1">
      <c r="A339" s="2" t="s">
        <v>1049</v>
      </c>
      <c r="B339" s="2" t="s">
        <v>272</v>
      </c>
      <c r="C339" s="2" t="s">
        <v>83</v>
      </c>
      <c r="D339" s="3">
        <v>45755</v>
      </c>
      <c r="E339" s="4"/>
      <c r="F339" s="3">
        <v>45756</v>
      </c>
      <c r="G339" s="2" t="s">
        <v>7</v>
      </c>
      <c r="H339" s="2" t="s">
        <v>54</v>
      </c>
      <c r="I339" s="2" t="s">
        <v>106</v>
      </c>
      <c r="J339" s="2" t="s">
        <v>94</v>
      </c>
      <c r="K339" s="2">
        <v>3577.56</v>
      </c>
      <c r="L339" s="2" t="str">
        <f t="shared" si="30"/>
        <v>April</v>
      </c>
      <c r="M339" s="2" t="str">
        <f t="shared" si="31"/>
        <v>Cancelled</v>
      </c>
      <c r="N339" t="str">
        <f t="shared" si="32"/>
        <v>Cancelled</v>
      </c>
      <c r="O339" t="str">
        <f t="shared" si="33"/>
        <v>Order Cancelled</v>
      </c>
      <c r="P339" t="str">
        <f t="shared" si="34"/>
        <v>Cancelled</v>
      </c>
      <c r="Q339" t="str">
        <f t="shared" si="35"/>
        <v>Cancelled</v>
      </c>
      <c r="R339" t="str">
        <f>_xlfn.XLOOKUP(B339,CustomerMaster!$A$2:$A$287,CustomerMaster!$B$2:$B$287)</f>
        <v>Customer_50</v>
      </c>
      <c r="S339" t="str">
        <f>_xlfn.XLOOKUP(C339,ProductMaster!$A$2:$A$51,ProductMaster!$B$2:$B$51)</f>
        <v>Product_14</v>
      </c>
      <c r="T339" t="str">
        <f>_xlfn.XLOOKUP(G339,RegionMaster!$A$2:$A$5,RegionMaster!$B$2:$B$5)</f>
        <v>A</v>
      </c>
    </row>
    <row r="340" spans="1:20" ht="15.75" customHeight="1">
      <c r="A340" s="2" t="s">
        <v>1050</v>
      </c>
      <c r="B340" s="2" t="s">
        <v>720</v>
      </c>
      <c r="C340" s="2" t="s">
        <v>63</v>
      </c>
      <c r="D340" s="3">
        <v>45735</v>
      </c>
      <c r="E340" s="4"/>
      <c r="F340" s="3">
        <v>45737</v>
      </c>
      <c r="G340" s="2" t="s">
        <v>45</v>
      </c>
      <c r="H340" s="2" t="s">
        <v>37</v>
      </c>
      <c r="I340" s="2" t="s">
        <v>178</v>
      </c>
      <c r="J340" s="2" t="s">
        <v>133</v>
      </c>
      <c r="K340" s="2">
        <v>2476.0300000000002</v>
      </c>
      <c r="L340" s="2" t="str">
        <f t="shared" si="30"/>
        <v>March</v>
      </c>
      <c r="M340" s="2" t="str">
        <f t="shared" si="31"/>
        <v>Cancelled</v>
      </c>
      <c r="N340" t="str">
        <f t="shared" si="32"/>
        <v>Cancelled</v>
      </c>
      <c r="O340" t="str">
        <f t="shared" si="33"/>
        <v>Order Cancelled</v>
      </c>
      <c r="P340" t="str">
        <f t="shared" si="34"/>
        <v>Cancelled</v>
      </c>
      <c r="Q340" t="str">
        <f t="shared" si="35"/>
        <v>Cancelled</v>
      </c>
      <c r="R340" t="str">
        <f>_xlfn.XLOOKUP(B340,CustomerMaster!$A$2:$A$287,CustomerMaster!$B$2:$B$287)</f>
        <v>Customer_240</v>
      </c>
      <c r="S340" t="str">
        <f>_xlfn.XLOOKUP(C340,ProductMaster!$A$2:$A$51,ProductMaster!$B$2:$B$51)</f>
        <v>Product_8</v>
      </c>
      <c r="T340" t="str">
        <f>_xlfn.XLOOKUP(G340,RegionMaster!$A$2:$A$5,RegionMaster!$B$2:$B$5)</f>
        <v>D</v>
      </c>
    </row>
    <row r="341" spans="1:20" ht="15.75" customHeight="1">
      <c r="A341" s="2" t="s">
        <v>1051</v>
      </c>
      <c r="B341" s="2" t="s">
        <v>473</v>
      </c>
      <c r="C341" s="2" t="s">
        <v>164</v>
      </c>
      <c r="D341" s="3">
        <v>45718</v>
      </c>
      <c r="E341" s="3">
        <v>45723</v>
      </c>
      <c r="F341" s="4"/>
      <c r="G341" s="2" t="s">
        <v>17</v>
      </c>
      <c r="H341" s="2" t="s">
        <v>59</v>
      </c>
      <c r="I341" s="2" t="s">
        <v>195</v>
      </c>
      <c r="J341" s="2" t="s">
        <v>107</v>
      </c>
      <c r="K341" s="2">
        <v>669.6</v>
      </c>
      <c r="L341" s="2" t="str">
        <f t="shared" si="30"/>
        <v>March</v>
      </c>
      <c r="M341" s="2" t="str">
        <f t="shared" si="31"/>
        <v>March</v>
      </c>
      <c r="N341" t="str">
        <f t="shared" si="32"/>
        <v>Delivered</v>
      </c>
      <c r="O341">
        <f t="shared" si="33"/>
        <v>5</v>
      </c>
      <c r="P341" t="str">
        <f t="shared" si="34"/>
        <v>Completed</v>
      </c>
      <c r="Q341" t="str">
        <f t="shared" si="35"/>
        <v>Slow</v>
      </c>
      <c r="R341" t="str">
        <f>_xlfn.XLOOKUP(B341,CustomerMaster!$A$2:$A$287,CustomerMaster!$B$2:$B$287)</f>
        <v>Customer_135</v>
      </c>
      <c r="S341" t="str">
        <f>_xlfn.XLOOKUP(C341,ProductMaster!$A$2:$A$51,ProductMaster!$B$2:$B$51)</f>
        <v>Product_36</v>
      </c>
      <c r="T341" t="str">
        <f>_xlfn.XLOOKUP(G341,RegionMaster!$A$2:$A$5,RegionMaster!$B$2:$B$5)</f>
        <v>B</v>
      </c>
    </row>
    <row r="342" spans="1:20" ht="15.75" customHeight="1">
      <c r="A342" s="2" t="s">
        <v>1052</v>
      </c>
      <c r="B342" s="2" t="s">
        <v>430</v>
      </c>
      <c r="C342" s="2" t="s">
        <v>153</v>
      </c>
      <c r="D342" s="3">
        <v>45701</v>
      </c>
      <c r="E342" s="3">
        <v>45706</v>
      </c>
      <c r="F342" s="4"/>
      <c r="G342" s="2" t="s">
        <v>7</v>
      </c>
      <c r="H342" s="2" t="s">
        <v>37</v>
      </c>
      <c r="I342" s="2" t="s">
        <v>195</v>
      </c>
      <c r="J342" s="2" t="s">
        <v>107</v>
      </c>
      <c r="K342" s="2">
        <v>2559.7600000000002</v>
      </c>
      <c r="L342" s="2" t="str">
        <f t="shared" si="30"/>
        <v>February</v>
      </c>
      <c r="M342" s="2" t="str">
        <f t="shared" si="31"/>
        <v>February</v>
      </c>
      <c r="N342" t="str">
        <f t="shared" si="32"/>
        <v>Delivered</v>
      </c>
      <c r="O342">
        <f t="shared" si="33"/>
        <v>5</v>
      </c>
      <c r="P342" t="str">
        <f t="shared" si="34"/>
        <v>Completed</v>
      </c>
      <c r="Q342" t="str">
        <f t="shared" si="35"/>
        <v>Slow</v>
      </c>
      <c r="R342" t="str">
        <f>_xlfn.XLOOKUP(B342,CustomerMaster!$A$2:$A$287,CustomerMaster!$B$2:$B$287)</f>
        <v>Customer_118</v>
      </c>
      <c r="S342" t="str">
        <f>_xlfn.XLOOKUP(C342,ProductMaster!$A$2:$A$51,ProductMaster!$B$2:$B$51)</f>
        <v>Product_32</v>
      </c>
      <c r="T342" t="str">
        <f>_xlfn.XLOOKUP(G342,RegionMaster!$A$2:$A$5,RegionMaster!$B$2:$B$5)</f>
        <v>A</v>
      </c>
    </row>
    <row r="343" spans="1:20" ht="15.75" customHeight="1">
      <c r="A343" s="2" t="s">
        <v>1053</v>
      </c>
      <c r="B343" s="2" t="s">
        <v>722</v>
      </c>
      <c r="C343" s="2" t="s">
        <v>146</v>
      </c>
      <c r="D343" s="3">
        <v>45704</v>
      </c>
      <c r="E343" s="4"/>
      <c r="F343" s="3">
        <v>45705</v>
      </c>
      <c r="G343" s="2" t="s">
        <v>7</v>
      </c>
      <c r="H343" s="2" t="s">
        <v>54</v>
      </c>
      <c r="I343" s="2" t="s">
        <v>121</v>
      </c>
      <c r="J343" s="2" t="s">
        <v>133</v>
      </c>
      <c r="K343" s="2">
        <v>2472.66</v>
      </c>
      <c r="L343" s="2" t="str">
        <f t="shared" si="30"/>
        <v>February</v>
      </c>
      <c r="M343" s="2" t="str">
        <f t="shared" si="31"/>
        <v>Cancelled</v>
      </c>
      <c r="N343" t="str">
        <f t="shared" si="32"/>
        <v>Cancelled</v>
      </c>
      <c r="O343" t="str">
        <f t="shared" si="33"/>
        <v>Order Cancelled</v>
      </c>
      <c r="P343" t="str">
        <f t="shared" si="34"/>
        <v>Cancelled</v>
      </c>
      <c r="Q343" t="str">
        <f t="shared" si="35"/>
        <v>Cancelled</v>
      </c>
      <c r="R343" t="str">
        <f>_xlfn.XLOOKUP(B343,CustomerMaster!$A$2:$A$287,CustomerMaster!$B$2:$B$287)</f>
        <v>Customer_241</v>
      </c>
      <c r="S343" t="str">
        <f>_xlfn.XLOOKUP(C343,ProductMaster!$A$2:$A$51,ProductMaster!$B$2:$B$51)</f>
        <v>Product_30</v>
      </c>
      <c r="T343" t="str">
        <f>_xlfn.XLOOKUP(G343,RegionMaster!$A$2:$A$5,RegionMaster!$B$2:$B$5)</f>
        <v>A</v>
      </c>
    </row>
    <row r="344" spans="1:20" ht="15.75" customHeight="1">
      <c r="A344" s="2" t="s">
        <v>1054</v>
      </c>
      <c r="B344" s="2" t="s">
        <v>51</v>
      </c>
      <c r="C344" s="2" t="s">
        <v>191</v>
      </c>
      <c r="D344" s="3">
        <v>45667</v>
      </c>
      <c r="E344" s="4"/>
      <c r="F344" s="3">
        <v>45668</v>
      </c>
      <c r="G344" s="2" t="s">
        <v>17</v>
      </c>
      <c r="H344" s="2" t="s">
        <v>27</v>
      </c>
      <c r="I344" s="2" t="s">
        <v>178</v>
      </c>
      <c r="J344" s="2" t="s">
        <v>107</v>
      </c>
      <c r="K344" s="2">
        <v>1031.3699999999999</v>
      </c>
      <c r="L344" s="2" t="str">
        <f t="shared" si="30"/>
        <v>January</v>
      </c>
      <c r="M344" s="2" t="str">
        <f t="shared" si="31"/>
        <v>Cancelled</v>
      </c>
      <c r="N344" t="str">
        <f t="shared" si="32"/>
        <v>Cancelled</v>
      </c>
      <c r="O344" t="str">
        <f t="shared" si="33"/>
        <v>Order Cancelled</v>
      </c>
      <c r="P344" t="str">
        <f t="shared" si="34"/>
        <v>Cancelled</v>
      </c>
      <c r="Q344" t="str">
        <f t="shared" si="35"/>
        <v>Cancelled</v>
      </c>
      <c r="R344" t="str">
        <f>_xlfn.XLOOKUP(B344,CustomerMaster!$A$2:$A$287,CustomerMaster!$B$2:$B$287)</f>
        <v>Customer_5</v>
      </c>
      <c r="S344" t="str">
        <f>_xlfn.XLOOKUP(C344,ProductMaster!$A$2:$A$51,ProductMaster!$B$2:$B$51)</f>
        <v>Product_43</v>
      </c>
      <c r="T344" t="str">
        <f>_xlfn.XLOOKUP(G344,RegionMaster!$A$2:$A$5,RegionMaster!$B$2:$B$5)</f>
        <v>B</v>
      </c>
    </row>
    <row r="345" spans="1:20" ht="15.75" customHeight="1">
      <c r="A345" s="2" t="s">
        <v>1055</v>
      </c>
      <c r="B345" s="2" t="s">
        <v>166</v>
      </c>
      <c r="C345" s="2" t="s">
        <v>114</v>
      </c>
      <c r="D345" s="3">
        <v>45758</v>
      </c>
      <c r="E345" s="4"/>
      <c r="F345" s="3">
        <v>45759</v>
      </c>
      <c r="G345" s="2" t="s">
        <v>22</v>
      </c>
      <c r="H345" s="2" t="s">
        <v>59</v>
      </c>
      <c r="I345" s="2" t="s">
        <v>195</v>
      </c>
      <c r="J345" s="2" t="s">
        <v>133</v>
      </c>
      <c r="K345" s="2">
        <v>2282.4899999999998</v>
      </c>
      <c r="L345" s="2" t="str">
        <f t="shared" si="30"/>
        <v>April</v>
      </c>
      <c r="M345" s="2" t="str">
        <f t="shared" si="31"/>
        <v>Cancelled</v>
      </c>
      <c r="N345" t="str">
        <f t="shared" si="32"/>
        <v>Cancelled</v>
      </c>
      <c r="O345" t="str">
        <f t="shared" si="33"/>
        <v>Order Cancelled</v>
      </c>
      <c r="P345" t="str">
        <f t="shared" si="34"/>
        <v>Cancelled</v>
      </c>
      <c r="Q345" t="str">
        <f t="shared" si="35"/>
        <v>Cancelled</v>
      </c>
      <c r="R345" t="str">
        <f>_xlfn.XLOOKUP(B345,CustomerMaster!$A$2:$A$287,CustomerMaster!$B$2:$B$287)</f>
        <v>Customer_21</v>
      </c>
      <c r="S345" t="str">
        <f>_xlfn.XLOOKUP(C345,ProductMaster!$A$2:$A$51,ProductMaster!$B$2:$B$51)</f>
        <v>Product_21</v>
      </c>
      <c r="T345" t="str">
        <f>_xlfn.XLOOKUP(G345,RegionMaster!$A$2:$A$5,RegionMaster!$B$2:$B$5)</f>
        <v>C</v>
      </c>
    </row>
    <row r="346" spans="1:20" ht="15.75" customHeight="1">
      <c r="A346" s="2" t="s">
        <v>1056</v>
      </c>
      <c r="B346" s="2" t="s">
        <v>421</v>
      </c>
      <c r="C346" s="2" t="s">
        <v>130</v>
      </c>
      <c r="D346" s="3">
        <v>45760</v>
      </c>
      <c r="E346" s="4"/>
      <c r="F346" s="3">
        <v>45761</v>
      </c>
      <c r="G346" s="2" t="s">
        <v>45</v>
      </c>
      <c r="H346" s="2" t="s">
        <v>37</v>
      </c>
      <c r="I346" s="2" t="s">
        <v>195</v>
      </c>
      <c r="J346" s="2" t="s">
        <v>107</v>
      </c>
      <c r="K346" s="2">
        <v>2112.8200000000002</v>
      </c>
      <c r="L346" s="2" t="str">
        <f t="shared" si="30"/>
        <v>April</v>
      </c>
      <c r="M346" s="2" t="str">
        <f t="shared" si="31"/>
        <v>Cancelled</v>
      </c>
      <c r="N346" t="str">
        <f t="shared" si="32"/>
        <v>Cancelled</v>
      </c>
      <c r="O346" t="str">
        <f t="shared" si="33"/>
        <v>Order Cancelled</v>
      </c>
      <c r="P346" t="str">
        <f t="shared" si="34"/>
        <v>Cancelled</v>
      </c>
      <c r="Q346" t="str">
        <f t="shared" si="35"/>
        <v>Cancelled</v>
      </c>
      <c r="R346" t="str">
        <f>_xlfn.XLOOKUP(B346,CustomerMaster!$A$2:$A$287,CustomerMaster!$B$2:$B$287)</f>
        <v>Customer_114</v>
      </c>
      <c r="S346" t="str">
        <f>_xlfn.XLOOKUP(C346,ProductMaster!$A$2:$A$51,ProductMaster!$B$2:$B$51)</f>
        <v>Product_26</v>
      </c>
      <c r="T346" t="str">
        <f>_xlfn.XLOOKUP(G346,RegionMaster!$A$2:$A$5,RegionMaster!$B$2:$B$5)</f>
        <v>D</v>
      </c>
    </row>
    <row r="347" spans="1:20" ht="15.75" customHeight="1">
      <c r="A347" s="2" t="s">
        <v>1057</v>
      </c>
      <c r="B347" s="2" t="s">
        <v>289</v>
      </c>
      <c r="C347" s="2" t="s">
        <v>83</v>
      </c>
      <c r="D347" s="3">
        <v>45677</v>
      </c>
      <c r="E347" s="3">
        <v>45681</v>
      </c>
      <c r="F347" s="4"/>
      <c r="G347" s="2" t="s">
        <v>17</v>
      </c>
      <c r="H347" s="2" t="s">
        <v>54</v>
      </c>
      <c r="I347" s="2" t="s">
        <v>121</v>
      </c>
      <c r="J347" s="2" t="s">
        <v>94</v>
      </c>
      <c r="K347" s="2">
        <v>3156.08</v>
      </c>
      <c r="L347" s="2" t="str">
        <f t="shared" si="30"/>
        <v>January</v>
      </c>
      <c r="M347" s="2" t="str">
        <f t="shared" si="31"/>
        <v>January</v>
      </c>
      <c r="N347" t="str">
        <f t="shared" si="32"/>
        <v>Delivered</v>
      </c>
      <c r="O347">
        <f t="shared" si="33"/>
        <v>4</v>
      </c>
      <c r="P347" t="str">
        <f t="shared" si="34"/>
        <v>Completed</v>
      </c>
      <c r="Q347" t="str">
        <f t="shared" si="35"/>
        <v>Slow</v>
      </c>
      <c r="R347" t="str">
        <f>_xlfn.XLOOKUP(B347,CustomerMaster!$A$2:$A$287,CustomerMaster!$B$2:$B$287)</f>
        <v>Customer_283</v>
      </c>
      <c r="S347" t="str">
        <f>_xlfn.XLOOKUP(C347,ProductMaster!$A$2:$A$51,ProductMaster!$B$2:$B$51)</f>
        <v>Product_14</v>
      </c>
      <c r="T347" t="str">
        <f>_xlfn.XLOOKUP(G347,RegionMaster!$A$2:$A$5,RegionMaster!$B$2:$B$5)</f>
        <v>B</v>
      </c>
    </row>
    <row r="348" spans="1:20" ht="15.75" customHeight="1">
      <c r="A348" s="2" t="s">
        <v>1058</v>
      </c>
      <c r="B348" s="2" t="s">
        <v>380</v>
      </c>
      <c r="C348" s="2" t="s">
        <v>29</v>
      </c>
      <c r="D348" s="3">
        <v>45724</v>
      </c>
      <c r="E348" s="4"/>
      <c r="F348" s="3">
        <v>45726</v>
      </c>
      <c r="G348" s="2" t="s">
        <v>45</v>
      </c>
      <c r="H348" s="2" t="s">
        <v>54</v>
      </c>
      <c r="I348" s="2" t="s">
        <v>106</v>
      </c>
      <c r="J348" s="2" t="s">
        <v>94</v>
      </c>
      <c r="K348" s="2">
        <v>3248.45</v>
      </c>
      <c r="L348" s="2" t="str">
        <f t="shared" si="30"/>
        <v>March</v>
      </c>
      <c r="M348" s="2" t="str">
        <f t="shared" si="31"/>
        <v>Cancelled</v>
      </c>
      <c r="N348" t="str">
        <f t="shared" si="32"/>
        <v>Cancelled</v>
      </c>
      <c r="O348" t="str">
        <f t="shared" si="33"/>
        <v>Order Cancelled</v>
      </c>
      <c r="P348" t="str">
        <f t="shared" si="34"/>
        <v>Cancelled</v>
      </c>
      <c r="Q348" t="str">
        <f t="shared" si="35"/>
        <v>Cancelled</v>
      </c>
      <c r="R348" t="str">
        <f>_xlfn.XLOOKUP(B348,CustomerMaster!$A$2:$A$287,CustomerMaster!$B$2:$B$287)</f>
        <v>Customer_97</v>
      </c>
      <c r="S348" t="str">
        <f>_xlfn.XLOOKUP(C348,ProductMaster!$A$2:$A$51,ProductMaster!$B$2:$B$51)</f>
        <v>Product_2</v>
      </c>
      <c r="T348" t="str">
        <f>_xlfn.XLOOKUP(G348,RegionMaster!$A$2:$A$5,RegionMaster!$B$2:$B$5)</f>
        <v>D</v>
      </c>
    </row>
    <row r="349" spans="1:20" ht="15.75" customHeight="1">
      <c r="A349" s="2" t="s">
        <v>1059</v>
      </c>
      <c r="B349" s="2" t="s">
        <v>241</v>
      </c>
      <c r="C349" s="2" t="s">
        <v>148</v>
      </c>
      <c r="D349" s="3">
        <v>45707</v>
      </c>
      <c r="E349" s="3">
        <v>45710</v>
      </c>
      <c r="F349" s="4"/>
      <c r="G349" s="2" t="s">
        <v>17</v>
      </c>
      <c r="H349" s="2" t="s">
        <v>59</v>
      </c>
      <c r="I349" s="2" t="s">
        <v>90</v>
      </c>
      <c r="J349" s="2" t="s">
        <v>94</v>
      </c>
      <c r="K349" s="2">
        <v>417.46</v>
      </c>
      <c r="L349" s="2" t="str">
        <f t="shared" si="30"/>
        <v>February</v>
      </c>
      <c r="M349" s="2" t="str">
        <f t="shared" si="31"/>
        <v>February</v>
      </c>
      <c r="N349" t="str">
        <f t="shared" si="32"/>
        <v>Delivered</v>
      </c>
      <c r="O349">
        <f t="shared" si="33"/>
        <v>3</v>
      </c>
      <c r="P349" t="str">
        <f t="shared" si="34"/>
        <v>Completed</v>
      </c>
      <c r="Q349" t="str">
        <f t="shared" si="35"/>
        <v>Slow</v>
      </c>
      <c r="R349" t="str">
        <f>_xlfn.XLOOKUP(B349,CustomerMaster!$A$2:$A$287,CustomerMaster!$B$2:$B$287)</f>
        <v>Customer_38</v>
      </c>
      <c r="S349" t="str">
        <f>_xlfn.XLOOKUP(C349,ProductMaster!$A$2:$A$51,ProductMaster!$B$2:$B$51)</f>
        <v>Product_31</v>
      </c>
      <c r="T349" t="str">
        <f>_xlfn.XLOOKUP(G349,RegionMaster!$A$2:$A$5,RegionMaster!$B$2:$B$5)</f>
        <v>B</v>
      </c>
    </row>
    <row r="350" spans="1:20" ht="15.75" customHeight="1">
      <c r="A350" s="2" t="s">
        <v>1060</v>
      </c>
      <c r="B350" s="2" t="s">
        <v>583</v>
      </c>
      <c r="C350" s="2" t="s">
        <v>168</v>
      </c>
      <c r="D350" s="3">
        <v>45757</v>
      </c>
      <c r="E350" s="3">
        <v>45761</v>
      </c>
      <c r="F350" s="4"/>
      <c r="G350" s="2" t="s">
        <v>17</v>
      </c>
      <c r="H350" s="2" t="s">
        <v>59</v>
      </c>
      <c r="I350" s="2" t="s">
        <v>121</v>
      </c>
      <c r="J350" s="2" t="s">
        <v>107</v>
      </c>
      <c r="K350" s="2">
        <v>1998.14</v>
      </c>
      <c r="L350" s="2" t="str">
        <f t="shared" si="30"/>
        <v>April</v>
      </c>
      <c r="M350" s="2" t="str">
        <f t="shared" si="31"/>
        <v>April</v>
      </c>
      <c r="N350" t="str">
        <f t="shared" si="32"/>
        <v>Delivered</v>
      </c>
      <c r="O350">
        <f t="shared" si="33"/>
        <v>4</v>
      </c>
      <c r="P350" t="str">
        <f t="shared" si="34"/>
        <v>Completed</v>
      </c>
      <c r="Q350" t="str">
        <f t="shared" si="35"/>
        <v>Slow</v>
      </c>
      <c r="R350" t="str">
        <f>_xlfn.XLOOKUP(B350,CustomerMaster!$A$2:$A$287,CustomerMaster!$B$2:$B$287)</f>
        <v>Customer_180</v>
      </c>
      <c r="S350" t="str">
        <f>_xlfn.XLOOKUP(C350,ProductMaster!$A$2:$A$51,ProductMaster!$B$2:$B$51)</f>
        <v>Product_37</v>
      </c>
      <c r="T350" t="str">
        <f>_xlfn.XLOOKUP(G350,RegionMaster!$A$2:$A$5,RegionMaster!$B$2:$B$5)</f>
        <v>B</v>
      </c>
    </row>
    <row r="351" spans="1:20" ht="15.75" customHeight="1">
      <c r="A351" s="2" t="s">
        <v>1061</v>
      </c>
      <c r="B351" s="2" t="s">
        <v>620</v>
      </c>
      <c r="C351" s="2" t="s">
        <v>207</v>
      </c>
      <c r="D351" s="3">
        <v>45749</v>
      </c>
      <c r="E351" s="3">
        <v>45755</v>
      </c>
      <c r="F351" s="4"/>
      <c r="G351" s="2" t="s">
        <v>17</v>
      </c>
      <c r="H351" s="2" t="s">
        <v>16</v>
      </c>
      <c r="I351" s="2" t="s">
        <v>121</v>
      </c>
      <c r="J351" s="2" t="s">
        <v>133</v>
      </c>
      <c r="K351" s="2">
        <v>3204.13</v>
      </c>
      <c r="L351" s="2" t="str">
        <f t="shared" si="30"/>
        <v>April</v>
      </c>
      <c r="M351" s="2" t="str">
        <f t="shared" si="31"/>
        <v>April</v>
      </c>
      <c r="N351" t="str">
        <f t="shared" si="32"/>
        <v>Delivered</v>
      </c>
      <c r="O351">
        <f t="shared" si="33"/>
        <v>6</v>
      </c>
      <c r="P351" t="str">
        <f t="shared" si="34"/>
        <v>Completed</v>
      </c>
      <c r="Q351" t="str">
        <f t="shared" si="35"/>
        <v>Slow</v>
      </c>
      <c r="R351" t="str">
        <f>_xlfn.XLOOKUP(B351,CustomerMaster!$A$2:$A$287,CustomerMaster!$B$2:$B$287)</f>
        <v>Customer_256</v>
      </c>
      <c r="S351" t="str">
        <f>_xlfn.XLOOKUP(C351,ProductMaster!$A$2:$A$51,ProductMaster!$B$2:$B$51)</f>
        <v>Product_47</v>
      </c>
      <c r="T351" t="str">
        <f>_xlfn.XLOOKUP(G351,RegionMaster!$A$2:$A$5,RegionMaster!$B$2:$B$5)</f>
        <v>B</v>
      </c>
    </row>
    <row r="352" spans="1:20" ht="15.75" customHeight="1">
      <c r="A352" s="2" t="s">
        <v>1062</v>
      </c>
      <c r="B352" s="2" t="s">
        <v>576</v>
      </c>
      <c r="C352" s="2" t="s">
        <v>95</v>
      </c>
      <c r="D352" s="3">
        <v>45667</v>
      </c>
      <c r="E352" s="3">
        <v>45672</v>
      </c>
      <c r="F352" s="4"/>
      <c r="G352" s="2" t="s">
        <v>45</v>
      </c>
      <c r="H352" s="2" t="s">
        <v>37</v>
      </c>
      <c r="I352" s="2" t="s">
        <v>195</v>
      </c>
      <c r="J352" s="2" t="s">
        <v>107</v>
      </c>
      <c r="K352" s="2">
        <v>2615.0500000000002</v>
      </c>
      <c r="L352" s="2" t="str">
        <f t="shared" si="30"/>
        <v>January</v>
      </c>
      <c r="M352" s="2" t="str">
        <f t="shared" si="31"/>
        <v>January</v>
      </c>
      <c r="N352" t="str">
        <f t="shared" si="32"/>
        <v>Delivered</v>
      </c>
      <c r="O352">
        <f t="shared" si="33"/>
        <v>5</v>
      </c>
      <c r="P352" t="str">
        <f t="shared" si="34"/>
        <v>Completed</v>
      </c>
      <c r="Q352" t="str">
        <f t="shared" si="35"/>
        <v>Slow</v>
      </c>
      <c r="R352" t="str">
        <f>_xlfn.XLOOKUP(B352,CustomerMaster!$A$2:$A$287,CustomerMaster!$B$2:$B$287)</f>
        <v>Customer_177</v>
      </c>
      <c r="S352" t="str">
        <f>_xlfn.XLOOKUP(C352,ProductMaster!$A$2:$A$51,ProductMaster!$B$2:$B$51)</f>
        <v>Product_17</v>
      </c>
      <c r="T352" t="str">
        <f>_xlfn.XLOOKUP(G352,RegionMaster!$A$2:$A$5,RegionMaster!$B$2:$B$5)</f>
        <v>D</v>
      </c>
    </row>
    <row r="353" spans="1:20" ht="15.75" customHeight="1">
      <c r="A353" s="2" t="s">
        <v>1063</v>
      </c>
      <c r="B353" s="2" t="s">
        <v>186</v>
      </c>
      <c r="C353" s="2" t="s">
        <v>75</v>
      </c>
      <c r="D353" s="3">
        <v>45771</v>
      </c>
      <c r="E353" s="3">
        <v>45775</v>
      </c>
      <c r="F353" s="4"/>
      <c r="G353" s="2" t="s">
        <v>45</v>
      </c>
      <c r="H353" s="2" t="s">
        <v>37</v>
      </c>
      <c r="I353" s="2" t="s">
        <v>90</v>
      </c>
      <c r="J353" s="2" t="s">
        <v>94</v>
      </c>
      <c r="K353" s="2">
        <v>4311.1499999999996</v>
      </c>
      <c r="L353" s="2" t="str">
        <f t="shared" si="30"/>
        <v>April</v>
      </c>
      <c r="M353" s="2" t="str">
        <f t="shared" si="31"/>
        <v>April</v>
      </c>
      <c r="N353" t="str">
        <f t="shared" si="32"/>
        <v>Delivered</v>
      </c>
      <c r="O353">
        <f t="shared" si="33"/>
        <v>4</v>
      </c>
      <c r="P353" t="str">
        <f t="shared" si="34"/>
        <v>Completed</v>
      </c>
      <c r="Q353" t="str">
        <f t="shared" si="35"/>
        <v>Slow</v>
      </c>
      <c r="R353" t="str">
        <f>_xlfn.XLOOKUP(B353,CustomerMaster!$A$2:$A$287,CustomerMaster!$B$2:$B$287)</f>
        <v>Customer_24</v>
      </c>
      <c r="S353" t="str">
        <f>_xlfn.XLOOKUP(C353,ProductMaster!$A$2:$A$51,ProductMaster!$B$2:$B$51)</f>
        <v>Product_11</v>
      </c>
      <c r="T353" t="str">
        <f>_xlfn.XLOOKUP(G353,RegionMaster!$A$2:$A$5,RegionMaster!$B$2:$B$5)</f>
        <v>D</v>
      </c>
    </row>
    <row r="354" spans="1:20" ht="15.75" customHeight="1">
      <c r="A354" s="2" t="s">
        <v>1064</v>
      </c>
      <c r="B354" s="2" t="s">
        <v>469</v>
      </c>
      <c r="C354" s="2" t="s">
        <v>104</v>
      </c>
      <c r="D354" s="3">
        <v>45719</v>
      </c>
      <c r="E354" s="3">
        <v>45722</v>
      </c>
      <c r="F354" s="4"/>
      <c r="G354" s="2" t="s">
        <v>7</v>
      </c>
      <c r="H354" s="2" t="s">
        <v>16</v>
      </c>
      <c r="I354" s="2" t="s">
        <v>106</v>
      </c>
      <c r="J354" s="2" t="s">
        <v>133</v>
      </c>
      <c r="K354" s="2">
        <v>3361.73</v>
      </c>
      <c r="L354" s="2" t="str">
        <f t="shared" si="30"/>
        <v>March</v>
      </c>
      <c r="M354" s="2" t="str">
        <f t="shared" si="31"/>
        <v>March</v>
      </c>
      <c r="N354" t="str">
        <f t="shared" si="32"/>
        <v>Delivered</v>
      </c>
      <c r="O354">
        <f t="shared" si="33"/>
        <v>3</v>
      </c>
      <c r="P354" t="str">
        <f t="shared" si="34"/>
        <v>Completed</v>
      </c>
      <c r="Q354" t="str">
        <f t="shared" si="35"/>
        <v>Slow</v>
      </c>
      <c r="R354" t="str">
        <f>_xlfn.XLOOKUP(B354,CustomerMaster!$A$2:$A$287,CustomerMaster!$B$2:$B$287)</f>
        <v>Customer_133</v>
      </c>
      <c r="S354" t="str">
        <f>_xlfn.XLOOKUP(C354,ProductMaster!$A$2:$A$51,ProductMaster!$B$2:$B$51)</f>
        <v>Product_19</v>
      </c>
      <c r="T354" t="str">
        <f>_xlfn.XLOOKUP(G354,RegionMaster!$A$2:$A$5,RegionMaster!$B$2:$B$5)</f>
        <v>A</v>
      </c>
    </row>
    <row r="355" spans="1:20" ht="15.75" customHeight="1">
      <c r="A355" s="2" t="s">
        <v>1065</v>
      </c>
      <c r="B355" s="2" t="s">
        <v>750</v>
      </c>
      <c r="C355" s="2" t="s">
        <v>138</v>
      </c>
      <c r="D355" s="3">
        <v>45663</v>
      </c>
      <c r="E355" s="3">
        <v>45668</v>
      </c>
      <c r="F355" s="4"/>
      <c r="G355" s="2" t="s">
        <v>45</v>
      </c>
      <c r="H355" s="2" t="s">
        <v>37</v>
      </c>
      <c r="I355" s="2" t="s">
        <v>90</v>
      </c>
      <c r="J355" s="2" t="s">
        <v>107</v>
      </c>
      <c r="K355" s="2">
        <v>982.09</v>
      </c>
      <c r="L355" s="2" t="str">
        <f t="shared" si="30"/>
        <v>January</v>
      </c>
      <c r="M355" s="2" t="str">
        <f t="shared" si="31"/>
        <v>January</v>
      </c>
      <c r="N355" t="str">
        <f t="shared" si="32"/>
        <v>Delivered</v>
      </c>
      <c r="O355">
        <f t="shared" si="33"/>
        <v>5</v>
      </c>
      <c r="P355" t="str">
        <f t="shared" si="34"/>
        <v>Completed</v>
      </c>
      <c r="Q355" t="str">
        <f t="shared" si="35"/>
        <v>Slow</v>
      </c>
      <c r="R355" t="str">
        <f>_xlfn.XLOOKUP(B355,CustomerMaster!$A$2:$A$287,CustomerMaster!$B$2:$B$287)</f>
        <v>Customer_254</v>
      </c>
      <c r="S355" t="str">
        <f>_xlfn.XLOOKUP(C355,ProductMaster!$A$2:$A$51,ProductMaster!$B$2:$B$51)</f>
        <v>Product_28</v>
      </c>
      <c r="T355" t="str">
        <f>_xlfn.XLOOKUP(G355,RegionMaster!$A$2:$A$5,RegionMaster!$B$2:$B$5)</f>
        <v>D</v>
      </c>
    </row>
    <row r="356" spans="1:20" ht="15.75" customHeight="1">
      <c r="A356" s="2" t="s">
        <v>1066</v>
      </c>
      <c r="B356" s="2" t="s">
        <v>781</v>
      </c>
      <c r="C356" s="2" t="s">
        <v>68</v>
      </c>
      <c r="D356" s="3">
        <v>45716</v>
      </c>
      <c r="E356" s="4"/>
      <c r="F356" s="3">
        <v>45717</v>
      </c>
      <c r="G356" s="2" t="s">
        <v>7</v>
      </c>
      <c r="H356" s="2" t="s">
        <v>54</v>
      </c>
      <c r="I356" s="2" t="s">
        <v>106</v>
      </c>
      <c r="J356" s="2" t="s">
        <v>107</v>
      </c>
      <c r="K356" s="2">
        <v>538.73</v>
      </c>
      <c r="L356" s="2" t="str">
        <f t="shared" si="30"/>
        <v>February</v>
      </c>
      <c r="M356" s="2" t="str">
        <f t="shared" si="31"/>
        <v>Cancelled</v>
      </c>
      <c r="N356" t="str">
        <f t="shared" si="32"/>
        <v>Cancelled</v>
      </c>
      <c r="O356" t="str">
        <f t="shared" si="33"/>
        <v>Order Cancelled</v>
      </c>
      <c r="P356" t="str">
        <f t="shared" si="34"/>
        <v>Cancelled</v>
      </c>
      <c r="Q356" t="str">
        <f t="shared" si="35"/>
        <v>Cancelled</v>
      </c>
      <c r="R356" t="str">
        <f>_xlfn.XLOOKUP(B356,CustomerMaster!$A$2:$A$287,CustomerMaster!$B$2:$B$287)</f>
        <v>Customer_273</v>
      </c>
      <c r="S356" t="str">
        <f>_xlfn.XLOOKUP(C356,ProductMaster!$A$2:$A$51,ProductMaster!$B$2:$B$51)</f>
        <v>Product_13</v>
      </c>
      <c r="T356" t="str">
        <f>_xlfn.XLOOKUP(G356,RegionMaster!$A$2:$A$5,RegionMaster!$B$2:$B$5)</f>
        <v>A</v>
      </c>
    </row>
    <row r="357" spans="1:20" ht="15.75" customHeight="1">
      <c r="A357" s="2" t="s">
        <v>1067</v>
      </c>
      <c r="B357" s="2" t="s">
        <v>631</v>
      </c>
      <c r="C357" s="2" t="s">
        <v>180</v>
      </c>
      <c r="D357" s="3">
        <v>45670</v>
      </c>
      <c r="E357" s="4"/>
      <c r="F357" s="3">
        <v>45671</v>
      </c>
      <c r="G357" s="2" t="s">
        <v>17</v>
      </c>
      <c r="H357" s="2" t="s">
        <v>27</v>
      </c>
      <c r="I357" s="2" t="s">
        <v>195</v>
      </c>
      <c r="J357" s="2" t="s">
        <v>133</v>
      </c>
      <c r="K357" s="2">
        <v>3283.61</v>
      </c>
      <c r="L357" s="2" t="str">
        <f t="shared" si="30"/>
        <v>January</v>
      </c>
      <c r="M357" s="2" t="str">
        <f t="shared" si="31"/>
        <v>Cancelled</v>
      </c>
      <c r="N357" t="str">
        <f t="shared" si="32"/>
        <v>Cancelled</v>
      </c>
      <c r="O357" t="str">
        <f t="shared" si="33"/>
        <v>Order Cancelled</v>
      </c>
      <c r="P357" t="str">
        <f t="shared" si="34"/>
        <v>Cancelled</v>
      </c>
      <c r="Q357" t="str">
        <f t="shared" si="35"/>
        <v>Cancelled</v>
      </c>
      <c r="R357" t="str">
        <f>_xlfn.XLOOKUP(B357,CustomerMaster!$A$2:$A$287,CustomerMaster!$B$2:$B$287)</f>
        <v>Customer_201</v>
      </c>
      <c r="S357" t="str">
        <f>_xlfn.XLOOKUP(C357,ProductMaster!$A$2:$A$51,ProductMaster!$B$2:$B$51)</f>
        <v>Product_40</v>
      </c>
      <c r="T357" t="str">
        <f>_xlfn.XLOOKUP(G357,RegionMaster!$A$2:$A$5,RegionMaster!$B$2:$B$5)</f>
        <v>B</v>
      </c>
    </row>
    <row r="358" spans="1:20" ht="15.75" customHeight="1">
      <c r="A358" s="2" t="s">
        <v>1068</v>
      </c>
      <c r="B358" s="2" t="s">
        <v>523</v>
      </c>
      <c r="C358" s="2" t="s">
        <v>128</v>
      </c>
      <c r="D358" s="3">
        <v>45703</v>
      </c>
      <c r="E358" s="3">
        <v>45708</v>
      </c>
      <c r="F358" s="4"/>
      <c r="G358" s="2" t="s">
        <v>45</v>
      </c>
      <c r="H358" s="2" t="s">
        <v>16</v>
      </c>
      <c r="I358" s="2" t="s">
        <v>195</v>
      </c>
      <c r="J358" s="2" t="s">
        <v>107</v>
      </c>
      <c r="K358" s="2">
        <v>327.25</v>
      </c>
      <c r="L358" s="2" t="str">
        <f t="shared" si="30"/>
        <v>February</v>
      </c>
      <c r="M358" s="2" t="str">
        <f t="shared" si="31"/>
        <v>February</v>
      </c>
      <c r="N358" t="str">
        <f t="shared" si="32"/>
        <v>Delivered</v>
      </c>
      <c r="O358">
        <f t="shared" si="33"/>
        <v>5</v>
      </c>
      <c r="P358" t="str">
        <f t="shared" si="34"/>
        <v>Completed</v>
      </c>
      <c r="Q358" t="str">
        <f t="shared" si="35"/>
        <v>Slow</v>
      </c>
      <c r="R358" t="str">
        <f>_xlfn.XLOOKUP(B358,CustomerMaster!$A$2:$A$287,CustomerMaster!$B$2:$B$287)</f>
        <v>Customer_229</v>
      </c>
      <c r="S358" t="str">
        <f>_xlfn.XLOOKUP(C358,ProductMaster!$A$2:$A$51,ProductMaster!$B$2:$B$51)</f>
        <v>Product_25</v>
      </c>
      <c r="T358" t="str">
        <f>_xlfn.XLOOKUP(G358,RegionMaster!$A$2:$A$5,RegionMaster!$B$2:$B$5)</f>
        <v>D</v>
      </c>
    </row>
    <row r="359" spans="1:20" ht="15.75" customHeight="1">
      <c r="A359" s="2" t="s">
        <v>1069</v>
      </c>
      <c r="B359" s="2" t="s">
        <v>401</v>
      </c>
      <c r="C359" s="2" t="s">
        <v>138</v>
      </c>
      <c r="D359" s="3">
        <v>45742</v>
      </c>
      <c r="E359" s="4"/>
      <c r="F359" s="3">
        <v>45744</v>
      </c>
      <c r="G359" s="2" t="s">
        <v>45</v>
      </c>
      <c r="H359" s="2" t="s">
        <v>27</v>
      </c>
      <c r="I359" s="2" t="s">
        <v>90</v>
      </c>
      <c r="J359" s="2" t="s">
        <v>107</v>
      </c>
      <c r="K359" s="2">
        <v>3011.72</v>
      </c>
      <c r="L359" s="2" t="str">
        <f t="shared" si="30"/>
        <v>March</v>
      </c>
      <c r="M359" s="2" t="str">
        <f t="shared" si="31"/>
        <v>Cancelled</v>
      </c>
      <c r="N359" t="str">
        <f t="shared" si="32"/>
        <v>Cancelled</v>
      </c>
      <c r="O359" t="str">
        <f t="shared" si="33"/>
        <v>Order Cancelled</v>
      </c>
      <c r="P359" t="str">
        <f t="shared" si="34"/>
        <v>Cancelled</v>
      </c>
      <c r="Q359" t="str">
        <f t="shared" si="35"/>
        <v>Cancelled</v>
      </c>
      <c r="R359" t="str">
        <f>_xlfn.XLOOKUP(B359,CustomerMaster!$A$2:$A$287,CustomerMaster!$B$2:$B$287)</f>
        <v>Customer_105</v>
      </c>
      <c r="S359" t="str">
        <f>_xlfn.XLOOKUP(C359,ProductMaster!$A$2:$A$51,ProductMaster!$B$2:$B$51)</f>
        <v>Product_28</v>
      </c>
      <c r="T359" t="str">
        <f>_xlfn.XLOOKUP(G359,RegionMaster!$A$2:$A$5,RegionMaster!$B$2:$B$5)</f>
        <v>D</v>
      </c>
    </row>
    <row r="360" spans="1:20" ht="15.75" customHeight="1">
      <c r="A360" s="2" t="s">
        <v>1070</v>
      </c>
      <c r="B360" s="2" t="s">
        <v>581</v>
      </c>
      <c r="C360" s="2" t="s">
        <v>68</v>
      </c>
      <c r="D360" s="3">
        <v>45775</v>
      </c>
      <c r="E360" s="3">
        <v>45780</v>
      </c>
      <c r="F360" s="4"/>
      <c r="G360" s="2" t="s">
        <v>7</v>
      </c>
      <c r="H360" s="2" t="s">
        <v>54</v>
      </c>
      <c r="I360" s="2" t="s">
        <v>178</v>
      </c>
      <c r="J360" s="2" t="s">
        <v>94</v>
      </c>
      <c r="K360" s="2">
        <v>4713.1099999999997</v>
      </c>
      <c r="L360" s="2" t="str">
        <f t="shared" si="30"/>
        <v>April</v>
      </c>
      <c r="M360" s="2" t="str">
        <f t="shared" si="31"/>
        <v>May</v>
      </c>
      <c r="N360" t="str">
        <f t="shared" si="32"/>
        <v>Delivered</v>
      </c>
      <c r="O360">
        <f t="shared" si="33"/>
        <v>5</v>
      </c>
      <c r="P360" t="str">
        <f t="shared" si="34"/>
        <v>Completed</v>
      </c>
      <c r="Q360" t="str">
        <f t="shared" si="35"/>
        <v>Slow</v>
      </c>
      <c r="R360" t="str">
        <f>_xlfn.XLOOKUP(B360,CustomerMaster!$A$2:$A$287,CustomerMaster!$B$2:$B$287)</f>
        <v>Customer_179</v>
      </c>
      <c r="S360" t="str">
        <f>_xlfn.XLOOKUP(C360,ProductMaster!$A$2:$A$51,ProductMaster!$B$2:$B$51)</f>
        <v>Product_13</v>
      </c>
      <c r="T360" t="str">
        <f>_xlfn.XLOOKUP(G360,RegionMaster!$A$2:$A$5,RegionMaster!$B$2:$B$5)</f>
        <v>A</v>
      </c>
    </row>
    <row r="361" spans="1:20" ht="15.75" customHeight="1">
      <c r="A361" s="2" t="s">
        <v>1071</v>
      </c>
      <c r="B361" s="2" t="s">
        <v>694</v>
      </c>
      <c r="C361" s="2" t="s">
        <v>199</v>
      </c>
      <c r="D361" s="3">
        <v>45721</v>
      </c>
      <c r="E361" s="3">
        <v>45726</v>
      </c>
      <c r="F361" s="4"/>
      <c r="G361" s="2" t="s">
        <v>17</v>
      </c>
      <c r="H361" s="2" t="s">
        <v>54</v>
      </c>
      <c r="I361" s="2" t="s">
        <v>195</v>
      </c>
      <c r="J361" s="2" t="s">
        <v>107</v>
      </c>
      <c r="K361" s="2">
        <v>2962.28</v>
      </c>
      <c r="L361" s="2" t="str">
        <f t="shared" si="30"/>
        <v>March</v>
      </c>
      <c r="M361" s="2" t="str">
        <f t="shared" si="31"/>
        <v>March</v>
      </c>
      <c r="N361" t="str">
        <f t="shared" si="32"/>
        <v>Delivered</v>
      </c>
      <c r="O361">
        <f t="shared" si="33"/>
        <v>5</v>
      </c>
      <c r="P361" t="str">
        <f t="shared" si="34"/>
        <v>Completed</v>
      </c>
      <c r="Q361" t="str">
        <f t="shared" si="35"/>
        <v>Slow</v>
      </c>
      <c r="R361" t="str">
        <f>_xlfn.XLOOKUP(B361,CustomerMaster!$A$2:$A$287,CustomerMaster!$B$2:$B$287)</f>
        <v>Customer_228</v>
      </c>
      <c r="S361" t="str">
        <f>_xlfn.XLOOKUP(C361,ProductMaster!$A$2:$A$51,ProductMaster!$B$2:$B$51)</f>
        <v>Product_45</v>
      </c>
      <c r="T361" t="str">
        <f>_xlfn.XLOOKUP(G361,RegionMaster!$A$2:$A$5,RegionMaster!$B$2:$B$5)</f>
        <v>B</v>
      </c>
    </row>
    <row r="362" spans="1:20" ht="15.75" customHeight="1">
      <c r="A362" s="2" t="s">
        <v>1072</v>
      </c>
      <c r="B362" s="2" t="s">
        <v>268</v>
      </c>
      <c r="C362" s="2" t="s">
        <v>160</v>
      </c>
      <c r="D362" s="3">
        <v>45734</v>
      </c>
      <c r="E362" s="3">
        <v>45740</v>
      </c>
      <c r="F362" s="4"/>
      <c r="G362" s="2" t="s">
        <v>22</v>
      </c>
      <c r="H362" s="2" t="s">
        <v>27</v>
      </c>
      <c r="I362" s="2" t="s">
        <v>106</v>
      </c>
      <c r="J362" s="2" t="s">
        <v>94</v>
      </c>
      <c r="K362" s="2">
        <v>2063.2199999999998</v>
      </c>
      <c r="L362" s="2" t="str">
        <f t="shared" si="30"/>
        <v>March</v>
      </c>
      <c r="M362" s="2" t="str">
        <f t="shared" si="31"/>
        <v>March</v>
      </c>
      <c r="N362" t="str">
        <f t="shared" si="32"/>
        <v>Delivered</v>
      </c>
      <c r="O362">
        <f t="shared" si="33"/>
        <v>6</v>
      </c>
      <c r="P362" t="str">
        <f t="shared" si="34"/>
        <v>Completed</v>
      </c>
      <c r="Q362" t="str">
        <f t="shared" si="35"/>
        <v>Slow</v>
      </c>
      <c r="R362" t="str">
        <f>_xlfn.XLOOKUP(B362,CustomerMaster!$A$2:$A$287,CustomerMaster!$B$2:$B$287)</f>
        <v>Customer_48</v>
      </c>
      <c r="S362" t="str">
        <f>_xlfn.XLOOKUP(C362,ProductMaster!$A$2:$A$51,ProductMaster!$B$2:$B$51)</f>
        <v>Product_34</v>
      </c>
      <c r="T362" t="str">
        <f>_xlfn.XLOOKUP(G362,RegionMaster!$A$2:$A$5,RegionMaster!$B$2:$B$5)</f>
        <v>C</v>
      </c>
    </row>
    <row r="363" spans="1:20" ht="15.75" customHeight="1">
      <c r="A363" s="2" t="s">
        <v>1073</v>
      </c>
      <c r="B363" s="2" t="s">
        <v>645</v>
      </c>
      <c r="C363" s="2" t="s">
        <v>213</v>
      </c>
      <c r="D363" s="3">
        <v>45736</v>
      </c>
      <c r="E363" s="3">
        <v>45738</v>
      </c>
      <c r="F363" s="4"/>
      <c r="G363" s="2" t="s">
        <v>17</v>
      </c>
      <c r="H363" s="2" t="s">
        <v>37</v>
      </c>
      <c r="I363" s="2" t="s">
        <v>121</v>
      </c>
      <c r="J363" s="2" t="s">
        <v>94</v>
      </c>
      <c r="K363" s="2">
        <v>3287.78</v>
      </c>
      <c r="L363" s="2" t="str">
        <f t="shared" si="30"/>
        <v>March</v>
      </c>
      <c r="M363" s="2" t="str">
        <f t="shared" si="31"/>
        <v>March</v>
      </c>
      <c r="N363" t="str">
        <f t="shared" si="32"/>
        <v>Delivered</v>
      </c>
      <c r="O363">
        <f t="shared" si="33"/>
        <v>2</v>
      </c>
      <c r="P363" t="str">
        <f t="shared" si="34"/>
        <v>Completed</v>
      </c>
      <c r="Q363" t="str">
        <f t="shared" si="35"/>
        <v>Fast</v>
      </c>
      <c r="R363" t="str">
        <f>_xlfn.XLOOKUP(B363,CustomerMaster!$A$2:$A$287,CustomerMaster!$B$2:$B$287)</f>
        <v>Customer_207</v>
      </c>
      <c r="S363" t="str">
        <f>_xlfn.XLOOKUP(C363,ProductMaster!$A$2:$A$51,ProductMaster!$B$2:$B$51)</f>
        <v>Product_49</v>
      </c>
      <c r="T363" t="str">
        <f>_xlfn.XLOOKUP(G363,RegionMaster!$A$2:$A$5,RegionMaster!$B$2:$B$5)</f>
        <v>B</v>
      </c>
    </row>
    <row r="364" spans="1:20" ht="15.75" customHeight="1">
      <c r="A364" s="2" t="s">
        <v>1074</v>
      </c>
      <c r="B364" s="2" t="s">
        <v>385</v>
      </c>
      <c r="C364" s="2" t="s">
        <v>72</v>
      </c>
      <c r="D364" s="3">
        <v>45767</v>
      </c>
      <c r="E364" s="3">
        <v>45770</v>
      </c>
      <c r="F364" s="4"/>
      <c r="G364" s="2" t="s">
        <v>22</v>
      </c>
      <c r="H364" s="2" t="s">
        <v>59</v>
      </c>
      <c r="I364" s="2" t="s">
        <v>178</v>
      </c>
      <c r="J364" s="2" t="s">
        <v>133</v>
      </c>
      <c r="K364" s="2">
        <v>2399.61</v>
      </c>
      <c r="L364" s="2" t="str">
        <f t="shared" si="30"/>
        <v>April</v>
      </c>
      <c r="M364" s="2" t="str">
        <f t="shared" si="31"/>
        <v>April</v>
      </c>
      <c r="N364" t="str">
        <f t="shared" si="32"/>
        <v>Delivered</v>
      </c>
      <c r="O364">
        <f t="shared" si="33"/>
        <v>3</v>
      </c>
      <c r="P364" t="str">
        <f t="shared" si="34"/>
        <v>Completed</v>
      </c>
      <c r="Q364" t="str">
        <f t="shared" si="35"/>
        <v>Slow</v>
      </c>
      <c r="R364" t="str">
        <f>_xlfn.XLOOKUP(B364,CustomerMaster!$A$2:$A$287,CustomerMaster!$B$2:$B$287)</f>
        <v>Customer_196</v>
      </c>
      <c r="S364" t="str">
        <f>_xlfn.XLOOKUP(C364,ProductMaster!$A$2:$A$51,ProductMaster!$B$2:$B$51)</f>
        <v>Product_10</v>
      </c>
      <c r="T364" t="str">
        <f>_xlfn.XLOOKUP(G364,RegionMaster!$A$2:$A$5,RegionMaster!$B$2:$B$5)</f>
        <v>C</v>
      </c>
    </row>
    <row r="365" spans="1:20" ht="15.75" customHeight="1">
      <c r="A365" s="2" t="s">
        <v>1075</v>
      </c>
      <c r="B365" s="2" t="s">
        <v>762</v>
      </c>
      <c r="C365" s="2" t="s">
        <v>9</v>
      </c>
      <c r="D365" s="3">
        <v>45687</v>
      </c>
      <c r="E365" s="3">
        <v>45689</v>
      </c>
      <c r="F365" s="4"/>
      <c r="G365" s="2" t="s">
        <v>17</v>
      </c>
      <c r="H365" s="2" t="s">
        <v>16</v>
      </c>
      <c r="I365" s="2" t="s">
        <v>121</v>
      </c>
      <c r="J365" s="2" t="s">
        <v>133</v>
      </c>
      <c r="K365" s="2">
        <v>2818.96</v>
      </c>
      <c r="L365" s="2" t="str">
        <f t="shared" si="30"/>
        <v>January</v>
      </c>
      <c r="M365" s="2" t="str">
        <f t="shared" si="31"/>
        <v>February</v>
      </c>
      <c r="N365" t="str">
        <f t="shared" si="32"/>
        <v>Delivered</v>
      </c>
      <c r="O365">
        <f t="shared" si="33"/>
        <v>2</v>
      </c>
      <c r="P365" t="str">
        <f t="shared" si="34"/>
        <v>Completed</v>
      </c>
      <c r="Q365" t="str">
        <f t="shared" si="35"/>
        <v>Fast</v>
      </c>
      <c r="R365" t="str">
        <f>_xlfn.XLOOKUP(B365,CustomerMaster!$A$2:$A$287,CustomerMaster!$B$2:$B$287)</f>
        <v>Customer_261</v>
      </c>
      <c r="S365" t="str">
        <f>_xlfn.XLOOKUP(C365,ProductMaster!$A$2:$A$51,ProductMaster!$B$2:$B$51)</f>
        <v>Product_0</v>
      </c>
      <c r="T365" t="str">
        <f>_xlfn.XLOOKUP(G365,RegionMaster!$A$2:$A$5,RegionMaster!$B$2:$B$5)</f>
        <v>B</v>
      </c>
    </row>
    <row r="366" spans="1:20" ht="15.75" customHeight="1">
      <c r="A366" s="2" t="s">
        <v>1076</v>
      </c>
      <c r="B366" s="2" t="s">
        <v>554</v>
      </c>
      <c r="C366" s="2" t="s">
        <v>148</v>
      </c>
      <c r="D366" s="3">
        <v>45708</v>
      </c>
      <c r="E366" s="4"/>
      <c r="F366" s="3">
        <v>45710</v>
      </c>
      <c r="G366" s="2" t="s">
        <v>7</v>
      </c>
      <c r="H366" s="2" t="s">
        <v>37</v>
      </c>
      <c r="I366" s="2" t="s">
        <v>90</v>
      </c>
      <c r="J366" s="2" t="s">
        <v>133</v>
      </c>
      <c r="K366" s="2">
        <v>4719.03</v>
      </c>
      <c r="L366" s="2" t="str">
        <f t="shared" si="30"/>
        <v>February</v>
      </c>
      <c r="M366" s="2" t="str">
        <f t="shared" si="31"/>
        <v>Cancelled</v>
      </c>
      <c r="N366" t="str">
        <f t="shared" si="32"/>
        <v>Cancelled</v>
      </c>
      <c r="O366" t="str">
        <f t="shared" si="33"/>
        <v>Order Cancelled</v>
      </c>
      <c r="P366" t="str">
        <f t="shared" si="34"/>
        <v>Cancelled</v>
      </c>
      <c r="Q366" t="str">
        <f t="shared" si="35"/>
        <v>Cancelled</v>
      </c>
      <c r="R366" t="str">
        <f>_xlfn.XLOOKUP(B366,CustomerMaster!$A$2:$A$287,CustomerMaster!$B$2:$B$287)</f>
        <v>Customer_167</v>
      </c>
      <c r="S366" t="str">
        <f>_xlfn.XLOOKUP(C366,ProductMaster!$A$2:$A$51,ProductMaster!$B$2:$B$51)</f>
        <v>Product_31</v>
      </c>
      <c r="T366" t="str">
        <f>_xlfn.XLOOKUP(G366,RegionMaster!$A$2:$A$5,RegionMaster!$B$2:$B$5)</f>
        <v>A</v>
      </c>
    </row>
    <row r="367" spans="1:20" ht="15.75" customHeight="1">
      <c r="A367" s="2" t="s">
        <v>1077</v>
      </c>
      <c r="B367" s="2" t="s">
        <v>455</v>
      </c>
      <c r="C367" s="2" t="s">
        <v>114</v>
      </c>
      <c r="D367" s="3">
        <v>45727</v>
      </c>
      <c r="E367" s="4"/>
      <c r="F367" s="3">
        <v>45729</v>
      </c>
      <c r="G367" s="2" t="s">
        <v>45</v>
      </c>
      <c r="H367" s="2" t="s">
        <v>59</v>
      </c>
      <c r="I367" s="2" t="s">
        <v>90</v>
      </c>
      <c r="J367" s="2" t="s">
        <v>107</v>
      </c>
      <c r="K367" s="2">
        <v>2053.29</v>
      </c>
      <c r="L367" s="2" t="str">
        <f t="shared" si="30"/>
        <v>March</v>
      </c>
      <c r="M367" s="2" t="str">
        <f t="shared" si="31"/>
        <v>Cancelled</v>
      </c>
      <c r="N367" t="str">
        <f t="shared" si="32"/>
        <v>Cancelled</v>
      </c>
      <c r="O367" t="str">
        <f t="shared" si="33"/>
        <v>Order Cancelled</v>
      </c>
      <c r="P367" t="str">
        <f t="shared" si="34"/>
        <v>Cancelled</v>
      </c>
      <c r="Q367" t="str">
        <f t="shared" si="35"/>
        <v>Cancelled</v>
      </c>
      <c r="R367" t="str">
        <f>_xlfn.XLOOKUP(B367,CustomerMaster!$A$2:$A$287,CustomerMaster!$B$2:$B$287)</f>
        <v>Customer_127</v>
      </c>
      <c r="S367" t="str">
        <f>_xlfn.XLOOKUP(C367,ProductMaster!$A$2:$A$51,ProductMaster!$B$2:$B$51)</f>
        <v>Product_21</v>
      </c>
      <c r="T367" t="str">
        <f>_xlfn.XLOOKUP(G367,RegionMaster!$A$2:$A$5,RegionMaster!$B$2:$B$5)</f>
        <v>D</v>
      </c>
    </row>
    <row r="368" spans="1:20" ht="15.75" customHeight="1">
      <c r="A368" s="2" t="s">
        <v>1078</v>
      </c>
      <c r="B368" s="2" t="s">
        <v>187</v>
      </c>
      <c r="C368" s="2" t="s">
        <v>157</v>
      </c>
      <c r="D368" s="3">
        <v>45715</v>
      </c>
      <c r="E368" s="3">
        <v>45720</v>
      </c>
      <c r="F368" s="4"/>
      <c r="G368" s="2" t="s">
        <v>17</v>
      </c>
      <c r="H368" s="2" t="s">
        <v>16</v>
      </c>
      <c r="I368" s="2" t="s">
        <v>121</v>
      </c>
      <c r="J368" s="2" t="s">
        <v>107</v>
      </c>
      <c r="K368" s="2">
        <v>4813.71</v>
      </c>
      <c r="L368" s="2" t="str">
        <f t="shared" si="30"/>
        <v>February</v>
      </c>
      <c r="M368" s="2" t="str">
        <f t="shared" si="31"/>
        <v>March</v>
      </c>
      <c r="N368" t="str">
        <f t="shared" si="32"/>
        <v>Delivered</v>
      </c>
      <c r="O368">
        <f t="shared" si="33"/>
        <v>5</v>
      </c>
      <c r="P368" t="str">
        <f t="shared" si="34"/>
        <v>Completed</v>
      </c>
      <c r="Q368" t="str">
        <f t="shared" si="35"/>
        <v>Slow</v>
      </c>
      <c r="R368" t="str">
        <f>_xlfn.XLOOKUP(B368,CustomerMaster!$A$2:$A$287,CustomerMaster!$B$2:$B$287)</f>
        <v>Customer_60</v>
      </c>
      <c r="S368" t="str">
        <f>_xlfn.XLOOKUP(C368,ProductMaster!$A$2:$A$51,ProductMaster!$B$2:$B$51)</f>
        <v>Product_33</v>
      </c>
      <c r="T368" t="str">
        <f>_xlfn.XLOOKUP(G368,RegionMaster!$A$2:$A$5,RegionMaster!$B$2:$B$5)</f>
        <v>B</v>
      </c>
    </row>
    <row r="369" spans="1:20" ht="15.75" customHeight="1">
      <c r="A369" s="2" t="s">
        <v>1079</v>
      </c>
      <c r="B369" s="2" t="s">
        <v>428</v>
      </c>
      <c r="C369" s="2" t="s">
        <v>56</v>
      </c>
      <c r="D369" s="3">
        <v>45728</v>
      </c>
      <c r="E369" s="3">
        <v>45732</v>
      </c>
      <c r="F369" s="4"/>
      <c r="G369" s="2" t="s">
        <v>22</v>
      </c>
      <c r="H369" s="2" t="s">
        <v>37</v>
      </c>
      <c r="I369" s="2" t="s">
        <v>178</v>
      </c>
      <c r="J369" s="2" t="s">
        <v>133</v>
      </c>
      <c r="K369" s="2">
        <v>4545.68</v>
      </c>
      <c r="L369" s="2" t="str">
        <f t="shared" si="30"/>
        <v>March</v>
      </c>
      <c r="M369" s="2" t="str">
        <f t="shared" si="31"/>
        <v>March</v>
      </c>
      <c r="N369" t="str">
        <f t="shared" si="32"/>
        <v>Delivered</v>
      </c>
      <c r="O369">
        <f t="shared" si="33"/>
        <v>4</v>
      </c>
      <c r="P369" t="str">
        <f t="shared" si="34"/>
        <v>Completed</v>
      </c>
      <c r="Q369" t="str">
        <f t="shared" si="35"/>
        <v>Slow</v>
      </c>
      <c r="R369" t="str">
        <f>_xlfn.XLOOKUP(B369,CustomerMaster!$A$2:$A$287,CustomerMaster!$B$2:$B$287)</f>
        <v>Customer_117</v>
      </c>
      <c r="S369" t="str">
        <f>_xlfn.XLOOKUP(C369,ProductMaster!$A$2:$A$51,ProductMaster!$B$2:$B$51)</f>
        <v>Product_7</v>
      </c>
      <c r="T369" t="str">
        <f>_xlfn.XLOOKUP(G369,RegionMaster!$A$2:$A$5,RegionMaster!$B$2:$B$5)</f>
        <v>C</v>
      </c>
    </row>
    <row r="370" spans="1:20" ht="15.75" customHeight="1">
      <c r="A370" s="2" t="s">
        <v>1080</v>
      </c>
      <c r="B370" s="2" t="s">
        <v>186</v>
      </c>
      <c r="C370" s="2" t="s">
        <v>32</v>
      </c>
      <c r="D370" s="3">
        <v>45692</v>
      </c>
      <c r="E370" s="4"/>
      <c r="F370" s="3">
        <v>45694</v>
      </c>
      <c r="G370" s="2" t="s">
        <v>45</v>
      </c>
      <c r="H370" s="2" t="s">
        <v>37</v>
      </c>
      <c r="I370" s="2" t="s">
        <v>121</v>
      </c>
      <c r="J370" s="2" t="s">
        <v>94</v>
      </c>
      <c r="K370" s="2">
        <v>1139.8</v>
      </c>
      <c r="L370" s="2" t="str">
        <f t="shared" si="30"/>
        <v>February</v>
      </c>
      <c r="M370" s="2" t="str">
        <f t="shared" si="31"/>
        <v>Cancelled</v>
      </c>
      <c r="N370" t="str">
        <f t="shared" si="32"/>
        <v>Cancelled</v>
      </c>
      <c r="O370" t="str">
        <f t="shared" si="33"/>
        <v>Order Cancelled</v>
      </c>
      <c r="P370" t="str">
        <f t="shared" si="34"/>
        <v>Cancelled</v>
      </c>
      <c r="Q370" t="str">
        <f t="shared" si="35"/>
        <v>Cancelled</v>
      </c>
      <c r="R370" t="str">
        <f>_xlfn.XLOOKUP(B370,CustomerMaster!$A$2:$A$287,CustomerMaster!$B$2:$B$287)</f>
        <v>Customer_24</v>
      </c>
      <c r="S370" t="str">
        <f>_xlfn.XLOOKUP(C370,ProductMaster!$A$2:$A$51,ProductMaster!$B$2:$B$51)</f>
        <v>Product_3</v>
      </c>
      <c r="T370" t="str">
        <f>_xlfn.XLOOKUP(G370,RegionMaster!$A$2:$A$5,RegionMaster!$B$2:$B$5)</f>
        <v>D</v>
      </c>
    </row>
    <row r="371" spans="1:20" ht="15.75" customHeight="1">
      <c r="A371" s="2" t="s">
        <v>1081</v>
      </c>
      <c r="B371" s="2" t="s">
        <v>645</v>
      </c>
      <c r="C371" s="2" t="s">
        <v>148</v>
      </c>
      <c r="D371" s="3">
        <v>45765</v>
      </c>
      <c r="E371" s="3">
        <v>45767</v>
      </c>
      <c r="F371" s="4"/>
      <c r="G371" s="2" t="s">
        <v>17</v>
      </c>
      <c r="H371" s="2" t="s">
        <v>37</v>
      </c>
      <c r="I371" s="2" t="s">
        <v>106</v>
      </c>
      <c r="J371" s="2" t="s">
        <v>107</v>
      </c>
      <c r="K371" s="2">
        <v>532.92999999999995</v>
      </c>
      <c r="L371" s="2" t="str">
        <f t="shared" si="30"/>
        <v>April</v>
      </c>
      <c r="M371" s="2" t="str">
        <f t="shared" si="31"/>
        <v>April</v>
      </c>
      <c r="N371" t="str">
        <f t="shared" si="32"/>
        <v>Delivered</v>
      </c>
      <c r="O371">
        <f t="shared" si="33"/>
        <v>2</v>
      </c>
      <c r="P371" t="str">
        <f t="shared" si="34"/>
        <v>Completed</v>
      </c>
      <c r="Q371" t="str">
        <f t="shared" si="35"/>
        <v>Fast</v>
      </c>
      <c r="R371" t="str">
        <f>_xlfn.XLOOKUP(B371,CustomerMaster!$A$2:$A$287,CustomerMaster!$B$2:$B$287)</f>
        <v>Customer_207</v>
      </c>
      <c r="S371" t="str">
        <f>_xlfn.XLOOKUP(C371,ProductMaster!$A$2:$A$51,ProductMaster!$B$2:$B$51)</f>
        <v>Product_31</v>
      </c>
      <c r="T371" t="str">
        <f>_xlfn.XLOOKUP(G371,RegionMaster!$A$2:$A$5,RegionMaster!$B$2:$B$5)</f>
        <v>B</v>
      </c>
    </row>
    <row r="372" spans="1:20" ht="15.75" customHeight="1">
      <c r="A372" s="2" t="s">
        <v>1082</v>
      </c>
      <c r="B372" s="2" t="s">
        <v>51</v>
      </c>
      <c r="C372" s="2" t="s">
        <v>157</v>
      </c>
      <c r="D372" s="3">
        <v>45701</v>
      </c>
      <c r="E372" s="4"/>
      <c r="F372" s="3">
        <v>45703</v>
      </c>
      <c r="G372" s="2" t="s">
        <v>7</v>
      </c>
      <c r="H372" s="2" t="s">
        <v>59</v>
      </c>
      <c r="I372" s="2" t="s">
        <v>90</v>
      </c>
      <c r="J372" s="2" t="s">
        <v>107</v>
      </c>
      <c r="K372" s="2">
        <v>683.73</v>
      </c>
      <c r="L372" s="2" t="str">
        <f t="shared" si="30"/>
        <v>February</v>
      </c>
      <c r="M372" s="2" t="str">
        <f t="shared" si="31"/>
        <v>Cancelled</v>
      </c>
      <c r="N372" t="str">
        <f t="shared" si="32"/>
        <v>Cancelled</v>
      </c>
      <c r="O372" t="str">
        <f t="shared" si="33"/>
        <v>Order Cancelled</v>
      </c>
      <c r="P372" t="str">
        <f t="shared" si="34"/>
        <v>Cancelled</v>
      </c>
      <c r="Q372" t="str">
        <f t="shared" si="35"/>
        <v>Cancelled</v>
      </c>
      <c r="R372" t="str">
        <f>_xlfn.XLOOKUP(B372,CustomerMaster!$A$2:$A$287,CustomerMaster!$B$2:$B$287)</f>
        <v>Customer_5</v>
      </c>
      <c r="S372" t="str">
        <f>_xlfn.XLOOKUP(C372,ProductMaster!$A$2:$A$51,ProductMaster!$B$2:$B$51)</f>
        <v>Product_33</v>
      </c>
      <c r="T372" t="str">
        <f>_xlfn.XLOOKUP(G372,RegionMaster!$A$2:$A$5,RegionMaster!$B$2:$B$5)</f>
        <v>A</v>
      </c>
    </row>
    <row r="373" spans="1:20" ht="15.75" customHeight="1">
      <c r="A373" s="2" t="s">
        <v>1083</v>
      </c>
      <c r="B373" s="2" t="s">
        <v>126</v>
      </c>
      <c r="C373" s="2" t="s">
        <v>210</v>
      </c>
      <c r="D373" s="3">
        <v>45661</v>
      </c>
      <c r="E373" s="3">
        <v>45663</v>
      </c>
      <c r="F373" s="4"/>
      <c r="G373" s="2" t="s">
        <v>17</v>
      </c>
      <c r="H373" s="2" t="s">
        <v>16</v>
      </c>
      <c r="I373" s="2" t="s">
        <v>121</v>
      </c>
      <c r="J373" s="2" t="s">
        <v>94</v>
      </c>
      <c r="K373" s="2">
        <v>287.45999999999998</v>
      </c>
      <c r="L373" s="2" t="str">
        <f t="shared" si="30"/>
        <v>January</v>
      </c>
      <c r="M373" s="2" t="str">
        <f t="shared" si="31"/>
        <v>January</v>
      </c>
      <c r="N373" t="str">
        <f t="shared" si="32"/>
        <v>Delivered</v>
      </c>
      <c r="O373">
        <f t="shared" si="33"/>
        <v>2</v>
      </c>
      <c r="P373" t="str">
        <f t="shared" si="34"/>
        <v>Completed</v>
      </c>
      <c r="Q373" t="str">
        <f t="shared" si="35"/>
        <v>Fast</v>
      </c>
      <c r="R373" t="str">
        <f>_xlfn.XLOOKUP(B373,CustomerMaster!$A$2:$A$287,CustomerMaster!$B$2:$B$287)</f>
        <v>Customer_86</v>
      </c>
      <c r="S373" t="str">
        <f>_xlfn.XLOOKUP(C373,ProductMaster!$A$2:$A$51,ProductMaster!$B$2:$B$51)</f>
        <v>Product_48</v>
      </c>
      <c r="T373" t="str">
        <f>_xlfn.XLOOKUP(G373,RegionMaster!$A$2:$A$5,RegionMaster!$B$2:$B$5)</f>
        <v>B</v>
      </c>
    </row>
    <row r="374" spans="1:20" ht="15.75" customHeight="1">
      <c r="A374" s="2" t="s">
        <v>1084</v>
      </c>
      <c r="B374" s="2" t="s">
        <v>491</v>
      </c>
      <c r="C374" s="2" t="s">
        <v>157</v>
      </c>
      <c r="D374" s="3">
        <v>45684</v>
      </c>
      <c r="E374" s="3">
        <v>45690</v>
      </c>
      <c r="F374" s="4"/>
      <c r="G374" s="2" t="s">
        <v>17</v>
      </c>
      <c r="H374" s="2" t="s">
        <v>59</v>
      </c>
      <c r="I374" s="2" t="s">
        <v>195</v>
      </c>
      <c r="J374" s="2" t="s">
        <v>107</v>
      </c>
      <c r="K374" s="2">
        <v>653.33000000000004</v>
      </c>
      <c r="L374" s="2" t="str">
        <f t="shared" si="30"/>
        <v>January</v>
      </c>
      <c r="M374" s="2" t="str">
        <f t="shared" si="31"/>
        <v>February</v>
      </c>
      <c r="N374" t="str">
        <f t="shared" si="32"/>
        <v>Delivered</v>
      </c>
      <c r="O374">
        <f t="shared" si="33"/>
        <v>6</v>
      </c>
      <c r="P374" t="str">
        <f t="shared" si="34"/>
        <v>Completed</v>
      </c>
      <c r="Q374" t="str">
        <f t="shared" si="35"/>
        <v>Slow</v>
      </c>
      <c r="R374" t="str">
        <f>_xlfn.XLOOKUP(B374,CustomerMaster!$A$2:$A$287,CustomerMaster!$B$2:$B$287)</f>
        <v>Customer_143</v>
      </c>
      <c r="S374" t="str">
        <f>_xlfn.XLOOKUP(C374,ProductMaster!$A$2:$A$51,ProductMaster!$B$2:$B$51)</f>
        <v>Product_33</v>
      </c>
      <c r="T374" t="str">
        <f>_xlfn.XLOOKUP(G374,RegionMaster!$A$2:$A$5,RegionMaster!$B$2:$B$5)</f>
        <v>B</v>
      </c>
    </row>
    <row r="375" spans="1:20" ht="15.75" customHeight="1">
      <c r="A375" s="2" t="s">
        <v>1085</v>
      </c>
      <c r="B375" s="2" t="s">
        <v>382</v>
      </c>
      <c r="C375" s="2" t="s">
        <v>207</v>
      </c>
      <c r="D375" s="3">
        <v>45754</v>
      </c>
      <c r="E375" s="3">
        <v>45757</v>
      </c>
      <c r="F375" s="4"/>
      <c r="G375" s="2" t="s">
        <v>45</v>
      </c>
      <c r="H375" s="2" t="s">
        <v>16</v>
      </c>
      <c r="I375" s="2" t="s">
        <v>106</v>
      </c>
      <c r="J375" s="2" t="s">
        <v>133</v>
      </c>
      <c r="K375" s="2">
        <v>3478.43</v>
      </c>
      <c r="L375" s="2" t="str">
        <f t="shared" si="30"/>
        <v>April</v>
      </c>
      <c r="M375" s="2" t="str">
        <f t="shared" si="31"/>
        <v>April</v>
      </c>
      <c r="N375" t="str">
        <f t="shared" si="32"/>
        <v>Delivered</v>
      </c>
      <c r="O375">
        <f t="shared" si="33"/>
        <v>3</v>
      </c>
      <c r="P375" t="str">
        <f t="shared" si="34"/>
        <v>Completed</v>
      </c>
      <c r="Q375" t="str">
        <f t="shared" si="35"/>
        <v>Slow</v>
      </c>
      <c r="R375" t="str">
        <f>_xlfn.XLOOKUP(B375,CustomerMaster!$A$2:$A$287,CustomerMaster!$B$2:$B$287)</f>
        <v>Customer_98</v>
      </c>
      <c r="S375" t="str">
        <f>_xlfn.XLOOKUP(C375,ProductMaster!$A$2:$A$51,ProductMaster!$B$2:$B$51)</f>
        <v>Product_47</v>
      </c>
      <c r="T375" t="str">
        <f>_xlfn.XLOOKUP(G375,RegionMaster!$A$2:$A$5,RegionMaster!$B$2:$B$5)</f>
        <v>D</v>
      </c>
    </row>
    <row r="376" spans="1:20" ht="15.75" customHeight="1">
      <c r="A376" s="2" t="s">
        <v>1086</v>
      </c>
      <c r="B376" s="2" t="s">
        <v>455</v>
      </c>
      <c r="C376" s="2" t="s">
        <v>63</v>
      </c>
      <c r="D376" s="3">
        <v>45764</v>
      </c>
      <c r="E376" s="4"/>
      <c r="F376" s="3">
        <v>45765</v>
      </c>
      <c r="G376" s="2" t="s">
        <v>7</v>
      </c>
      <c r="H376" s="2" t="s">
        <v>16</v>
      </c>
      <c r="I376" s="2" t="s">
        <v>178</v>
      </c>
      <c r="J376" s="2" t="s">
        <v>94</v>
      </c>
      <c r="K376" s="2">
        <v>541.71</v>
      </c>
      <c r="L376" s="2" t="str">
        <f t="shared" si="30"/>
        <v>April</v>
      </c>
      <c r="M376" s="2" t="str">
        <f t="shared" si="31"/>
        <v>Cancelled</v>
      </c>
      <c r="N376" t="str">
        <f t="shared" si="32"/>
        <v>Cancelled</v>
      </c>
      <c r="O376" t="str">
        <f t="shared" si="33"/>
        <v>Order Cancelled</v>
      </c>
      <c r="P376" t="str">
        <f t="shared" si="34"/>
        <v>Cancelled</v>
      </c>
      <c r="Q376" t="str">
        <f t="shared" si="35"/>
        <v>Cancelled</v>
      </c>
      <c r="R376" t="str">
        <f>_xlfn.XLOOKUP(B376,CustomerMaster!$A$2:$A$287,CustomerMaster!$B$2:$B$287)</f>
        <v>Customer_127</v>
      </c>
      <c r="S376" t="str">
        <f>_xlfn.XLOOKUP(C376,ProductMaster!$A$2:$A$51,ProductMaster!$B$2:$B$51)</f>
        <v>Product_8</v>
      </c>
      <c r="T376" t="str">
        <f>_xlfn.XLOOKUP(G376,RegionMaster!$A$2:$A$5,RegionMaster!$B$2:$B$5)</f>
        <v>A</v>
      </c>
    </row>
    <row r="377" spans="1:20" ht="15.75" customHeight="1">
      <c r="A377" s="2" t="s">
        <v>1087</v>
      </c>
      <c r="B377" s="2" t="s">
        <v>659</v>
      </c>
      <c r="C377" s="2" t="s">
        <v>141</v>
      </c>
      <c r="D377" s="3">
        <v>45743</v>
      </c>
      <c r="E377" s="3">
        <v>45745</v>
      </c>
      <c r="F377" s="4"/>
      <c r="G377" s="2" t="s">
        <v>17</v>
      </c>
      <c r="H377" s="2" t="s">
        <v>54</v>
      </c>
      <c r="I377" s="2" t="s">
        <v>195</v>
      </c>
      <c r="J377" s="2" t="s">
        <v>133</v>
      </c>
      <c r="K377" s="2">
        <v>1731.08</v>
      </c>
      <c r="L377" s="2" t="str">
        <f t="shared" si="30"/>
        <v>March</v>
      </c>
      <c r="M377" s="2" t="str">
        <f t="shared" si="31"/>
        <v>March</v>
      </c>
      <c r="N377" t="str">
        <f t="shared" si="32"/>
        <v>Delivered</v>
      </c>
      <c r="O377">
        <f t="shared" si="33"/>
        <v>2</v>
      </c>
      <c r="P377" t="str">
        <f t="shared" si="34"/>
        <v>Completed</v>
      </c>
      <c r="Q377" t="str">
        <f t="shared" si="35"/>
        <v>Fast</v>
      </c>
      <c r="R377" t="str">
        <f>_xlfn.XLOOKUP(B377,CustomerMaster!$A$2:$A$287,CustomerMaster!$B$2:$B$287)</f>
        <v>Customer_212</v>
      </c>
      <c r="S377" t="str">
        <f>_xlfn.XLOOKUP(C377,ProductMaster!$A$2:$A$51,ProductMaster!$B$2:$B$51)</f>
        <v>Product_42</v>
      </c>
      <c r="T377" t="str">
        <f>_xlfn.XLOOKUP(G377,RegionMaster!$A$2:$A$5,RegionMaster!$B$2:$B$5)</f>
        <v>B</v>
      </c>
    </row>
    <row r="378" spans="1:20" ht="15.75" customHeight="1">
      <c r="A378" s="2" t="s">
        <v>1088</v>
      </c>
      <c r="B378" s="2" t="s">
        <v>534</v>
      </c>
      <c r="C378" s="2" t="s">
        <v>122</v>
      </c>
      <c r="D378" s="3">
        <v>45777</v>
      </c>
      <c r="E378" s="3">
        <v>45778</v>
      </c>
      <c r="F378" s="4"/>
      <c r="G378" s="2" t="s">
        <v>45</v>
      </c>
      <c r="H378" s="2" t="s">
        <v>54</v>
      </c>
      <c r="I378" s="2" t="s">
        <v>178</v>
      </c>
      <c r="J378" s="2" t="s">
        <v>107</v>
      </c>
      <c r="K378" s="2">
        <v>4255.3999999999996</v>
      </c>
      <c r="L378" s="2" t="str">
        <f t="shared" si="30"/>
        <v>April</v>
      </c>
      <c r="M378" s="2" t="str">
        <f t="shared" si="31"/>
        <v>May</v>
      </c>
      <c r="N378" t="str">
        <f t="shared" si="32"/>
        <v>Delivered</v>
      </c>
      <c r="O378">
        <f t="shared" si="33"/>
        <v>1</v>
      </c>
      <c r="P378" t="str">
        <f t="shared" si="34"/>
        <v>Completed</v>
      </c>
      <c r="Q378" t="str">
        <f t="shared" si="35"/>
        <v>Fast</v>
      </c>
      <c r="R378" t="str">
        <f>_xlfn.XLOOKUP(B378,CustomerMaster!$A$2:$A$287,CustomerMaster!$B$2:$B$287)</f>
        <v>Customer_159</v>
      </c>
      <c r="S378" t="str">
        <f>_xlfn.XLOOKUP(C378,ProductMaster!$A$2:$A$51,ProductMaster!$B$2:$B$51)</f>
        <v>Product_23</v>
      </c>
      <c r="T378" t="str">
        <f>_xlfn.XLOOKUP(G378,RegionMaster!$A$2:$A$5,RegionMaster!$B$2:$B$5)</f>
        <v>D</v>
      </c>
    </row>
    <row r="379" spans="1:20" ht="15.75" customHeight="1">
      <c r="A379" s="2" t="s">
        <v>1089</v>
      </c>
      <c r="B379" s="2" t="s">
        <v>466</v>
      </c>
      <c r="C379" s="2" t="s">
        <v>39</v>
      </c>
      <c r="D379" s="3">
        <v>45739</v>
      </c>
      <c r="E379" s="3">
        <v>45744</v>
      </c>
      <c r="F379" s="4"/>
      <c r="G379" s="2" t="s">
        <v>7</v>
      </c>
      <c r="H379" s="2" t="s">
        <v>59</v>
      </c>
      <c r="I379" s="2" t="s">
        <v>195</v>
      </c>
      <c r="J379" s="2" t="s">
        <v>107</v>
      </c>
      <c r="K379" s="2">
        <v>311.70999999999998</v>
      </c>
      <c r="L379" s="2" t="str">
        <f t="shared" si="30"/>
        <v>March</v>
      </c>
      <c r="M379" s="2" t="str">
        <f t="shared" si="31"/>
        <v>March</v>
      </c>
      <c r="N379" t="str">
        <f t="shared" si="32"/>
        <v>Delivered</v>
      </c>
      <c r="O379">
        <f t="shared" si="33"/>
        <v>5</v>
      </c>
      <c r="P379" t="str">
        <f t="shared" si="34"/>
        <v>Completed</v>
      </c>
      <c r="Q379" t="str">
        <f t="shared" si="35"/>
        <v>Slow</v>
      </c>
      <c r="R379" t="str">
        <f>_xlfn.XLOOKUP(B379,CustomerMaster!$A$2:$A$287,CustomerMaster!$B$2:$B$287)</f>
        <v>Customer_132</v>
      </c>
      <c r="S379" t="str">
        <f>_xlfn.XLOOKUP(C379,ProductMaster!$A$2:$A$51,ProductMaster!$B$2:$B$51)</f>
        <v>Product_4</v>
      </c>
      <c r="T379" t="str">
        <f>_xlfn.XLOOKUP(G379,RegionMaster!$A$2:$A$5,RegionMaster!$B$2:$B$5)</f>
        <v>A</v>
      </c>
    </row>
    <row r="380" spans="1:20" ht="15.75" customHeight="1">
      <c r="A380" s="2" t="s">
        <v>1090</v>
      </c>
      <c r="B380" s="2" t="s">
        <v>443</v>
      </c>
      <c r="C380" s="2" t="s">
        <v>142</v>
      </c>
      <c r="D380" s="3">
        <v>45685</v>
      </c>
      <c r="E380" s="4"/>
      <c r="F380" s="3">
        <v>45685</v>
      </c>
      <c r="G380" s="2" t="s">
        <v>7</v>
      </c>
      <c r="H380" s="2" t="s">
        <v>59</v>
      </c>
      <c r="I380" s="2" t="s">
        <v>178</v>
      </c>
      <c r="J380" s="2" t="s">
        <v>94</v>
      </c>
      <c r="K380" s="2">
        <v>4109.45</v>
      </c>
      <c r="L380" s="2" t="str">
        <f t="shared" si="30"/>
        <v>January</v>
      </c>
      <c r="M380" s="2" t="str">
        <f t="shared" si="31"/>
        <v>Cancelled</v>
      </c>
      <c r="N380" t="str">
        <f t="shared" si="32"/>
        <v>Cancelled</v>
      </c>
      <c r="O380" t="str">
        <f t="shared" si="33"/>
        <v>Order Cancelled</v>
      </c>
      <c r="P380" t="str">
        <f t="shared" si="34"/>
        <v>Cancelled</v>
      </c>
      <c r="Q380" t="str">
        <f t="shared" si="35"/>
        <v>Cancelled</v>
      </c>
      <c r="R380" t="str">
        <f>_xlfn.XLOOKUP(B380,CustomerMaster!$A$2:$A$287,CustomerMaster!$B$2:$B$287)</f>
        <v>Customer_123</v>
      </c>
      <c r="S380" t="str">
        <f>_xlfn.XLOOKUP(C380,ProductMaster!$A$2:$A$51,ProductMaster!$B$2:$B$51)</f>
        <v>Product_29</v>
      </c>
      <c r="T380" t="str">
        <f>_xlfn.XLOOKUP(G380,RegionMaster!$A$2:$A$5,RegionMaster!$B$2:$B$5)</f>
        <v>A</v>
      </c>
    </row>
    <row r="381" spans="1:20" ht="15.75" customHeight="1">
      <c r="A381" s="2" t="s">
        <v>1091</v>
      </c>
      <c r="B381" s="2" t="s">
        <v>459</v>
      </c>
      <c r="C381" s="2" t="s">
        <v>191</v>
      </c>
      <c r="D381" s="3">
        <v>45748</v>
      </c>
      <c r="E381" s="3">
        <v>45753</v>
      </c>
      <c r="F381" s="4"/>
      <c r="G381" s="2" t="s">
        <v>22</v>
      </c>
      <c r="H381" s="2" t="s">
        <v>16</v>
      </c>
      <c r="I381" s="2" t="s">
        <v>195</v>
      </c>
      <c r="J381" s="2" t="s">
        <v>133</v>
      </c>
      <c r="K381" s="2">
        <v>1552.9</v>
      </c>
      <c r="L381" s="2" t="str">
        <f t="shared" si="30"/>
        <v>April</v>
      </c>
      <c r="M381" s="2" t="str">
        <f t="shared" si="31"/>
        <v>April</v>
      </c>
      <c r="N381" t="str">
        <f t="shared" si="32"/>
        <v>Delivered</v>
      </c>
      <c r="O381">
        <f t="shared" si="33"/>
        <v>5</v>
      </c>
      <c r="P381" t="str">
        <f t="shared" si="34"/>
        <v>Completed</v>
      </c>
      <c r="Q381" t="str">
        <f t="shared" si="35"/>
        <v>Slow</v>
      </c>
      <c r="R381" t="str">
        <f>_xlfn.XLOOKUP(B381,CustomerMaster!$A$2:$A$287,CustomerMaster!$B$2:$B$287)</f>
        <v>Customer_129</v>
      </c>
      <c r="S381" t="str">
        <f>_xlfn.XLOOKUP(C381,ProductMaster!$A$2:$A$51,ProductMaster!$B$2:$B$51)</f>
        <v>Product_43</v>
      </c>
      <c r="T381" t="str">
        <f>_xlfn.XLOOKUP(G381,RegionMaster!$A$2:$A$5,RegionMaster!$B$2:$B$5)</f>
        <v>C</v>
      </c>
    </row>
    <row r="382" spans="1:20" ht="15.75" customHeight="1">
      <c r="A382" s="2" t="s">
        <v>1092</v>
      </c>
      <c r="B382" s="2" t="s">
        <v>359</v>
      </c>
      <c r="C382" s="2" t="s">
        <v>91</v>
      </c>
      <c r="D382" s="3">
        <v>45749</v>
      </c>
      <c r="E382" s="3">
        <v>45752</v>
      </c>
      <c r="F382" s="4"/>
      <c r="G382" s="2" t="s">
        <v>22</v>
      </c>
      <c r="H382" s="2" t="s">
        <v>54</v>
      </c>
      <c r="I382" s="2" t="s">
        <v>195</v>
      </c>
      <c r="J382" s="2" t="s">
        <v>107</v>
      </c>
      <c r="K382" s="2">
        <v>767.19</v>
      </c>
      <c r="L382" s="2" t="str">
        <f t="shared" si="30"/>
        <v>April</v>
      </c>
      <c r="M382" s="2" t="str">
        <f t="shared" si="31"/>
        <v>April</v>
      </c>
      <c r="N382" t="str">
        <f t="shared" si="32"/>
        <v>Delivered</v>
      </c>
      <c r="O382">
        <f t="shared" si="33"/>
        <v>3</v>
      </c>
      <c r="P382" t="str">
        <f t="shared" si="34"/>
        <v>Completed</v>
      </c>
      <c r="Q382" t="str">
        <f t="shared" si="35"/>
        <v>Slow</v>
      </c>
      <c r="R382" t="str">
        <f>_xlfn.XLOOKUP(B382,CustomerMaster!$A$2:$A$287,CustomerMaster!$B$2:$B$287)</f>
        <v>Customer_87</v>
      </c>
      <c r="S382" t="str">
        <f>_xlfn.XLOOKUP(C382,ProductMaster!$A$2:$A$51,ProductMaster!$B$2:$B$51)</f>
        <v>Product_16</v>
      </c>
      <c r="T382" t="str">
        <f>_xlfn.XLOOKUP(G382,RegionMaster!$A$2:$A$5,RegionMaster!$B$2:$B$5)</f>
        <v>C</v>
      </c>
    </row>
    <row r="383" spans="1:20" ht="15.75" customHeight="1">
      <c r="A383" s="2" t="s">
        <v>1093</v>
      </c>
      <c r="B383" s="2" t="s">
        <v>330</v>
      </c>
      <c r="C383" s="2" t="s">
        <v>68</v>
      </c>
      <c r="D383" s="3">
        <v>45693</v>
      </c>
      <c r="E383" s="3">
        <v>45696</v>
      </c>
      <c r="F383" s="4"/>
      <c r="G383" s="2" t="s">
        <v>7</v>
      </c>
      <c r="H383" s="2" t="s">
        <v>27</v>
      </c>
      <c r="I383" s="2" t="s">
        <v>106</v>
      </c>
      <c r="J383" s="2" t="s">
        <v>107</v>
      </c>
      <c r="K383" s="2">
        <v>3544.34</v>
      </c>
      <c r="L383" s="2" t="str">
        <f t="shared" si="30"/>
        <v>February</v>
      </c>
      <c r="M383" s="2" t="str">
        <f t="shared" si="31"/>
        <v>February</v>
      </c>
      <c r="N383" t="str">
        <f t="shared" si="32"/>
        <v>Delivered</v>
      </c>
      <c r="O383">
        <f t="shared" si="33"/>
        <v>3</v>
      </c>
      <c r="P383" t="str">
        <f t="shared" si="34"/>
        <v>Completed</v>
      </c>
      <c r="Q383" t="str">
        <f t="shared" si="35"/>
        <v>Slow</v>
      </c>
      <c r="R383" t="str">
        <f>_xlfn.XLOOKUP(B383,CustomerMaster!$A$2:$A$287,CustomerMaster!$B$2:$B$287)</f>
        <v>Customer_74</v>
      </c>
      <c r="S383" t="str">
        <f>_xlfn.XLOOKUP(C383,ProductMaster!$A$2:$A$51,ProductMaster!$B$2:$B$51)</f>
        <v>Product_13</v>
      </c>
      <c r="T383" t="str">
        <f>_xlfn.XLOOKUP(G383,RegionMaster!$A$2:$A$5,RegionMaster!$B$2:$B$5)</f>
        <v>A</v>
      </c>
    </row>
    <row r="384" spans="1:20" ht="15.75" customHeight="1">
      <c r="A384" s="2" t="s">
        <v>1094</v>
      </c>
      <c r="B384" s="2" t="s">
        <v>676</v>
      </c>
      <c r="C384" s="2" t="s">
        <v>164</v>
      </c>
      <c r="D384" s="3">
        <v>45690</v>
      </c>
      <c r="E384" s="4"/>
      <c r="F384" s="3">
        <v>45691</v>
      </c>
      <c r="G384" s="2" t="s">
        <v>45</v>
      </c>
      <c r="H384" s="2" t="s">
        <v>16</v>
      </c>
      <c r="I384" s="2" t="s">
        <v>178</v>
      </c>
      <c r="J384" s="2" t="s">
        <v>94</v>
      </c>
      <c r="K384" s="2">
        <v>3218.93</v>
      </c>
      <c r="L384" s="2" t="str">
        <f t="shared" si="30"/>
        <v>February</v>
      </c>
      <c r="M384" s="2" t="str">
        <f t="shared" si="31"/>
        <v>Cancelled</v>
      </c>
      <c r="N384" t="str">
        <f t="shared" si="32"/>
        <v>Cancelled</v>
      </c>
      <c r="O384" t="str">
        <f t="shared" si="33"/>
        <v>Order Cancelled</v>
      </c>
      <c r="P384" t="str">
        <f t="shared" si="34"/>
        <v>Cancelled</v>
      </c>
      <c r="Q384" t="str">
        <f t="shared" si="35"/>
        <v>Cancelled</v>
      </c>
      <c r="R384" t="str">
        <f>_xlfn.XLOOKUP(B384,CustomerMaster!$A$2:$A$287,CustomerMaster!$B$2:$B$287)</f>
        <v>Customer_220</v>
      </c>
      <c r="S384" t="str">
        <f>_xlfn.XLOOKUP(C384,ProductMaster!$A$2:$A$51,ProductMaster!$B$2:$B$51)</f>
        <v>Product_36</v>
      </c>
      <c r="T384" t="str">
        <f>_xlfn.XLOOKUP(G384,RegionMaster!$A$2:$A$5,RegionMaster!$B$2:$B$5)</f>
        <v>D</v>
      </c>
    </row>
    <row r="385" spans="1:20" ht="15.75" customHeight="1">
      <c r="A385" s="2" t="s">
        <v>1095</v>
      </c>
      <c r="B385" s="2" t="s">
        <v>243</v>
      </c>
      <c r="C385" s="2" t="s">
        <v>32</v>
      </c>
      <c r="D385" s="3">
        <v>45670</v>
      </c>
      <c r="E385" s="3">
        <v>45674</v>
      </c>
      <c r="F385" s="4"/>
      <c r="G385" s="2" t="s">
        <v>22</v>
      </c>
      <c r="H385" s="2" t="s">
        <v>16</v>
      </c>
      <c r="I385" s="2" t="s">
        <v>121</v>
      </c>
      <c r="J385" s="2" t="s">
        <v>133</v>
      </c>
      <c r="K385" s="2">
        <v>4411.87</v>
      </c>
      <c r="L385" s="2" t="str">
        <f t="shared" si="30"/>
        <v>January</v>
      </c>
      <c r="M385" s="2" t="str">
        <f t="shared" si="31"/>
        <v>January</v>
      </c>
      <c r="N385" t="str">
        <f t="shared" si="32"/>
        <v>Delivered</v>
      </c>
      <c r="O385">
        <f t="shared" si="33"/>
        <v>4</v>
      </c>
      <c r="P385" t="str">
        <f t="shared" si="34"/>
        <v>Completed</v>
      </c>
      <c r="Q385" t="str">
        <f t="shared" si="35"/>
        <v>Slow</v>
      </c>
      <c r="R385" t="str">
        <f>_xlfn.XLOOKUP(B385,CustomerMaster!$A$2:$A$287,CustomerMaster!$B$2:$B$287)</f>
        <v>Customer_39</v>
      </c>
      <c r="S385" t="str">
        <f>_xlfn.XLOOKUP(C385,ProductMaster!$A$2:$A$51,ProductMaster!$B$2:$B$51)</f>
        <v>Product_3</v>
      </c>
      <c r="T385" t="str">
        <f>_xlfn.XLOOKUP(G385,RegionMaster!$A$2:$A$5,RegionMaster!$B$2:$B$5)</f>
        <v>C</v>
      </c>
    </row>
    <row r="386" spans="1:20" ht="15.75" customHeight="1">
      <c r="A386" s="2" t="s">
        <v>1096</v>
      </c>
      <c r="B386" s="2" t="s">
        <v>504</v>
      </c>
      <c r="C386" s="2" t="s">
        <v>114</v>
      </c>
      <c r="D386" s="3">
        <v>45772</v>
      </c>
      <c r="E386" s="3">
        <v>45776</v>
      </c>
      <c r="F386" s="4"/>
      <c r="G386" s="2" t="s">
        <v>45</v>
      </c>
      <c r="H386" s="2" t="s">
        <v>37</v>
      </c>
      <c r="I386" s="2" t="s">
        <v>178</v>
      </c>
      <c r="J386" s="2" t="s">
        <v>133</v>
      </c>
      <c r="K386" s="2">
        <v>3728.34</v>
      </c>
      <c r="L386" s="2" t="str">
        <f t="shared" si="30"/>
        <v>April</v>
      </c>
      <c r="M386" s="2" t="str">
        <f t="shared" si="31"/>
        <v>April</v>
      </c>
      <c r="N386" t="str">
        <f t="shared" si="32"/>
        <v>Delivered</v>
      </c>
      <c r="O386">
        <f t="shared" si="33"/>
        <v>4</v>
      </c>
      <c r="P386" t="str">
        <f t="shared" si="34"/>
        <v>Completed</v>
      </c>
      <c r="Q386" t="str">
        <f t="shared" si="35"/>
        <v>Slow</v>
      </c>
      <c r="R386" t="str">
        <f>_xlfn.XLOOKUP(B386,CustomerMaster!$A$2:$A$287,CustomerMaster!$B$2:$B$287)</f>
        <v>Customer_148</v>
      </c>
      <c r="S386" t="str">
        <f>_xlfn.XLOOKUP(C386,ProductMaster!$A$2:$A$51,ProductMaster!$B$2:$B$51)</f>
        <v>Product_21</v>
      </c>
      <c r="T386" t="str">
        <f>_xlfn.XLOOKUP(G386,RegionMaster!$A$2:$A$5,RegionMaster!$B$2:$B$5)</f>
        <v>D</v>
      </c>
    </row>
    <row r="387" spans="1:20" ht="15.75" customHeight="1">
      <c r="A387" s="2" t="s">
        <v>1097</v>
      </c>
      <c r="B387" s="2" t="s">
        <v>690</v>
      </c>
      <c r="C387" s="2" t="s">
        <v>56</v>
      </c>
      <c r="D387" s="3">
        <v>45777</v>
      </c>
      <c r="E387" s="3">
        <v>45780</v>
      </c>
      <c r="F387" s="4"/>
      <c r="G387" s="2" t="s">
        <v>45</v>
      </c>
      <c r="H387" s="2" t="s">
        <v>16</v>
      </c>
      <c r="I387" s="2" t="s">
        <v>121</v>
      </c>
      <c r="J387" s="2" t="s">
        <v>94</v>
      </c>
      <c r="K387" s="2">
        <v>4056.71</v>
      </c>
      <c r="L387" s="2" t="str">
        <f t="shared" ref="L387:L450" si="36">TEXT(D387,"MMMM")</f>
        <v>April</v>
      </c>
      <c r="M387" s="2" t="str">
        <f t="shared" ref="M387:M450" si="37">IF(NOT(ISBLANK(E387)),TEXT(E387,"MMMM"),"Cancelled")</f>
        <v>May</v>
      </c>
      <c r="N387" t="str">
        <f t="shared" ref="N387:N450" si="38">IF(F387="","Delivered","Cancelled")</f>
        <v>Delivered</v>
      </c>
      <c r="O387">
        <f t="shared" ref="O387:O450" si="39">IF(E387="","Order Cancelled",_xlfn.DAYS(E387,D387))</f>
        <v>3</v>
      </c>
      <c r="P387" t="str">
        <f t="shared" ref="P387:P450" si="40">IF(F387="","Completed","Cancelled")</f>
        <v>Completed</v>
      </c>
      <c r="Q387" t="str">
        <f t="shared" ref="Q387:Q450" si="41">IF(O387="Order Cancelled","Cancelled",IF(O387&lt;=2,"Fast","Slow"))</f>
        <v>Slow</v>
      </c>
      <c r="R387" t="str">
        <f>_xlfn.XLOOKUP(B387,CustomerMaster!$A$2:$A$287,CustomerMaster!$B$2:$B$287)</f>
        <v>Customer_227</v>
      </c>
      <c r="S387" t="str">
        <f>_xlfn.XLOOKUP(C387,ProductMaster!$A$2:$A$51,ProductMaster!$B$2:$B$51)</f>
        <v>Product_7</v>
      </c>
      <c r="T387" t="str">
        <f>_xlfn.XLOOKUP(G387,RegionMaster!$A$2:$A$5,RegionMaster!$B$2:$B$5)</f>
        <v>D</v>
      </c>
    </row>
    <row r="388" spans="1:20" ht="15.75" customHeight="1">
      <c r="A388" s="2" t="s">
        <v>1098</v>
      </c>
      <c r="B388" s="2" t="s">
        <v>399</v>
      </c>
      <c r="C388" s="2" t="s">
        <v>56</v>
      </c>
      <c r="D388" s="3">
        <v>45683</v>
      </c>
      <c r="E388" s="3">
        <v>45689</v>
      </c>
      <c r="F388" s="4"/>
      <c r="G388" s="2" t="s">
        <v>17</v>
      </c>
      <c r="H388" s="2" t="s">
        <v>37</v>
      </c>
      <c r="I388" s="2" t="s">
        <v>121</v>
      </c>
      <c r="J388" s="2" t="s">
        <v>107</v>
      </c>
      <c r="K388" s="2">
        <v>1553.77</v>
      </c>
      <c r="L388" s="2" t="str">
        <f t="shared" si="36"/>
        <v>January</v>
      </c>
      <c r="M388" s="2" t="str">
        <f t="shared" si="37"/>
        <v>February</v>
      </c>
      <c r="N388" t="str">
        <f t="shared" si="38"/>
        <v>Delivered</v>
      </c>
      <c r="O388">
        <f t="shared" si="39"/>
        <v>6</v>
      </c>
      <c r="P388" t="str">
        <f t="shared" si="40"/>
        <v>Completed</v>
      </c>
      <c r="Q388" t="str">
        <f t="shared" si="41"/>
        <v>Slow</v>
      </c>
      <c r="R388" t="str">
        <f>_xlfn.XLOOKUP(B388,CustomerMaster!$A$2:$A$287,CustomerMaster!$B$2:$B$287)</f>
        <v>Customer_104</v>
      </c>
      <c r="S388" t="str">
        <f>_xlfn.XLOOKUP(C388,ProductMaster!$A$2:$A$51,ProductMaster!$B$2:$B$51)</f>
        <v>Product_7</v>
      </c>
      <c r="T388" t="str">
        <f>_xlfn.XLOOKUP(G388,RegionMaster!$A$2:$A$5,RegionMaster!$B$2:$B$5)</f>
        <v>B</v>
      </c>
    </row>
    <row r="389" spans="1:20" ht="15.75" customHeight="1">
      <c r="A389" s="2" t="s">
        <v>1099</v>
      </c>
      <c r="B389" s="2" t="s">
        <v>388</v>
      </c>
      <c r="C389" s="2" t="s">
        <v>69</v>
      </c>
      <c r="D389" s="3">
        <v>45671</v>
      </c>
      <c r="E389" s="3">
        <v>45676</v>
      </c>
      <c r="F389" s="4"/>
      <c r="G389" s="2" t="s">
        <v>22</v>
      </c>
      <c r="H389" s="2" t="s">
        <v>59</v>
      </c>
      <c r="I389" s="2" t="s">
        <v>90</v>
      </c>
      <c r="J389" s="2" t="s">
        <v>94</v>
      </c>
      <c r="K389" s="2">
        <v>1051.71</v>
      </c>
      <c r="L389" s="2" t="str">
        <f t="shared" si="36"/>
        <v>January</v>
      </c>
      <c r="M389" s="2" t="str">
        <f t="shared" si="37"/>
        <v>January</v>
      </c>
      <c r="N389" t="str">
        <f t="shared" si="38"/>
        <v>Delivered</v>
      </c>
      <c r="O389">
        <f t="shared" si="39"/>
        <v>5</v>
      </c>
      <c r="P389" t="str">
        <f t="shared" si="40"/>
        <v>Completed</v>
      </c>
      <c r="Q389" t="str">
        <f t="shared" si="41"/>
        <v>Slow</v>
      </c>
      <c r="R389" t="str">
        <f>_xlfn.XLOOKUP(B389,CustomerMaster!$A$2:$A$287,CustomerMaster!$B$2:$B$287)</f>
        <v>Customer_100</v>
      </c>
      <c r="S389" t="str">
        <f>_xlfn.XLOOKUP(C389,ProductMaster!$A$2:$A$51,ProductMaster!$B$2:$B$51)</f>
        <v>Product_9</v>
      </c>
      <c r="T389" t="str">
        <f>_xlfn.XLOOKUP(G389,RegionMaster!$A$2:$A$5,RegionMaster!$B$2:$B$5)</f>
        <v>C</v>
      </c>
    </row>
    <row r="390" spans="1:20" ht="15.75" customHeight="1">
      <c r="A390" s="2" t="s">
        <v>1100</v>
      </c>
      <c r="B390" s="2" t="s">
        <v>789</v>
      </c>
      <c r="C390" s="2" t="s">
        <v>43</v>
      </c>
      <c r="D390" s="3">
        <v>45717</v>
      </c>
      <c r="E390" s="3">
        <v>45723</v>
      </c>
      <c r="F390" s="4"/>
      <c r="G390" s="2" t="s">
        <v>22</v>
      </c>
      <c r="H390" s="2" t="s">
        <v>37</v>
      </c>
      <c r="I390" s="2" t="s">
        <v>178</v>
      </c>
      <c r="J390" s="2" t="s">
        <v>107</v>
      </c>
      <c r="K390" s="2">
        <v>3802.95</v>
      </c>
      <c r="L390" s="2" t="str">
        <f t="shared" si="36"/>
        <v>March</v>
      </c>
      <c r="M390" s="2" t="str">
        <f t="shared" si="37"/>
        <v>March</v>
      </c>
      <c r="N390" t="str">
        <f t="shared" si="38"/>
        <v>Delivered</v>
      </c>
      <c r="O390">
        <f t="shared" si="39"/>
        <v>6</v>
      </c>
      <c r="P390" t="str">
        <f t="shared" si="40"/>
        <v>Completed</v>
      </c>
      <c r="Q390" t="str">
        <f t="shared" si="41"/>
        <v>Slow</v>
      </c>
      <c r="R390" t="str">
        <f>_xlfn.XLOOKUP(B390,CustomerMaster!$A$2:$A$287,CustomerMaster!$B$2:$B$287)</f>
        <v>Customer_277</v>
      </c>
      <c r="S390" t="str">
        <f>_xlfn.XLOOKUP(C390,ProductMaster!$A$2:$A$51,ProductMaster!$B$2:$B$51)</f>
        <v>Product_5</v>
      </c>
      <c r="T390" t="str">
        <f>_xlfn.XLOOKUP(G390,RegionMaster!$A$2:$A$5,RegionMaster!$B$2:$B$5)</f>
        <v>C</v>
      </c>
    </row>
    <row r="391" spans="1:20" ht="15.75" customHeight="1">
      <c r="A391" s="2" t="s">
        <v>1101</v>
      </c>
      <c r="B391" s="2" t="s">
        <v>528</v>
      </c>
      <c r="C391" s="2" t="s">
        <v>194</v>
      </c>
      <c r="D391" s="3">
        <v>45691</v>
      </c>
      <c r="E391" s="3">
        <v>45695</v>
      </c>
      <c r="F391" s="4"/>
      <c r="G391" s="2" t="s">
        <v>45</v>
      </c>
      <c r="H391" s="2" t="s">
        <v>54</v>
      </c>
      <c r="I391" s="2" t="s">
        <v>90</v>
      </c>
      <c r="J391" s="2" t="s">
        <v>107</v>
      </c>
      <c r="K391" s="2">
        <v>4072.81</v>
      </c>
      <c r="L391" s="2" t="str">
        <f t="shared" si="36"/>
        <v>February</v>
      </c>
      <c r="M391" s="2" t="str">
        <f t="shared" si="37"/>
        <v>February</v>
      </c>
      <c r="N391" t="str">
        <f t="shared" si="38"/>
        <v>Delivered</v>
      </c>
      <c r="O391">
        <f t="shared" si="39"/>
        <v>4</v>
      </c>
      <c r="P391" t="str">
        <f t="shared" si="40"/>
        <v>Completed</v>
      </c>
      <c r="Q391" t="str">
        <f t="shared" si="41"/>
        <v>Slow</v>
      </c>
      <c r="R391" t="str">
        <f>_xlfn.XLOOKUP(B391,CustomerMaster!$A$2:$A$287,CustomerMaster!$B$2:$B$287)</f>
        <v>Customer_157</v>
      </c>
      <c r="S391" t="str">
        <f>_xlfn.XLOOKUP(C391,ProductMaster!$A$2:$A$51,ProductMaster!$B$2:$B$51)</f>
        <v>Product_44</v>
      </c>
      <c r="T391" t="str">
        <f>_xlfn.XLOOKUP(G391,RegionMaster!$A$2:$A$5,RegionMaster!$B$2:$B$5)</f>
        <v>D</v>
      </c>
    </row>
    <row r="392" spans="1:20" ht="15.75" customHeight="1">
      <c r="A392" s="2" t="s">
        <v>1102</v>
      </c>
      <c r="B392" s="2" t="s">
        <v>698</v>
      </c>
      <c r="C392" s="2" t="s">
        <v>146</v>
      </c>
      <c r="D392" s="3">
        <v>45737</v>
      </c>
      <c r="E392" s="4"/>
      <c r="F392" s="3">
        <v>45738</v>
      </c>
      <c r="G392" s="2" t="s">
        <v>17</v>
      </c>
      <c r="H392" s="2" t="s">
        <v>16</v>
      </c>
      <c r="I392" s="2" t="s">
        <v>106</v>
      </c>
      <c r="J392" s="2" t="s">
        <v>107</v>
      </c>
      <c r="K392" s="2">
        <v>4954.42</v>
      </c>
      <c r="L392" s="2" t="str">
        <f t="shared" si="36"/>
        <v>March</v>
      </c>
      <c r="M392" s="2" t="str">
        <f t="shared" si="37"/>
        <v>Cancelled</v>
      </c>
      <c r="N392" t="str">
        <f t="shared" si="38"/>
        <v>Cancelled</v>
      </c>
      <c r="O392" t="str">
        <f t="shared" si="39"/>
        <v>Order Cancelled</v>
      </c>
      <c r="P392" t="str">
        <f t="shared" si="40"/>
        <v>Cancelled</v>
      </c>
      <c r="Q392" t="str">
        <f t="shared" si="41"/>
        <v>Cancelled</v>
      </c>
      <c r="R392" t="str">
        <f>_xlfn.XLOOKUP(B392,CustomerMaster!$A$2:$A$287,CustomerMaster!$B$2:$B$287)</f>
        <v>Customer_230</v>
      </c>
      <c r="S392" t="str">
        <f>_xlfn.XLOOKUP(C392,ProductMaster!$A$2:$A$51,ProductMaster!$B$2:$B$51)</f>
        <v>Product_30</v>
      </c>
      <c r="T392" t="str">
        <f>_xlfn.XLOOKUP(G392,RegionMaster!$A$2:$A$5,RegionMaster!$B$2:$B$5)</f>
        <v>B</v>
      </c>
    </row>
    <row r="393" spans="1:20" ht="15.75" customHeight="1">
      <c r="A393" s="2" t="s">
        <v>1103</v>
      </c>
      <c r="B393" s="2" t="s">
        <v>382</v>
      </c>
      <c r="C393" s="2" t="s">
        <v>56</v>
      </c>
      <c r="D393" s="3">
        <v>45669</v>
      </c>
      <c r="E393" s="3">
        <v>45670</v>
      </c>
      <c r="F393" s="4"/>
      <c r="G393" s="2" t="s">
        <v>22</v>
      </c>
      <c r="H393" s="2" t="s">
        <v>59</v>
      </c>
      <c r="I393" s="2" t="s">
        <v>178</v>
      </c>
      <c r="J393" s="2" t="s">
        <v>133</v>
      </c>
      <c r="K393" s="2">
        <v>2180.56</v>
      </c>
      <c r="L393" s="2" t="str">
        <f t="shared" si="36"/>
        <v>January</v>
      </c>
      <c r="M393" s="2" t="str">
        <f t="shared" si="37"/>
        <v>January</v>
      </c>
      <c r="N393" t="str">
        <f t="shared" si="38"/>
        <v>Delivered</v>
      </c>
      <c r="O393">
        <f t="shared" si="39"/>
        <v>1</v>
      </c>
      <c r="P393" t="str">
        <f t="shared" si="40"/>
        <v>Completed</v>
      </c>
      <c r="Q393" t="str">
        <f t="shared" si="41"/>
        <v>Fast</v>
      </c>
      <c r="R393" t="str">
        <f>_xlfn.XLOOKUP(B393,CustomerMaster!$A$2:$A$287,CustomerMaster!$B$2:$B$287)</f>
        <v>Customer_98</v>
      </c>
      <c r="S393" t="str">
        <f>_xlfn.XLOOKUP(C393,ProductMaster!$A$2:$A$51,ProductMaster!$B$2:$B$51)</f>
        <v>Product_7</v>
      </c>
      <c r="T393" t="str">
        <f>_xlfn.XLOOKUP(G393,RegionMaster!$A$2:$A$5,RegionMaster!$B$2:$B$5)</f>
        <v>C</v>
      </c>
    </row>
    <row r="394" spans="1:20" ht="15.75" customHeight="1">
      <c r="A394" s="2" t="s">
        <v>1104</v>
      </c>
      <c r="B394" s="2" t="s">
        <v>233</v>
      </c>
      <c r="C394" s="2" t="s">
        <v>207</v>
      </c>
      <c r="D394" s="3">
        <v>45695</v>
      </c>
      <c r="E394" s="3">
        <v>45700</v>
      </c>
      <c r="F394" s="4"/>
      <c r="G394" s="2" t="s">
        <v>17</v>
      </c>
      <c r="H394" s="2" t="s">
        <v>37</v>
      </c>
      <c r="I394" s="2" t="s">
        <v>90</v>
      </c>
      <c r="J394" s="2" t="s">
        <v>133</v>
      </c>
      <c r="K394" s="2">
        <v>1985.69</v>
      </c>
      <c r="L394" s="2" t="str">
        <f t="shared" si="36"/>
        <v>February</v>
      </c>
      <c r="M394" s="2" t="str">
        <f t="shared" si="37"/>
        <v>February</v>
      </c>
      <c r="N394" t="str">
        <f t="shared" si="38"/>
        <v>Delivered</v>
      </c>
      <c r="O394">
        <f t="shared" si="39"/>
        <v>5</v>
      </c>
      <c r="P394" t="str">
        <f t="shared" si="40"/>
        <v>Completed</v>
      </c>
      <c r="Q394" t="str">
        <f t="shared" si="41"/>
        <v>Slow</v>
      </c>
      <c r="R394" t="str">
        <f>_xlfn.XLOOKUP(B394,CustomerMaster!$A$2:$A$287,CustomerMaster!$B$2:$B$287)</f>
        <v>Customer_35</v>
      </c>
      <c r="S394" t="str">
        <f>_xlfn.XLOOKUP(C394,ProductMaster!$A$2:$A$51,ProductMaster!$B$2:$B$51)</f>
        <v>Product_47</v>
      </c>
      <c r="T394" t="str">
        <f>_xlfn.XLOOKUP(G394,RegionMaster!$A$2:$A$5,RegionMaster!$B$2:$B$5)</f>
        <v>B</v>
      </c>
    </row>
    <row r="395" spans="1:20" ht="15.75" customHeight="1">
      <c r="A395" s="2" t="s">
        <v>1105</v>
      </c>
      <c r="B395" s="2" t="s">
        <v>572</v>
      </c>
      <c r="C395" s="2" t="s">
        <v>50</v>
      </c>
      <c r="D395" s="3">
        <v>45744</v>
      </c>
      <c r="E395" s="4"/>
      <c r="F395" s="3">
        <v>45745</v>
      </c>
      <c r="G395" s="2" t="s">
        <v>17</v>
      </c>
      <c r="H395" s="2" t="s">
        <v>27</v>
      </c>
      <c r="I395" s="2" t="s">
        <v>195</v>
      </c>
      <c r="J395" s="2" t="s">
        <v>133</v>
      </c>
      <c r="K395" s="2">
        <v>3926.78</v>
      </c>
      <c r="L395" s="2" t="str">
        <f t="shared" si="36"/>
        <v>March</v>
      </c>
      <c r="M395" s="2" t="str">
        <f t="shared" si="37"/>
        <v>Cancelled</v>
      </c>
      <c r="N395" t="str">
        <f t="shared" si="38"/>
        <v>Cancelled</v>
      </c>
      <c r="O395" t="str">
        <f t="shared" si="39"/>
        <v>Order Cancelled</v>
      </c>
      <c r="P395" t="str">
        <f t="shared" si="40"/>
        <v>Cancelled</v>
      </c>
      <c r="Q395" t="str">
        <f t="shared" si="41"/>
        <v>Cancelled</v>
      </c>
      <c r="R395" t="str">
        <f>_xlfn.XLOOKUP(B395,CustomerMaster!$A$2:$A$287,CustomerMaster!$B$2:$B$287)</f>
        <v>Customer_176</v>
      </c>
      <c r="S395" t="str">
        <f>_xlfn.XLOOKUP(C395,ProductMaster!$A$2:$A$51,ProductMaster!$B$2:$B$51)</f>
        <v>Product_6</v>
      </c>
      <c r="T395" t="str">
        <f>_xlfn.XLOOKUP(G395,RegionMaster!$A$2:$A$5,RegionMaster!$B$2:$B$5)</f>
        <v>B</v>
      </c>
    </row>
    <row r="396" spans="1:20" ht="15.75" customHeight="1">
      <c r="A396" s="2" t="s">
        <v>1106</v>
      </c>
      <c r="B396" s="2" t="s">
        <v>673</v>
      </c>
      <c r="C396" s="2" t="s">
        <v>79</v>
      </c>
      <c r="D396" s="3">
        <v>45667</v>
      </c>
      <c r="E396" s="3">
        <v>45669</v>
      </c>
      <c r="F396" s="4"/>
      <c r="G396" s="2" t="s">
        <v>22</v>
      </c>
      <c r="H396" s="2" t="s">
        <v>37</v>
      </c>
      <c r="I396" s="2" t="s">
        <v>90</v>
      </c>
      <c r="J396" s="2" t="s">
        <v>107</v>
      </c>
      <c r="K396" s="2">
        <v>1835.86</v>
      </c>
      <c r="L396" s="2" t="str">
        <f t="shared" si="36"/>
        <v>January</v>
      </c>
      <c r="M396" s="2" t="str">
        <f t="shared" si="37"/>
        <v>January</v>
      </c>
      <c r="N396" t="str">
        <f t="shared" si="38"/>
        <v>Delivered</v>
      </c>
      <c r="O396">
        <f t="shared" si="39"/>
        <v>2</v>
      </c>
      <c r="P396" t="str">
        <f t="shared" si="40"/>
        <v>Completed</v>
      </c>
      <c r="Q396" t="str">
        <f t="shared" si="41"/>
        <v>Fast</v>
      </c>
      <c r="R396" t="str">
        <f>_xlfn.XLOOKUP(B396,CustomerMaster!$A$2:$A$287,CustomerMaster!$B$2:$B$287)</f>
        <v>Customer_219</v>
      </c>
      <c r="S396" t="str">
        <f>_xlfn.XLOOKUP(C396,ProductMaster!$A$2:$A$51,ProductMaster!$B$2:$B$51)</f>
        <v>Product_12</v>
      </c>
      <c r="T396" t="str">
        <f>_xlfn.XLOOKUP(G396,RegionMaster!$A$2:$A$5,RegionMaster!$B$2:$B$5)</f>
        <v>C</v>
      </c>
    </row>
    <row r="397" spans="1:20" ht="15.75" customHeight="1">
      <c r="A397" s="2" t="s">
        <v>1107</v>
      </c>
      <c r="B397" s="2" t="s">
        <v>507</v>
      </c>
      <c r="C397" s="2" t="s">
        <v>148</v>
      </c>
      <c r="D397" s="3">
        <v>45757</v>
      </c>
      <c r="E397" s="4"/>
      <c r="F397" s="3">
        <v>45759</v>
      </c>
      <c r="G397" s="2" t="s">
        <v>22</v>
      </c>
      <c r="H397" s="2" t="s">
        <v>54</v>
      </c>
      <c r="I397" s="2" t="s">
        <v>195</v>
      </c>
      <c r="J397" s="2" t="s">
        <v>94</v>
      </c>
      <c r="K397" s="2">
        <v>4667.6400000000003</v>
      </c>
      <c r="L397" s="2" t="str">
        <f t="shared" si="36"/>
        <v>April</v>
      </c>
      <c r="M397" s="2" t="str">
        <f t="shared" si="37"/>
        <v>Cancelled</v>
      </c>
      <c r="N397" t="str">
        <f t="shared" si="38"/>
        <v>Cancelled</v>
      </c>
      <c r="O397" t="str">
        <f t="shared" si="39"/>
        <v>Order Cancelled</v>
      </c>
      <c r="P397" t="str">
        <f t="shared" si="40"/>
        <v>Cancelled</v>
      </c>
      <c r="Q397" t="str">
        <f t="shared" si="41"/>
        <v>Cancelled</v>
      </c>
      <c r="R397" t="str">
        <f>_xlfn.XLOOKUP(B397,CustomerMaster!$A$2:$A$287,CustomerMaster!$B$2:$B$287)</f>
        <v>Customer_269</v>
      </c>
      <c r="S397" t="str">
        <f>_xlfn.XLOOKUP(C397,ProductMaster!$A$2:$A$51,ProductMaster!$B$2:$B$51)</f>
        <v>Product_31</v>
      </c>
      <c r="T397" t="str">
        <f>_xlfn.XLOOKUP(G397,RegionMaster!$A$2:$A$5,RegionMaster!$B$2:$B$5)</f>
        <v>C</v>
      </c>
    </row>
    <row r="398" spans="1:20" ht="15.75" customHeight="1">
      <c r="A398" s="2" t="s">
        <v>1108</v>
      </c>
      <c r="B398" s="2" t="s">
        <v>476</v>
      </c>
      <c r="C398" s="2" t="s">
        <v>141</v>
      </c>
      <c r="D398" s="3">
        <v>45734</v>
      </c>
      <c r="E398" s="3">
        <v>45738</v>
      </c>
      <c r="F398" s="4"/>
      <c r="G398" s="2" t="s">
        <v>45</v>
      </c>
      <c r="H398" s="2" t="s">
        <v>27</v>
      </c>
      <c r="I398" s="2" t="s">
        <v>178</v>
      </c>
      <c r="J398" s="2" t="s">
        <v>107</v>
      </c>
      <c r="K398" s="2">
        <v>4320.38</v>
      </c>
      <c r="L398" s="2" t="str">
        <f t="shared" si="36"/>
        <v>March</v>
      </c>
      <c r="M398" s="2" t="str">
        <f t="shared" si="37"/>
        <v>March</v>
      </c>
      <c r="N398" t="str">
        <f t="shared" si="38"/>
        <v>Delivered</v>
      </c>
      <c r="O398">
        <f t="shared" si="39"/>
        <v>4</v>
      </c>
      <c r="P398" t="str">
        <f t="shared" si="40"/>
        <v>Completed</v>
      </c>
      <c r="Q398" t="str">
        <f t="shared" si="41"/>
        <v>Slow</v>
      </c>
      <c r="R398" t="str">
        <f>_xlfn.XLOOKUP(B398,CustomerMaster!$A$2:$A$287,CustomerMaster!$B$2:$B$287)</f>
        <v>Customer_170</v>
      </c>
      <c r="S398" t="str">
        <f>_xlfn.XLOOKUP(C398,ProductMaster!$A$2:$A$51,ProductMaster!$B$2:$B$51)</f>
        <v>Product_42</v>
      </c>
      <c r="T398" t="str">
        <f>_xlfn.XLOOKUP(G398,RegionMaster!$A$2:$A$5,RegionMaster!$B$2:$B$5)</f>
        <v>D</v>
      </c>
    </row>
    <row r="399" spans="1:20" ht="15.75" customHeight="1">
      <c r="A399" s="2" t="s">
        <v>1109</v>
      </c>
      <c r="B399" s="2" t="s">
        <v>419</v>
      </c>
      <c r="C399" s="2" t="s">
        <v>75</v>
      </c>
      <c r="D399" s="3">
        <v>45765</v>
      </c>
      <c r="E399" s="3">
        <v>45770</v>
      </c>
      <c r="F399" s="4"/>
      <c r="G399" s="2" t="s">
        <v>45</v>
      </c>
      <c r="H399" s="2" t="s">
        <v>16</v>
      </c>
      <c r="I399" s="2" t="s">
        <v>121</v>
      </c>
      <c r="J399" s="2" t="s">
        <v>133</v>
      </c>
      <c r="K399" s="2">
        <v>2259.17</v>
      </c>
      <c r="L399" s="2" t="str">
        <f t="shared" si="36"/>
        <v>April</v>
      </c>
      <c r="M399" s="2" t="str">
        <f t="shared" si="37"/>
        <v>April</v>
      </c>
      <c r="N399" t="str">
        <f t="shared" si="38"/>
        <v>Delivered</v>
      </c>
      <c r="O399">
        <f t="shared" si="39"/>
        <v>5</v>
      </c>
      <c r="P399" t="str">
        <f t="shared" si="40"/>
        <v>Completed</v>
      </c>
      <c r="Q399" t="str">
        <f t="shared" si="41"/>
        <v>Slow</v>
      </c>
      <c r="R399" t="str">
        <f>_xlfn.XLOOKUP(B399,CustomerMaster!$A$2:$A$287,CustomerMaster!$B$2:$B$287)</f>
        <v>Customer_113</v>
      </c>
      <c r="S399" t="str">
        <f>_xlfn.XLOOKUP(C399,ProductMaster!$A$2:$A$51,ProductMaster!$B$2:$B$51)</f>
        <v>Product_11</v>
      </c>
      <c r="T399" t="str">
        <f>_xlfn.XLOOKUP(G399,RegionMaster!$A$2:$A$5,RegionMaster!$B$2:$B$5)</f>
        <v>D</v>
      </c>
    </row>
    <row r="400" spans="1:20" ht="15.75" customHeight="1">
      <c r="A400" s="2" t="s">
        <v>1110</v>
      </c>
      <c r="B400" s="2" t="s">
        <v>633</v>
      </c>
      <c r="C400" s="2" t="s">
        <v>114</v>
      </c>
      <c r="D400" s="3">
        <v>45688</v>
      </c>
      <c r="E400" s="4"/>
      <c r="F400" s="3">
        <v>45688</v>
      </c>
      <c r="G400" s="2" t="s">
        <v>17</v>
      </c>
      <c r="H400" s="2" t="s">
        <v>37</v>
      </c>
      <c r="I400" s="2" t="s">
        <v>90</v>
      </c>
      <c r="J400" s="2" t="s">
        <v>133</v>
      </c>
      <c r="K400" s="2">
        <v>3804.18</v>
      </c>
      <c r="L400" s="2" t="str">
        <f t="shared" si="36"/>
        <v>January</v>
      </c>
      <c r="M400" s="2" t="str">
        <f t="shared" si="37"/>
        <v>Cancelled</v>
      </c>
      <c r="N400" t="str">
        <f t="shared" si="38"/>
        <v>Cancelled</v>
      </c>
      <c r="O400" t="str">
        <f t="shared" si="39"/>
        <v>Order Cancelled</v>
      </c>
      <c r="P400" t="str">
        <f t="shared" si="40"/>
        <v>Cancelled</v>
      </c>
      <c r="Q400" t="str">
        <f t="shared" si="41"/>
        <v>Cancelled</v>
      </c>
      <c r="R400" t="str">
        <f>_xlfn.XLOOKUP(B400,CustomerMaster!$A$2:$A$287,CustomerMaster!$B$2:$B$287)</f>
        <v>Customer_202</v>
      </c>
      <c r="S400" t="str">
        <f>_xlfn.XLOOKUP(C400,ProductMaster!$A$2:$A$51,ProductMaster!$B$2:$B$51)</f>
        <v>Product_21</v>
      </c>
      <c r="T400" t="str">
        <f>_xlfn.XLOOKUP(G400,RegionMaster!$A$2:$A$5,RegionMaster!$B$2:$B$5)</f>
        <v>B</v>
      </c>
    </row>
    <row r="401" spans="1:20" ht="15.75" customHeight="1">
      <c r="A401" s="2" t="s">
        <v>1111</v>
      </c>
      <c r="B401" s="2" t="s">
        <v>388</v>
      </c>
      <c r="C401" s="2" t="s">
        <v>142</v>
      </c>
      <c r="D401" s="3">
        <v>45694</v>
      </c>
      <c r="E401" s="3">
        <v>45697</v>
      </c>
      <c r="F401" s="4"/>
      <c r="G401" s="2" t="s">
        <v>17</v>
      </c>
      <c r="H401" s="2" t="s">
        <v>27</v>
      </c>
      <c r="I401" s="2" t="s">
        <v>195</v>
      </c>
      <c r="J401" s="2" t="s">
        <v>94</v>
      </c>
      <c r="K401" s="2">
        <v>3821.81</v>
      </c>
      <c r="L401" s="2" t="str">
        <f t="shared" si="36"/>
        <v>February</v>
      </c>
      <c r="M401" s="2" t="str">
        <f t="shared" si="37"/>
        <v>February</v>
      </c>
      <c r="N401" t="str">
        <f t="shared" si="38"/>
        <v>Delivered</v>
      </c>
      <c r="O401">
        <f t="shared" si="39"/>
        <v>3</v>
      </c>
      <c r="P401" t="str">
        <f t="shared" si="40"/>
        <v>Completed</v>
      </c>
      <c r="Q401" t="str">
        <f t="shared" si="41"/>
        <v>Slow</v>
      </c>
      <c r="R401" t="str">
        <f>_xlfn.XLOOKUP(B401,CustomerMaster!$A$2:$A$287,CustomerMaster!$B$2:$B$287)</f>
        <v>Customer_100</v>
      </c>
      <c r="S401" t="str">
        <f>_xlfn.XLOOKUP(C401,ProductMaster!$A$2:$A$51,ProductMaster!$B$2:$B$51)</f>
        <v>Product_29</v>
      </c>
      <c r="T401" t="str">
        <f>_xlfn.XLOOKUP(G401,RegionMaster!$A$2:$A$5,RegionMaster!$B$2:$B$5)</f>
        <v>B</v>
      </c>
    </row>
    <row r="402" spans="1:20" ht="15.75" customHeight="1">
      <c r="A402" s="2" t="s">
        <v>1112</v>
      </c>
      <c r="B402" s="2" t="s">
        <v>307</v>
      </c>
      <c r="C402" s="2" t="s">
        <v>164</v>
      </c>
      <c r="D402" s="3">
        <v>45734</v>
      </c>
      <c r="E402" s="4"/>
      <c r="F402" s="3">
        <v>45735</v>
      </c>
      <c r="G402" s="2" t="s">
        <v>17</v>
      </c>
      <c r="H402" s="2" t="s">
        <v>54</v>
      </c>
      <c r="I402" s="2" t="s">
        <v>178</v>
      </c>
      <c r="J402" s="2" t="s">
        <v>94</v>
      </c>
      <c r="K402" s="2">
        <v>694.99</v>
      </c>
      <c r="L402" s="2" t="str">
        <f t="shared" si="36"/>
        <v>March</v>
      </c>
      <c r="M402" s="2" t="str">
        <f t="shared" si="37"/>
        <v>Cancelled</v>
      </c>
      <c r="N402" t="str">
        <f t="shared" si="38"/>
        <v>Cancelled</v>
      </c>
      <c r="O402" t="str">
        <f t="shared" si="39"/>
        <v>Order Cancelled</v>
      </c>
      <c r="P402" t="str">
        <f t="shared" si="40"/>
        <v>Cancelled</v>
      </c>
      <c r="Q402" t="str">
        <f t="shared" si="41"/>
        <v>Cancelled</v>
      </c>
      <c r="R402" t="str">
        <f>_xlfn.XLOOKUP(B402,CustomerMaster!$A$2:$A$287,CustomerMaster!$B$2:$B$287)</f>
        <v>Customer_64</v>
      </c>
      <c r="S402" t="str">
        <f>_xlfn.XLOOKUP(C402,ProductMaster!$A$2:$A$51,ProductMaster!$B$2:$B$51)</f>
        <v>Product_36</v>
      </c>
      <c r="T402" t="str">
        <f>_xlfn.XLOOKUP(G402,RegionMaster!$A$2:$A$5,RegionMaster!$B$2:$B$5)</f>
        <v>B</v>
      </c>
    </row>
    <row r="403" spans="1:20" ht="15.75" customHeight="1">
      <c r="A403" s="2" t="s">
        <v>1113</v>
      </c>
      <c r="B403" s="2" t="s">
        <v>302</v>
      </c>
      <c r="C403" s="2" t="s">
        <v>104</v>
      </c>
      <c r="D403" s="3">
        <v>45742</v>
      </c>
      <c r="E403" s="3">
        <v>45746</v>
      </c>
      <c r="F403" s="4"/>
      <c r="G403" s="2" t="s">
        <v>7</v>
      </c>
      <c r="H403" s="2" t="s">
        <v>37</v>
      </c>
      <c r="I403" s="2" t="s">
        <v>106</v>
      </c>
      <c r="J403" s="2" t="s">
        <v>94</v>
      </c>
      <c r="K403" s="2">
        <v>4532.25</v>
      </c>
      <c r="L403" s="2" t="str">
        <f t="shared" si="36"/>
        <v>March</v>
      </c>
      <c r="M403" s="2" t="str">
        <f t="shared" si="37"/>
        <v>March</v>
      </c>
      <c r="N403" t="str">
        <f t="shared" si="38"/>
        <v>Delivered</v>
      </c>
      <c r="O403">
        <f t="shared" si="39"/>
        <v>4</v>
      </c>
      <c r="P403" t="str">
        <f t="shared" si="40"/>
        <v>Completed</v>
      </c>
      <c r="Q403" t="str">
        <f t="shared" si="41"/>
        <v>Slow</v>
      </c>
      <c r="R403" t="str">
        <f>_xlfn.XLOOKUP(B403,CustomerMaster!$A$2:$A$287,CustomerMaster!$B$2:$B$287)</f>
        <v>Customer_267</v>
      </c>
      <c r="S403" t="str">
        <f>_xlfn.XLOOKUP(C403,ProductMaster!$A$2:$A$51,ProductMaster!$B$2:$B$51)</f>
        <v>Product_19</v>
      </c>
      <c r="T403" t="str">
        <f>_xlfn.XLOOKUP(G403,RegionMaster!$A$2:$A$5,RegionMaster!$B$2:$B$5)</f>
        <v>A</v>
      </c>
    </row>
    <row r="404" spans="1:20" ht="15.75" customHeight="1">
      <c r="A404" s="2" t="s">
        <v>1114</v>
      </c>
      <c r="B404" s="2" t="s">
        <v>226</v>
      </c>
      <c r="C404" s="2" t="s">
        <v>109</v>
      </c>
      <c r="D404" s="3">
        <v>45773</v>
      </c>
      <c r="E404" s="3">
        <v>45776</v>
      </c>
      <c r="F404" s="4"/>
      <c r="G404" s="2" t="s">
        <v>45</v>
      </c>
      <c r="H404" s="2" t="s">
        <v>54</v>
      </c>
      <c r="I404" s="2" t="s">
        <v>121</v>
      </c>
      <c r="J404" s="2" t="s">
        <v>94</v>
      </c>
      <c r="K404" s="2">
        <v>2625.21</v>
      </c>
      <c r="L404" s="2" t="str">
        <f t="shared" si="36"/>
        <v>April</v>
      </c>
      <c r="M404" s="2" t="str">
        <f t="shared" si="37"/>
        <v>April</v>
      </c>
      <c r="N404" t="str">
        <f t="shared" si="38"/>
        <v>Delivered</v>
      </c>
      <c r="O404">
        <f t="shared" si="39"/>
        <v>3</v>
      </c>
      <c r="P404" t="str">
        <f t="shared" si="40"/>
        <v>Completed</v>
      </c>
      <c r="Q404" t="str">
        <f t="shared" si="41"/>
        <v>Slow</v>
      </c>
      <c r="R404" t="str">
        <f>_xlfn.XLOOKUP(B404,CustomerMaster!$A$2:$A$287,CustomerMaster!$B$2:$B$287)</f>
        <v>Customer_32</v>
      </c>
      <c r="S404" t="str">
        <f>_xlfn.XLOOKUP(C404,ProductMaster!$A$2:$A$51,ProductMaster!$B$2:$B$51)</f>
        <v>Product_20</v>
      </c>
      <c r="T404" t="str">
        <f>_xlfn.XLOOKUP(G404,RegionMaster!$A$2:$A$5,RegionMaster!$B$2:$B$5)</f>
        <v>D</v>
      </c>
    </row>
    <row r="405" spans="1:20" ht="15.75" customHeight="1">
      <c r="A405" s="2" t="s">
        <v>1115</v>
      </c>
      <c r="B405" s="2" t="s">
        <v>294</v>
      </c>
      <c r="C405" s="2" t="s">
        <v>128</v>
      </c>
      <c r="D405" s="3">
        <v>45733</v>
      </c>
      <c r="E405" s="3">
        <v>45738</v>
      </c>
      <c r="F405" s="4"/>
      <c r="G405" s="2" t="s">
        <v>22</v>
      </c>
      <c r="H405" s="2" t="s">
        <v>27</v>
      </c>
      <c r="I405" s="2" t="s">
        <v>106</v>
      </c>
      <c r="J405" s="2" t="s">
        <v>94</v>
      </c>
      <c r="K405" s="2">
        <v>4167</v>
      </c>
      <c r="L405" s="2" t="str">
        <f t="shared" si="36"/>
        <v>March</v>
      </c>
      <c r="M405" s="2" t="str">
        <f t="shared" si="37"/>
        <v>March</v>
      </c>
      <c r="N405" t="str">
        <f t="shared" si="38"/>
        <v>Delivered</v>
      </c>
      <c r="O405">
        <f t="shared" si="39"/>
        <v>5</v>
      </c>
      <c r="P405" t="str">
        <f t="shared" si="40"/>
        <v>Completed</v>
      </c>
      <c r="Q405" t="str">
        <f t="shared" si="41"/>
        <v>Slow</v>
      </c>
      <c r="R405" t="str">
        <f>_xlfn.XLOOKUP(B405,CustomerMaster!$A$2:$A$287,CustomerMaster!$B$2:$B$287)</f>
        <v>Customer_58</v>
      </c>
      <c r="S405" t="str">
        <f>_xlfn.XLOOKUP(C405,ProductMaster!$A$2:$A$51,ProductMaster!$B$2:$B$51)</f>
        <v>Product_25</v>
      </c>
      <c r="T405" t="str">
        <f>_xlfn.XLOOKUP(G405,RegionMaster!$A$2:$A$5,RegionMaster!$B$2:$B$5)</f>
        <v>C</v>
      </c>
    </row>
    <row r="406" spans="1:20" ht="15.75" customHeight="1">
      <c r="A406" s="2" t="s">
        <v>1116</v>
      </c>
      <c r="B406" s="2" t="s">
        <v>294</v>
      </c>
      <c r="C406" s="2" t="s">
        <v>32</v>
      </c>
      <c r="D406" s="3">
        <v>45729</v>
      </c>
      <c r="E406" s="4"/>
      <c r="F406" s="3">
        <v>45730</v>
      </c>
      <c r="G406" s="2" t="s">
        <v>22</v>
      </c>
      <c r="H406" s="2" t="s">
        <v>16</v>
      </c>
      <c r="I406" s="2" t="s">
        <v>106</v>
      </c>
      <c r="J406" s="2" t="s">
        <v>107</v>
      </c>
      <c r="K406" s="2">
        <v>1736.24</v>
      </c>
      <c r="L406" s="2" t="str">
        <f t="shared" si="36"/>
        <v>March</v>
      </c>
      <c r="M406" s="2" t="str">
        <f t="shared" si="37"/>
        <v>Cancelled</v>
      </c>
      <c r="N406" t="str">
        <f t="shared" si="38"/>
        <v>Cancelled</v>
      </c>
      <c r="O406" t="str">
        <f t="shared" si="39"/>
        <v>Order Cancelled</v>
      </c>
      <c r="P406" t="str">
        <f t="shared" si="40"/>
        <v>Cancelled</v>
      </c>
      <c r="Q406" t="str">
        <f t="shared" si="41"/>
        <v>Cancelled</v>
      </c>
      <c r="R406" t="str">
        <f>_xlfn.XLOOKUP(B406,CustomerMaster!$A$2:$A$287,CustomerMaster!$B$2:$B$287)</f>
        <v>Customer_58</v>
      </c>
      <c r="S406" t="str">
        <f>_xlfn.XLOOKUP(C406,ProductMaster!$A$2:$A$51,ProductMaster!$B$2:$B$51)</f>
        <v>Product_3</v>
      </c>
      <c r="T406" t="str">
        <f>_xlfn.XLOOKUP(G406,RegionMaster!$A$2:$A$5,RegionMaster!$B$2:$B$5)</f>
        <v>C</v>
      </c>
    </row>
    <row r="407" spans="1:20" ht="15.75" customHeight="1">
      <c r="A407" s="2" t="s">
        <v>1117</v>
      </c>
      <c r="B407" s="2" t="s">
        <v>303</v>
      </c>
      <c r="C407" s="2" t="s">
        <v>43</v>
      </c>
      <c r="D407" s="3">
        <v>45745</v>
      </c>
      <c r="E407" s="4"/>
      <c r="F407" s="3">
        <v>45746</v>
      </c>
      <c r="G407" s="2" t="s">
        <v>7</v>
      </c>
      <c r="H407" s="2" t="s">
        <v>16</v>
      </c>
      <c r="I407" s="2" t="s">
        <v>195</v>
      </c>
      <c r="J407" s="2" t="s">
        <v>107</v>
      </c>
      <c r="K407" s="2">
        <v>4498.51</v>
      </c>
      <c r="L407" s="2" t="str">
        <f t="shared" si="36"/>
        <v>March</v>
      </c>
      <c r="M407" s="2" t="str">
        <f t="shared" si="37"/>
        <v>Cancelled</v>
      </c>
      <c r="N407" t="str">
        <f t="shared" si="38"/>
        <v>Cancelled</v>
      </c>
      <c r="O407" t="str">
        <f t="shared" si="39"/>
        <v>Order Cancelled</v>
      </c>
      <c r="P407" t="str">
        <f t="shared" si="40"/>
        <v>Cancelled</v>
      </c>
      <c r="Q407" t="str">
        <f t="shared" si="41"/>
        <v>Cancelled</v>
      </c>
      <c r="R407" t="str">
        <f>_xlfn.XLOOKUP(B407,CustomerMaster!$A$2:$A$287,CustomerMaster!$B$2:$B$287)</f>
        <v>Customer_62</v>
      </c>
      <c r="S407" t="str">
        <f>_xlfn.XLOOKUP(C407,ProductMaster!$A$2:$A$51,ProductMaster!$B$2:$B$51)</f>
        <v>Product_5</v>
      </c>
      <c r="T407" t="str">
        <f>_xlfn.XLOOKUP(G407,RegionMaster!$A$2:$A$5,RegionMaster!$B$2:$B$5)</f>
        <v>A</v>
      </c>
    </row>
    <row r="408" spans="1:20" ht="15.75" customHeight="1">
      <c r="A408" s="2" t="s">
        <v>1118</v>
      </c>
      <c r="B408" s="2" t="s">
        <v>476</v>
      </c>
      <c r="C408" s="2" t="s">
        <v>87</v>
      </c>
      <c r="D408" s="3">
        <v>45746</v>
      </c>
      <c r="E408" s="4"/>
      <c r="F408" s="3">
        <v>45746</v>
      </c>
      <c r="G408" s="2" t="s">
        <v>22</v>
      </c>
      <c r="H408" s="2" t="s">
        <v>37</v>
      </c>
      <c r="I408" s="2" t="s">
        <v>90</v>
      </c>
      <c r="J408" s="2" t="s">
        <v>94</v>
      </c>
      <c r="K408" s="2">
        <v>2068.17</v>
      </c>
      <c r="L408" s="2" t="str">
        <f t="shared" si="36"/>
        <v>March</v>
      </c>
      <c r="M408" s="2" t="str">
        <f t="shared" si="37"/>
        <v>Cancelled</v>
      </c>
      <c r="N408" t="str">
        <f t="shared" si="38"/>
        <v>Cancelled</v>
      </c>
      <c r="O408" t="str">
        <f t="shared" si="39"/>
        <v>Order Cancelled</v>
      </c>
      <c r="P408" t="str">
        <f t="shared" si="40"/>
        <v>Cancelled</v>
      </c>
      <c r="Q408" t="str">
        <f t="shared" si="41"/>
        <v>Cancelled</v>
      </c>
      <c r="R408" t="str">
        <f>_xlfn.XLOOKUP(B408,CustomerMaster!$A$2:$A$287,CustomerMaster!$B$2:$B$287)</f>
        <v>Customer_170</v>
      </c>
      <c r="S408" t="str">
        <f>_xlfn.XLOOKUP(C408,ProductMaster!$A$2:$A$51,ProductMaster!$B$2:$B$51)</f>
        <v>Product_15</v>
      </c>
      <c r="T408" t="str">
        <f>_xlfn.XLOOKUP(G408,RegionMaster!$A$2:$A$5,RegionMaster!$B$2:$B$5)</f>
        <v>C</v>
      </c>
    </row>
    <row r="409" spans="1:20" ht="15.75" customHeight="1">
      <c r="A409" s="2" t="s">
        <v>1119</v>
      </c>
      <c r="B409" s="2" t="s">
        <v>588</v>
      </c>
      <c r="C409" s="2" t="s">
        <v>183</v>
      </c>
      <c r="D409" s="3">
        <v>45714</v>
      </c>
      <c r="E409" s="3">
        <v>45717</v>
      </c>
      <c r="F409" s="4"/>
      <c r="G409" s="2" t="s">
        <v>22</v>
      </c>
      <c r="H409" s="2" t="s">
        <v>16</v>
      </c>
      <c r="I409" s="2" t="s">
        <v>90</v>
      </c>
      <c r="J409" s="2" t="s">
        <v>133</v>
      </c>
      <c r="K409" s="2">
        <v>252.02</v>
      </c>
      <c r="L409" s="2" t="str">
        <f t="shared" si="36"/>
        <v>February</v>
      </c>
      <c r="M409" s="2" t="str">
        <f t="shared" si="37"/>
        <v>March</v>
      </c>
      <c r="N409" t="str">
        <f t="shared" si="38"/>
        <v>Delivered</v>
      </c>
      <c r="O409">
        <f t="shared" si="39"/>
        <v>3</v>
      </c>
      <c r="P409" t="str">
        <f t="shared" si="40"/>
        <v>Completed</v>
      </c>
      <c r="Q409" t="str">
        <f t="shared" si="41"/>
        <v>Slow</v>
      </c>
      <c r="R409" t="str">
        <f>_xlfn.XLOOKUP(B409,CustomerMaster!$A$2:$A$287,CustomerMaster!$B$2:$B$287)</f>
        <v>Customer_182</v>
      </c>
      <c r="S409" t="str">
        <f>_xlfn.XLOOKUP(C409,ProductMaster!$A$2:$A$51,ProductMaster!$B$2:$B$51)</f>
        <v>Product_41</v>
      </c>
      <c r="T409" t="str">
        <f>_xlfn.XLOOKUP(G409,RegionMaster!$A$2:$A$5,RegionMaster!$B$2:$B$5)</f>
        <v>C</v>
      </c>
    </row>
    <row r="410" spans="1:20" ht="15.75" customHeight="1">
      <c r="A410" s="2" t="s">
        <v>1120</v>
      </c>
      <c r="B410" s="2" t="s">
        <v>394</v>
      </c>
      <c r="C410" s="2" t="s">
        <v>79</v>
      </c>
      <c r="D410" s="3">
        <v>45746</v>
      </c>
      <c r="E410" s="4"/>
      <c r="F410" s="3">
        <v>45747</v>
      </c>
      <c r="G410" s="2" t="s">
        <v>22</v>
      </c>
      <c r="H410" s="2" t="s">
        <v>16</v>
      </c>
      <c r="I410" s="2" t="s">
        <v>121</v>
      </c>
      <c r="J410" s="2" t="s">
        <v>107</v>
      </c>
      <c r="K410" s="2">
        <v>4545.83</v>
      </c>
      <c r="L410" s="2" t="str">
        <f t="shared" si="36"/>
        <v>March</v>
      </c>
      <c r="M410" s="2" t="str">
        <f t="shared" si="37"/>
        <v>Cancelled</v>
      </c>
      <c r="N410" t="str">
        <f t="shared" si="38"/>
        <v>Cancelled</v>
      </c>
      <c r="O410" t="str">
        <f t="shared" si="39"/>
        <v>Order Cancelled</v>
      </c>
      <c r="P410" t="str">
        <f t="shared" si="40"/>
        <v>Cancelled</v>
      </c>
      <c r="Q410" t="str">
        <f t="shared" si="41"/>
        <v>Cancelled</v>
      </c>
      <c r="R410" t="str">
        <f>_xlfn.XLOOKUP(B410,CustomerMaster!$A$2:$A$287,CustomerMaster!$B$2:$B$287)</f>
        <v>Customer_102</v>
      </c>
      <c r="S410" t="str">
        <f>_xlfn.XLOOKUP(C410,ProductMaster!$A$2:$A$51,ProductMaster!$B$2:$B$51)</f>
        <v>Product_12</v>
      </c>
      <c r="T410" t="str">
        <f>_xlfn.XLOOKUP(G410,RegionMaster!$A$2:$A$5,RegionMaster!$B$2:$B$5)</f>
        <v>C</v>
      </c>
    </row>
    <row r="411" spans="1:20" ht="15.75" customHeight="1">
      <c r="A411" s="2" t="s">
        <v>1121</v>
      </c>
      <c r="B411" s="2" t="s">
        <v>617</v>
      </c>
      <c r="C411" s="2" t="s">
        <v>213</v>
      </c>
      <c r="D411" s="3">
        <v>45750</v>
      </c>
      <c r="E411" s="3">
        <v>45755</v>
      </c>
      <c r="F411" s="4"/>
      <c r="G411" s="2" t="s">
        <v>22</v>
      </c>
      <c r="H411" s="2" t="s">
        <v>37</v>
      </c>
      <c r="I411" s="2" t="s">
        <v>195</v>
      </c>
      <c r="J411" s="2" t="s">
        <v>94</v>
      </c>
      <c r="K411" s="2">
        <v>638.17999999999995</v>
      </c>
      <c r="L411" s="2" t="str">
        <f t="shared" si="36"/>
        <v>April</v>
      </c>
      <c r="M411" s="2" t="str">
        <f t="shared" si="37"/>
        <v>April</v>
      </c>
      <c r="N411" t="str">
        <f t="shared" si="38"/>
        <v>Delivered</v>
      </c>
      <c r="O411">
        <f t="shared" si="39"/>
        <v>5</v>
      </c>
      <c r="P411" t="str">
        <f t="shared" si="40"/>
        <v>Completed</v>
      </c>
      <c r="Q411" t="str">
        <f t="shared" si="41"/>
        <v>Slow</v>
      </c>
      <c r="R411" t="str">
        <f>_xlfn.XLOOKUP(B411,CustomerMaster!$A$2:$A$287,CustomerMaster!$B$2:$B$287)</f>
        <v>Customer_194</v>
      </c>
      <c r="S411" t="str">
        <f>_xlfn.XLOOKUP(C411,ProductMaster!$A$2:$A$51,ProductMaster!$B$2:$B$51)</f>
        <v>Product_49</v>
      </c>
      <c r="T411" t="str">
        <f>_xlfn.XLOOKUP(G411,RegionMaster!$A$2:$A$5,RegionMaster!$B$2:$B$5)</f>
        <v>C</v>
      </c>
    </row>
    <row r="412" spans="1:20" ht="15.75" customHeight="1">
      <c r="A412" s="2" t="s">
        <v>1122</v>
      </c>
      <c r="B412" s="2" t="s">
        <v>209</v>
      </c>
      <c r="C412" s="2" t="s">
        <v>9</v>
      </c>
      <c r="D412" s="3">
        <v>45726</v>
      </c>
      <c r="E412" s="3">
        <v>45729</v>
      </c>
      <c r="F412" s="4"/>
      <c r="G412" s="2" t="s">
        <v>17</v>
      </c>
      <c r="H412" s="2" t="s">
        <v>59</v>
      </c>
      <c r="I412" s="2" t="s">
        <v>195</v>
      </c>
      <c r="J412" s="2" t="s">
        <v>107</v>
      </c>
      <c r="K412" s="2">
        <v>1732.71</v>
      </c>
      <c r="L412" s="2" t="str">
        <f t="shared" si="36"/>
        <v>March</v>
      </c>
      <c r="M412" s="2" t="str">
        <f t="shared" si="37"/>
        <v>March</v>
      </c>
      <c r="N412" t="str">
        <f t="shared" si="38"/>
        <v>Delivered</v>
      </c>
      <c r="O412">
        <f t="shared" si="39"/>
        <v>3</v>
      </c>
      <c r="P412" t="str">
        <f t="shared" si="40"/>
        <v>Completed</v>
      </c>
      <c r="Q412" t="str">
        <f t="shared" si="41"/>
        <v>Slow</v>
      </c>
      <c r="R412" t="str">
        <f>_xlfn.XLOOKUP(B412,CustomerMaster!$A$2:$A$287,CustomerMaster!$B$2:$B$287)</f>
        <v>Customer_28</v>
      </c>
      <c r="S412" t="str">
        <f>_xlfn.XLOOKUP(C412,ProductMaster!$A$2:$A$51,ProductMaster!$B$2:$B$51)</f>
        <v>Product_0</v>
      </c>
      <c r="T412" t="str">
        <f>_xlfn.XLOOKUP(G412,RegionMaster!$A$2:$A$5,RegionMaster!$B$2:$B$5)</f>
        <v>B</v>
      </c>
    </row>
    <row r="413" spans="1:20" ht="15.75" customHeight="1">
      <c r="A413" s="2" t="s">
        <v>1123</v>
      </c>
      <c r="B413" s="2" t="s">
        <v>533</v>
      </c>
      <c r="C413" s="2" t="s">
        <v>210</v>
      </c>
      <c r="D413" s="3">
        <v>45694</v>
      </c>
      <c r="E413" s="3">
        <v>45698</v>
      </c>
      <c r="F413" s="4"/>
      <c r="G413" s="2" t="s">
        <v>22</v>
      </c>
      <c r="H413" s="2" t="s">
        <v>59</v>
      </c>
      <c r="I413" s="2" t="s">
        <v>195</v>
      </c>
      <c r="J413" s="2" t="s">
        <v>133</v>
      </c>
      <c r="K413" s="2">
        <v>4760.3</v>
      </c>
      <c r="L413" s="2" t="str">
        <f t="shared" si="36"/>
        <v>February</v>
      </c>
      <c r="M413" s="2" t="str">
        <f t="shared" si="37"/>
        <v>February</v>
      </c>
      <c r="N413" t="str">
        <f t="shared" si="38"/>
        <v>Delivered</v>
      </c>
      <c r="O413">
        <f t="shared" si="39"/>
        <v>4</v>
      </c>
      <c r="P413" t="str">
        <f t="shared" si="40"/>
        <v>Completed</v>
      </c>
      <c r="Q413" t="str">
        <f t="shared" si="41"/>
        <v>Slow</v>
      </c>
      <c r="R413" t="str">
        <f>_xlfn.XLOOKUP(B413,CustomerMaster!$A$2:$A$287,CustomerMaster!$B$2:$B$287)</f>
        <v>Customer_262</v>
      </c>
      <c r="S413" t="str">
        <f>_xlfn.XLOOKUP(C413,ProductMaster!$A$2:$A$51,ProductMaster!$B$2:$B$51)</f>
        <v>Product_48</v>
      </c>
      <c r="T413" t="str">
        <f>_xlfn.XLOOKUP(G413,RegionMaster!$A$2:$A$5,RegionMaster!$B$2:$B$5)</f>
        <v>C</v>
      </c>
    </row>
    <row r="414" spans="1:20" ht="15.75" customHeight="1">
      <c r="A414" s="2" t="s">
        <v>1124</v>
      </c>
      <c r="B414" s="2" t="s">
        <v>451</v>
      </c>
      <c r="C414" s="2" t="s">
        <v>168</v>
      </c>
      <c r="D414" s="3">
        <v>45745</v>
      </c>
      <c r="E414" s="3">
        <v>45748</v>
      </c>
      <c r="F414" s="4"/>
      <c r="G414" s="2" t="s">
        <v>22</v>
      </c>
      <c r="H414" s="2" t="s">
        <v>16</v>
      </c>
      <c r="I414" s="2" t="s">
        <v>178</v>
      </c>
      <c r="J414" s="2" t="s">
        <v>133</v>
      </c>
      <c r="K414" s="2">
        <v>4762.91</v>
      </c>
      <c r="L414" s="2" t="str">
        <f t="shared" si="36"/>
        <v>March</v>
      </c>
      <c r="M414" s="2" t="str">
        <f t="shared" si="37"/>
        <v>April</v>
      </c>
      <c r="N414" t="str">
        <f t="shared" si="38"/>
        <v>Delivered</v>
      </c>
      <c r="O414">
        <f t="shared" si="39"/>
        <v>3</v>
      </c>
      <c r="P414" t="str">
        <f t="shared" si="40"/>
        <v>Completed</v>
      </c>
      <c r="Q414" t="str">
        <f t="shared" si="41"/>
        <v>Slow</v>
      </c>
      <c r="R414" t="str">
        <f>_xlfn.XLOOKUP(B414,CustomerMaster!$A$2:$A$287,CustomerMaster!$B$2:$B$287)</f>
        <v>Customer_126</v>
      </c>
      <c r="S414" t="str">
        <f>_xlfn.XLOOKUP(C414,ProductMaster!$A$2:$A$51,ProductMaster!$B$2:$B$51)</f>
        <v>Product_37</v>
      </c>
      <c r="T414" t="str">
        <f>_xlfn.XLOOKUP(G414,RegionMaster!$A$2:$A$5,RegionMaster!$B$2:$B$5)</f>
        <v>C</v>
      </c>
    </row>
    <row r="415" spans="1:20" ht="15.75" customHeight="1">
      <c r="A415" s="2" t="s">
        <v>1125</v>
      </c>
      <c r="B415" s="2" t="s">
        <v>270</v>
      </c>
      <c r="C415" s="2" t="s">
        <v>146</v>
      </c>
      <c r="D415" s="3">
        <v>45700</v>
      </c>
      <c r="E415" s="4"/>
      <c r="F415" s="3">
        <v>45700</v>
      </c>
      <c r="G415" s="2" t="s">
        <v>45</v>
      </c>
      <c r="H415" s="2" t="s">
        <v>54</v>
      </c>
      <c r="I415" s="2" t="s">
        <v>121</v>
      </c>
      <c r="J415" s="2" t="s">
        <v>94</v>
      </c>
      <c r="K415" s="2">
        <v>2952.5</v>
      </c>
      <c r="L415" s="2" t="str">
        <f t="shared" si="36"/>
        <v>February</v>
      </c>
      <c r="M415" s="2" t="str">
        <f t="shared" si="37"/>
        <v>Cancelled</v>
      </c>
      <c r="N415" t="str">
        <f t="shared" si="38"/>
        <v>Cancelled</v>
      </c>
      <c r="O415" t="str">
        <f t="shared" si="39"/>
        <v>Order Cancelled</v>
      </c>
      <c r="P415" t="str">
        <f t="shared" si="40"/>
        <v>Cancelled</v>
      </c>
      <c r="Q415" t="str">
        <f t="shared" si="41"/>
        <v>Cancelled</v>
      </c>
      <c r="R415" t="str">
        <f>_xlfn.XLOOKUP(B415,CustomerMaster!$A$2:$A$287,CustomerMaster!$B$2:$B$287)</f>
        <v>Customer_49</v>
      </c>
      <c r="S415" t="str">
        <f>_xlfn.XLOOKUP(C415,ProductMaster!$A$2:$A$51,ProductMaster!$B$2:$B$51)</f>
        <v>Product_30</v>
      </c>
      <c r="T415" t="str">
        <f>_xlfn.XLOOKUP(G415,RegionMaster!$A$2:$A$5,RegionMaster!$B$2:$B$5)</f>
        <v>D</v>
      </c>
    </row>
    <row r="416" spans="1:20" ht="15.75" customHeight="1">
      <c r="A416" s="2" t="s">
        <v>1126</v>
      </c>
      <c r="B416" s="2" t="s">
        <v>115</v>
      </c>
      <c r="C416" s="2" t="s">
        <v>63</v>
      </c>
      <c r="D416" s="3">
        <v>45717</v>
      </c>
      <c r="E416" s="3">
        <v>45722</v>
      </c>
      <c r="F416" s="4"/>
      <c r="G416" s="2" t="s">
        <v>45</v>
      </c>
      <c r="H416" s="2" t="s">
        <v>59</v>
      </c>
      <c r="I416" s="2" t="s">
        <v>90</v>
      </c>
      <c r="J416" s="2" t="s">
        <v>133</v>
      </c>
      <c r="K416" s="2">
        <v>3232.82</v>
      </c>
      <c r="L416" s="2" t="str">
        <f t="shared" si="36"/>
        <v>March</v>
      </c>
      <c r="M416" s="2" t="str">
        <f t="shared" si="37"/>
        <v>March</v>
      </c>
      <c r="N416" t="str">
        <f t="shared" si="38"/>
        <v>Delivered</v>
      </c>
      <c r="O416">
        <f t="shared" si="39"/>
        <v>5</v>
      </c>
      <c r="P416" t="str">
        <f t="shared" si="40"/>
        <v>Completed</v>
      </c>
      <c r="Q416" t="str">
        <f t="shared" si="41"/>
        <v>Slow</v>
      </c>
      <c r="R416" t="str">
        <f>_xlfn.XLOOKUP(B416,CustomerMaster!$A$2:$A$287,CustomerMaster!$B$2:$B$287)</f>
        <v>Customer_15</v>
      </c>
      <c r="S416" t="str">
        <f>_xlfn.XLOOKUP(C416,ProductMaster!$A$2:$A$51,ProductMaster!$B$2:$B$51)</f>
        <v>Product_8</v>
      </c>
      <c r="T416" t="str">
        <f>_xlfn.XLOOKUP(G416,RegionMaster!$A$2:$A$5,RegionMaster!$B$2:$B$5)</f>
        <v>D</v>
      </c>
    </row>
    <row r="417" spans="1:20" ht="15.75" customHeight="1">
      <c r="A417" s="2" t="s">
        <v>1127</v>
      </c>
      <c r="B417" s="2" t="s">
        <v>779</v>
      </c>
      <c r="C417" s="2" t="s">
        <v>160</v>
      </c>
      <c r="D417" s="3">
        <v>45680</v>
      </c>
      <c r="E417" s="3">
        <v>45682</v>
      </c>
      <c r="F417" s="4"/>
      <c r="G417" s="2" t="s">
        <v>17</v>
      </c>
      <c r="H417" s="2" t="s">
        <v>27</v>
      </c>
      <c r="I417" s="2" t="s">
        <v>106</v>
      </c>
      <c r="J417" s="2" t="s">
        <v>133</v>
      </c>
      <c r="K417" s="2">
        <v>2352.54</v>
      </c>
      <c r="L417" s="2" t="str">
        <f t="shared" si="36"/>
        <v>January</v>
      </c>
      <c r="M417" s="2" t="str">
        <f t="shared" si="37"/>
        <v>January</v>
      </c>
      <c r="N417" t="str">
        <f t="shared" si="38"/>
        <v>Delivered</v>
      </c>
      <c r="O417">
        <f t="shared" si="39"/>
        <v>2</v>
      </c>
      <c r="P417" t="str">
        <f t="shared" si="40"/>
        <v>Completed</v>
      </c>
      <c r="Q417" t="str">
        <f t="shared" si="41"/>
        <v>Fast</v>
      </c>
      <c r="R417" t="str">
        <f>_xlfn.XLOOKUP(B417,CustomerMaster!$A$2:$A$287,CustomerMaster!$B$2:$B$287)</f>
        <v>Customer_272</v>
      </c>
      <c r="S417" t="str">
        <f>_xlfn.XLOOKUP(C417,ProductMaster!$A$2:$A$51,ProductMaster!$B$2:$B$51)</f>
        <v>Product_34</v>
      </c>
      <c r="T417" t="str">
        <f>_xlfn.XLOOKUP(G417,RegionMaster!$A$2:$A$5,RegionMaster!$B$2:$B$5)</f>
        <v>B</v>
      </c>
    </row>
    <row r="418" spans="1:20" ht="15.75" customHeight="1">
      <c r="A418" s="2" t="s">
        <v>1128</v>
      </c>
      <c r="B418" s="2" t="s">
        <v>282</v>
      </c>
      <c r="C418" s="2" t="s">
        <v>29</v>
      </c>
      <c r="D418" s="3">
        <v>45754</v>
      </c>
      <c r="E418" s="3">
        <v>45755</v>
      </c>
      <c r="F418" s="4"/>
      <c r="G418" s="2" t="s">
        <v>17</v>
      </c>
      <c r="H418" s="2" t="s">
        <v>54</v>
      </c>
      <c r="I418" s="2" t="s">
        <v>195</v>
      </c>
      <c r="J418" s="2" t="s">
        <v>133</v>
      </c>
      <c r="K418" s="2">
        <v>1607.41</v>
      </c>
      <c r="L418" s="2" t="str">
        <f t="shared" si="36"/>
        <v>April</v>
      </c>
      <c r="M418" s="2" t="str">
        <f t="shared" si="37"/>
        <v>April</v>
      </c>
      <c r="N418" t="str">
        <f t="shared" si="38"/>
        <v>Delivered</v>
      </c>
      <c r="O418">
        <f t="shared" si="39"/>
        <v>1</v>
      </c>
      <c r="P418" t="str">
        <f t="shared" si="40"/>
        <v>Completed</v>
      </c>
      <c r="Q418" t="str">
        <f t="shared" si="41"/>
        <v>Fast</v>
      </c>
      <c r="R418" t="str">
        <f>_xlfn.XLOOKUP(B418,CustomerMaster!$A$2:$A$287,CustomerMaster!$B$2:$B$287)</f>
        <v>Customer_95</v>
      </c>
      <c r="S418" t="str">
        <f>_xlfn.XLOOKUP(C418,ProductMaster!$A$2:$A$51,ProductMaster!$B$2:$B$51)</f>
        <v>Product_2</v>
      </c>
      <c r="T418" t="str">
        <f>_xlfn.XLOOKUP(G418,RegionMaster!$A$2:$A$5,RegionMaster!$B$2:$B$5)</f>
        <v>B</v>
      </c>
    </row>
    <row r="419" spans="1:20" ht="15.75" customHeight="1">
      <c r="A419" s="2" t="s">
        <v>1129</v>
      </c>
      <c r="B419" s="2" t="s">
        <v>346</v>
      </c>
      <c r="C419" s="2" t="s">
        <v>138</v>
      </c>
      <c r="D419" s="3">
        <v>45759</v>
      </c>
      <c r="E419" s="3">
        <v>45764</v>
      </c>
      <c r="F419" s="4"/>
      <c r="G419" s="2" t="s">
        <v>45</v>
      </c>
      <c r="H419" s="2" t="s">
        <v>54</v>
      </c>
      <c r="I419" s="2" t="s">
        <v>90</v>
      </c>
      <c r="J419" s="2" t="s">
        <v>107</v>
      </c>
      <c r="K419" s="2">
        <v>1777.59</v>
      </c>
      <c r="L419" s="2" t="str">
        <f t="shared" si="36"/>
        <v>April</v>
      </c>
      <c r="M419" s="2" t="str">
        <f t="shared" si="37"/>
        <v>April</v>
      </c>
      <c r="N419" t="str">
        <f t="shared" si="38"/>
        <v>Delivered</v>
      </c>
      <c r="O419">
        <f t="shared" si="39"/>
        <v>5</v>
      </c>
      <c r="P419" t="str">
        <f t="shared" si="40"/>
        <v>Completed</v>
      </c>
      <c r="Q419" t="str">
        <f t="shared" si="41"/>
        <v>Slow</v>
      </c>
      <c r="R419" t="str">
        <f>_xlfn.XLOOKUP(B419,CustomerMaster!$A$2:$A$287,CustomerMaster!$B$2:$B$287)</f>
        <v>Customer_81</v>
      </c>
      <c r="S419" t="str">
        <f>_xlfn.XLOOKUP(C419,ProductMaster!$A$2:$A$51,ProductMaster!$B$2:$B$51)</f>
        <v>Product_28</v>
      </c>
      <c r="T419" t="str">
        <f>_xlfn.XLOOKUP(G419,RegionMaster!$A$2:$A$5,RegionMaster!$B$2:$B$5)</f>
        <v>D</v>
      </c>
    </row>
    <row r="420" spans="1:20" ht="15.75" customHeight="1">
      <c r="A420" s="2" t="s">
        <v>1130</v>
      </c>
      <c r="B420" s="2" t="s">
        <v>500</v>
      </c>
      <c r="C420" s="2" t="s">
        <v>68</v>
      </c>
      <c r="D420" s="3">
        <v>45706</v>
      </c>
      <c r="E420" s="4"/>
      <c r="F420" s="3">
        <v>45706</v>
      </c>
      <c r="G420" s="2" t="s">
        <v>7</v>
      </c>
      <c r="H420" s="2" t="s">
        <v>37</v>
      </c>
      <c r="I420" s="2" t="s">
        <v>106</v>
      </c>
      <c r="J420" s="2" t="s">
        <v>107</v>
      </c>
      <c r="K420" s="2">
        <v>3428.09</v>
      </c>
      <c r="L420" s="2" t="str">
        <f t="shared" si="36"/>
        <v>February</v>
      </c>
      <c r="M420" s="2" t="str">
        <f t="shared" si="37"/>
        <v>Cancelled</v>
      </c>
      <c r="N420" t="str">
        <f t="shared" si="38"/>
        <v>Cancelled</v>
      </c>
      <c r="O420" t="str">
        <f t="shared" si="39"/>
        <v>Order Cancelled</v>
      </c>
      <c r="P420" t="str">
        <f t="shared" si="40"/>
        <v>Cancelled</v>
      </c>
      <c r="Q420" t="str">
        <f t="shared" si="41"/>
        <v>Cancelled</v>
      </c>
      <c r="R420" t="str">
        <f>_xlfn.XLOOKUP(B420,CustomerMaster!$A$2:$A$287,CustomerMaster!$B$2:$B$287)</f>
        <v>Customer_214</v>
      </c>
      <c r="S420" t="str">
        <f>_xlfn.XLOOKUP(C420,ProductMaster!$A$2:$A$51,ProductMaster!$B$2:$B$51)</f>
        <v>Product_13</v>
      </c>
      <c r="T420" t="str">
        <f>_xlfn.XLOOKUP(G420,RegionMaster!$A$2:$A$5,RegionMaster!$B$2:$B$5)</f>
        <v>A</v>
      </c>
    </row>
    <row r="421" spans="1:20" ht="15.75" customHeight="1">
      <c r="A421" s="2" t="s">
        <v>1131</v>
      </c>
      <c r="B421" s="2" t="s">
        <v>272</v>
      </c>
      <c r="C421" s="2" t="s">
        <v>148</v>
      </c>
      <c r="D421" s="3">
        <v>45714</v>
      </c>
      <c r="E421" s="3">
        <v>45717</v>
      </c>
      <c r="F421" s="4"/>
      <c r="G421" s="2" t="s">
        <v>17</v>
      </c>
      <c r="H421" s="2" t="s">
        <v>27</v>
      </c>
      <c r="I421" s="2" t="s">
        <v>106</v>
      </c>
      <c r="J421" s="2" t="s">
        <v>133</v>
      </c>
      <c r="K421" s="2">
        <v>3811.4</v>
      </c>
      <c r="L421" s="2" t="str">
        <f t="shared" si="36"/>
        <v>February</v>
      </c>
      <c r="M421" s="2" t="str">
        <f t="shared" si="37"/>
        <v>March</v>
      </c>
      <c r="N421" t="str">
        <f t="shared" si="38"/>
        <v>Delivered</v>
      </c>
      <c r="O421">
        <f t="shared" si="39"/>
        <v>3</v>
      </c>
      <c r="P421" t="str">
        <f t="shared" si="40"/>
        <v>Completed</v>
      </c>
      <c r="Q421" t="str">
        <f t="shared" si="41"/>
        <v>Slow</v>
      </c>
      <c r="R421" t="str">
        <f>_xlfn.XLOOKUP(B421,CustomerMaster!$A$2:$A$287,CustomerMaster!$B$2:$B$287)</f>
        <v>Customer_50</v>
      </c>
      <c r="S421" t="str">
        <f>_xlfn.XLOOKUP(C421,ProductMaster!$A$2:$A$51,ProductMaster!$B$2:$B$51)</f>
        <v>Product_31</v>
      </c>
      <c r="T421" t="str">
        <f>_xlfn.XLOOKUP(G421,RegionMaster!$A$2:$A$5,RegionMaster!$B$2:$B$5)</f>
        <v>B</v>
      </c>
    </row>
    <row r="422" spans="1:20" ht="15.75" customHeight="1">
      <c r="A422" s="2" t="s">
        <v>1132</v>
      </c>
      <c r="B422" s="2" t="s">
        <v>698</v>
      </c>
      <c r="C422" s="2" t="s">
        <v>204</v>
      </c>
      <c r="D422" s="3">
        <v>45661</v>
      </c>
      <c r="E422" s="4"/>
      <c r="F422" s="3">
        <v>45662</v>
      </c>
      <c r="G422" s="2" t="s">
        <v>17</v>
      </c>
      <c r="H422" s="2" t="s">
        <v>27</v>
      </c>
      <c r="I422" s="2" t="s">
        <v>195</v>
      </c>
      <c r="J422" s="2" t="s">
        <v>107</v>
      </c>
      <c r="K422" s="2">
        <v>3999.58</v>
      </c>
      <c r="L422" s="2" t="str">
        <f t="shared" si="36"/>
        <v>January</v>
      </c>
      <c r="M422" s="2" t="str">
        <f t="shared" si="37"/>
        <v>Cancelled</v>
      </c>
      <c r="N422" t="str">
        <f t="shared" si="38"/>
        <v>Cancelled</v>
      </c>
      <c r="O422" t="str">
        <f t="shared" si="39"/>
        <v>Order Cancelled</v>
      </c>
      <c r="P422" t="str">
        <f t="shared" si="40"/>
        <v>Cancelled</v>
      </c>
      <c r="Q422" t="str">
        <f t="shared" si="41"/>
        <v>Cancelled</v>
      </c>
      <c r="R422" t="str">
        <f>_xlfn.XLOOKUP(B422,CustomerMaster!$A$2:$A$287,CustomerMaster!$B$2:$B$287)</f>
        <v>Customer_230</v>
      </c>
      <c r="S422" t="str">
        <f>_xlfn.XLOOKUP(C422,ProductMaster!$A$2:$A$51,ProductMaster!$B$2:$B$51)</f>
        <v>Product_46</v>
      </c>
      <c r="T422" t="str">
        <f>_xlfn.XLOOKUP(G422,RegionMaster!$A$2:$A$5,RegionMaster!$B$2:$B$5)</f>
        <v>B</v>
      </c>
    </row>
    <row r="423" spans="1:20" ht="15.75" customHeight="1">
      <c r="A423" s="2" t="s">
        <v>1133</v>
      </c>
      <c r="B423" s="2" t="s">
        <v>38</v>
      </c>
      <c r="C423" s="2" t="s">
        <v>128</v>
      </c>
      <c r="D423" s="3">
        <v>45777</v>
      </c>
      <c r="E423" s="3">
        <v>45781</v>
      </c>
      <c r="F423" s="4"/>
      <c r="G423" s="2" t="s">
        <v>22</v>
      </c>
      <c r="H423" s="2" t="s">
        <v>59</v>
      </c>
      <c r="I423" s="2" t="s">
        <v>106</v>
      </c>
      <c r="J423" s="2" t="s">
        <v>94</v>
      </c>
      <c r="K423" s="2">
        <v>3990.17</v>
      </c>
      <c r="L423" s="2" t="str">
        <f t="shared" si="36"/>
        <v>April</v>
      </c>
      <c r="M423" s="2" t="str">
        <f t="shared" si="37"/>
        <v>May</v>
      </c>
      <c r="N423" t="str">
        <f t="shared" si="38"/>
        <v>Delivered</v>
      </c>
      <c r="O423">
        <f t="shared" si="39"/>
        <v>4</v>
      </c>
      <c r="P423" t="str">
        <f t="shared" si="40"/>
        <v>Completed</v>
      </c>
      <c r="Q423" t="str">
        <f t="shared" si="41"/>
        <v>Slow</v>
      </c>
      <c r="R423" t="str">
        <f>_xlfn.XLOOKUP(B423,CustomerMaster!$A$2:$A$287,CustomerMaster!$B$2:$B$287)</f>
        <v>Customer_3</v>
      </c>
      <c r="S423" t="str">
        <f>_xlfn.XLOOKUP(C423,ProductMaster!$A$2:$A$51,ProductMaster!$B$2:$B$51)</f>
        <v>Product_25</v>
      </c>
      <c r="T423" t="str">
        <f>_xlfn.XLOOKUP(G423,RegionMaster!$A$2:$A$5,RegionMaster!$B$2:$B$5)</f>
        <v>C</v>
      </c>
    </row>
    <row r="424" spans="1:20" ht="15.75" customHeight="1">
      <c r="A424" s="2" t="s">
        <v>1134</v>
      </c>
      <c r="B424" s="2" t="s">
        <v>713</v>
      </c>
      <c r="C424" s="2" t="s">
        <v>191</v>
      </c>
      <c r="D424" s="3">
        <v>45702</v>
      </c>
      <c r="E424" s="3">
        <v>45706</v>
      </c>
      <c r="F424" s="4"/>
      <c r="G424" s="2" t="s">
        <v>7</v>
      </c>
      <c r="H424" s="2" t="s">
        <v>37</v>
      </c>
      <c r="I424" s="2" t="s">
        <v>90</v>
      </c>
      <c r="J424" s="2" t="s">
        <v>133</v>
      </c>
      <c r="K424" s="2">
        <v>637.79</v>
      </c>
      <c r="L424" s="2" t="str">
        <f t="shared" si="36"/>
        <v>February</v>
      </c>
      <c r="M424" s="2" t="str">
        <f t="shared" si="37"/>
        <v>February</v>
      </c>
      <c r="N424" t="str">
        <f t="shared" si="38"/>
        <v>Delivered</v>
      </c>
      <c r="O424">
        <f t="shared" si="39"/>
        <v>4</v>
      </c>
      <c r="P424" t="str">
        <f t="shared" si="40"/>
        <v>Completed</v>
      </c>
      <c r="Q424" t="str">
        <f t="shared" si="41"/>
        <v>Slow</v>
      </c>
      <c r="R424" t="str">
        <f>_xlfn.XLOOKUP(B424,CustomerMaster!$A$2:$A$287,CustomerMaster!$B$2:$B$287)</f>
        <v>Customer_237</v>
      </c>
      <c r="S424" t="str">
        <f>_xlfn.XLOOKUP(C424,ProductMaster!$A$2:$A$51,ProductMaster!$B$2:$B$51)</f>
        <v>Product_43</v>
      </c>
      <c r="T424" t="str">
        <f>_xlfn.XLOOKUP(G424,RegionMaster!$A$2:$A$5,RegionMaster!$B$2:$B$5)</f>
        <v>A</v>
      </c>
    </row>
    <row r="425" spans="1:20" ht="15.75" customHeight="1">
      <c r="A425" s="2" t="s">
        <v>1135</v>
      </c>
      <c r="B425" s="2" t="s">
        <v>603</v>
      </c>
      <c r="C425" s="2" t="s">
        <v>69</v>
      </c>
      <c r="D425" s="3">
        <v>45757</v>
      </c>
      <c r="E425" s="3">
        <v>45759</v>
      </c>
      <c r="F425" s="4"/>
      <c r="G425" s="2" t="s">
        <v>45</v>
      </c>
      <c r="H425" s="2" t="s">
        <v>27</v>
      </c>
      <c r="I425" s="2" t="s">
        <v>106</v>
      </c>
      <c r="J425" s="2" t="s">
        <v>107</v>
      </c>
      <c r="K425" s="2">
        <v>2573.2199999999998</v>
      </c>
      <c r="L425" s="2" t="str">
        <f t="shared" si="36"/>
        <v>April</v>
      </c>
      <c r="M425" s="2" t="str">
        <f t="shared" si="37"/>
        <v>April</v>
      </c>
      <c r="N425" t="str">
        <f t="shared" si="38"/>
        <v>Delivered</v>
      </c>
      <c r="O425">
        <f t="shared" si="39"/>
        <v>2</v>
      </c>
      <c r="P425" t="str">
        <f t="shared" si="40"/>
        <v>Completed</v>
      </c>
      <c r="Q425" t="str">
        <f t="shared" si="41"/>
        <v>Fast</v>
      </c>
      <c r="R425" t="str">
        <f>_xlfn.XLOOKUP(B425,CustomerMaster!$A$2:$A$287,CustomerMaster!$B$2:$B$287)</f>
        <v>Customer_188</v>
      </c>
      <c r="S425" t="str">
        <f>_xlfn.XLOOKUP(C425,ProductMaster!$A$2:$A$51,ProductMaster!$B$2:$B$51)</f>
        <v>Product_9</v>
      </c>
      <c r="T425" t="str">
        <f>_xlfn.XLOOKUP(G425,RegionMaster!$A$2:$A$5,RegionMaster!$B$2:$B$5)</f>
        <v>D</v>
      </c>
    </row>
    <row r="426" spans="1:20" ht="15.75" customHeight="1">
      <c r="A426" s="2" t="s">
        <v>1136</v>
      </c>
      <c r="B426" s="2" t="s">
        <v>247</v>
      </c>
      <c r="C426" s="2" t="s">
        <v>138</v>
      </c>
      <c r="D426" s="3">
        <v>45732</v>
      </c>
      <c r="E426" s="3">
        <v>45738</v>
      </c>
      <c r="F426" s="4"/>
      <c r="G426" s="2" t="s">
        <v>7</v>
      </c>
      <c r="H426" s="2" t="s">
        <v>37</v>
      </c>
      <c r="I426" s="2" t="s">
        <v>121</v>
      </c>
      <c r="J426" s="2" t="s">
        <v>133</v>
      </c>
      <c r="K426" s="2">
        <v>476.28</v>
      </c>
      <c r="L426" s="2" t="str">
        <f t="shared" si="36"/>
        <v>March</v>
      </c>
      <c r="M426" s="2" t="str">
        <f t="shared" si="37"/>
        <v>March</v>
      </c>
      <c r="N426" t="str">
        <f t="shared" si="38"/>
        <v>Delivered</v>
      </c>
      <c r="O426">
        <f t="shared" si="39"/>
        <v>6</v>
      </c>
      <c r="P426" t="str">
        <f t="shared" si="40"/>
        <v>Completed</v>
      </c>
      <c r="Q426" t="str">
        <f t="shared" si="41"/>
        <v>Slow</v>
      </c>
      <c r="R426" t="str">
        <f>_xlfn.XLOOKUP(B426,CustomerMaster!$A$2:$A$287,CustomerMaster!$B$2:$B$287)</f>
        <v>Customer_40</v>
      </c>
      <c r="S426" t="str">
        <f>_xlfn.XLOOKUP(C426,ProductMaster!$A$2:$A$51,ProductMaster!$B$2:$B$51)</f>
        <v>Product_28</v>
      </c>
      <c r="T426" t="str">
        <f>_xlfn.XLOOKUP(G426,RegionMaster!$A$2:$A$5,RegionMaster!$B$2:$B$5)</f>
        <v>A</v>
      </c>
    </row>
    <row r="427" spans="1:20" ht="15.75" customHeight="1">
      <c r="A427" s="2" t="s">
        <v>1137</v>
      </c>
      <c r="B427" s="2" t="s">
        <v>226</v>
      </c>
      <c r="C427" s="2" t="s">
        <v>153</v>
      </c>
      <c r="D427" s="3">
        <v>45741</v>
      </c>
      <c r="E427" s="3">
        <v>45745</v>
      </c>
      <c r="F427" s="4"/>
      <c r="G427" s="2" t="s">
        <v>22</v>
      </c>
      <c r="H427" s="2" t="s">
        <v>37</v>
      </c>
      <c r="I427" s="2" t="s">
        <v>178</v>
      </c>
      <c r="J427" s="2" t="s">
        <v>94</v>
      </c>
      <c r="K427" s="2">
        <v>2837.74</v>
      </c>
      <c r="L427" s="2" t="str">
        <f t="shared" si="36"/>
        <v>March</v>
      </c>
      <c r="M427" s="2" t="str">
        <f t="shared" si="37"/>
        <v>March</v>
      </c>
      <c r="N427" t="str">
        <f t="shared" si="38"/>
        <v>Delivered</v>
      </c>
      <c r="O427">
        <f t="shared" si="39"/>
        <v>4</v>
      </c>
      <c r="P427" t="str">
        <f t="shared" si="40"/>
        <v>Completed</v>
      </c>
      <c r="Q427" t="str">
        <f t="shared" si="41"/>
        <v>Slow</v>
      </c>
      <c r="R427" t="str">
        <f>_xlfn.XLOOKUP(B427,CustomerMaster!$A$2:$A$287,CustomerMaster!$B$2:$B$287)</f>
        <v>Customer_32</v>
      </c>
      <c r="S427" t="str">
        <f>_xlfn.XLOOKUP(C427,ProductMaster!$A$2:$A$51,ProductMaster!$B$2:$B$51)</f>
        <v>Product_32</v>
      </c>
      <c r="T427" t="str">
        <f>_xlfn.XLOOKUP(G427,RegionMaster!$A$2:$A$5,RegionMaster!$B$2:$B$5)</f>
        <v>C</v>
      </c>
    </row>
    <row r="428" spans="1:20" ht="15.75" customHeight="1">
      <c r="A428" s="2" t="s">
        <v>1138</v>
      </c>
      <c r="B428" s="2" t="s">
        <v>762</v>
      </c>
      <c r="C428" s="2" t="s">
        <v>194</v>
      </c>
      <c r="D428" s="3">
        <v>45696</v>
      </c>
      <c r="E428" s="3">
        <v>45702</v>
      </c>
      <c r="F428" s="4"/>
      <c r="G428" s="2" t="s">
        <v>45</v>
      </c>
      <c r="H428" s="2" t="s">
        <v>59</v>
      </c>
      <c r="I428" s="2" t="s">
        <v>178</v>
      </c>
      <c r="J428" s="2" t="s">
        <v>94</v>
      </c>
      <c r="K428" s="2">
        <v>2319.35</v>
      </c>
      <c r="L428" s="2" t="str">
        <f t="shared" si="36"/>
        <v>February</v>
      </c>
      <c r="M428" s="2" t="str">
        <f t="shared" si="37"/>
        <v>February</v>
      </c>
      <c r="N428" t="str">
        <f t="shared" si="38"/>
        <v>Delivered</v>
      </c>
      <c r="O428">
        <f t="shared" si="39"/>
        <v>6</v>
      </c>
      <c r="P428" t="str">
        <f t="shared" si="40"/>
        <v>Completed</v>
      </c>
      <c r="Q428" t="str">
        <f t="shared" si="41"/>
        <v>Slow</v>
      </c>
      <c r="R428" t="str">
        <f>_xlfn.XLOOKUP(B428,CustomerMaster!$A$2:$A$287,CustomerMaster!$B$2:$B$287)</f>
        <v>Customer_261</v>
      </c>
      <c r="S428" t="str">
        <f>_xlfn.XLOOKUP(C428,ProductMaster!$A$2:$A$51,ProductMaster!$B$2:$B$51)</f>
        <v>Product_44</v>
      </c>
      <c r="T428" t="str">
        <f>_xlfn.XLOOKUP(G428,RegionMaster!$A$2:$A$5,RegionMaster!$B$2:$B$5)</f>
        <v>D</v>
      </c>
    </row>
    <row r="429" spans="1:20" ht="15.75" customHeight="1">
      <c r="A429" s="2" t="s">
        <v>1139</v>
      </c>
      <c r="B429" s="2" t="s">
        <v>430</v>
      </c>
      <c r="C429" s="2" t="s">
        <v>146</v>
      </c>
      <c r="D429" s="3">
        <v>45685</v>
      </c>
      <c r="E429" s="3">
        <v>45687</v>
      </c>
      <c r="F429" s="4"/>
      <c r="G429" s="2" t="s">
        <v>17</v>
      </c>
      <c r="H429" s="2" t="s">
        <v>37</v>
      </c>
      <c r="I429" s="2" t="s">
        <v>106</v>
      </c>
      <c r="J429" s="2" t="s">
        <v>94</v>
      </c>
      <c r="K429" s="2">
        <v>4460.9799999999996</v>
      </c>
      <c r="L429" s="2" t="str">
        <f t="shared" si="36"/>
        <v>January</v>
      </c>
      <c r="M429" s="2" t="str">
        <f t="shared" si="37"/>
        <v>January</v>
      </c>
      <c r="N429" t="str">
        <f t="shared" si="38"/>
        <v>Delivered</v>
      </c>
      <c r="O429">
        <f t="shared" si="39"/>
        <v>2</v>
      </c>
      <c r="P429" t="str">
        <f t="shared" si="40"/>
        <v>Completed</v>
      </c>
      <c r="Q429" t="str">
        <f t="shared" si="41"/>
        <v>Fast</v>
      </c>
      <c r="R429" t="str">
        <f>_xlfn.XLOOKUP(B429,CustomerMaster!$A$2:$A$287,CustomerMaster!$B$2:$B$287)</f>
        <v>Customer_118</v>
      </c>
      <c r="S429" t="str">
        <f>_xlfn.XLOOKUP(C429,ProductMaster!$A$2:$A$51,ProductMaster!$B$2:$B$51)</f>
        <v>Product_30</v>
      </c>
      <c r="T429" t="str">
        <f>_xlfn.XLOOKUP(G429,RegionMaster!$A$2:$A$5,RegionMaster!$B$2:$B$5)</f>
        <v>B</v>
      </c>
    </row>
    <row r="430" spans="1:20" ht="15.75" customHeight="1">
      <c r="A430" s="2" t="s">
        <v>1140</v>
      </c>
      <c r="B430" s="2" t="s">
        <v>330</v>
      </c>
      <c r="C430" s="2" t="s">
        <v>148</v>
      </c>
      <c r="D430" s="3">
        <v>45735</v>
      </c>
      <c r="E430" s="3">
        <v>45740</v>
      </c>
      <c r="F430" s="4"/>
      <c r="G430" s="2" t="s">
        <v>7</v>
      </c>
      <c r="H430" s="2" t="s">
        <v>59</v>
      </c>
      <c r="I430" s="2" t="s">
        <v>121</v>
      </c>
      <c r="J430" s="2" t="s">
        <v>133</v>
      </c>
      <c r="K430" s="2">
        <v>1884.39</v>
      </c>
      <c r="L430" s="2" t="str">
        <f t="shared" si="36"/>
        <v>March</v>
      </c>
      <c r="M430" s="2" t="str">
        <f t="shared" si="37"/>
        <v>March</v>
      </c>
      <c r="N430" t="str">
        <f t="shared" si="38"/>
        <v>Delivered</v>
      </c>
      <c r="O430">
        <f t="shared" si="39"/>
        <v>5</v>
      </c>
      <c r="P430" t="str">
        <f t="shared" si="40"/>
        <v>Completed</v>
      </c>
      <c r="Q430" t="str">
        <f t="shared" si="41"/>
        <v>Slow</v>
      </c>
      <c r="R430" t="str">
        <f>_xlfn.XLOOKUP(B430,CustomerMaster!$A$2:$A$287,CustomerMaster!$B$2:$B$287)</f>
        <v>Customer_74</v>
      </c>
      <c r="S430" t="str">
        <f>_xlfn.XLOOKUP(C430,ProductMaster!$A$2:$A$51,ProductMaster!$B$2:$B$51)</f>
        <v>Product_31</v>
      </c>
      <c r="T430" t="str">
        <f>_xlfn.XLOOKUP(G430,RegionMaster!$A$2:$A$5,RegionMaster!$B$2:$B$5)</f>
        <v>A</v>
      </c>
    </row>
    <row r="431" spans="1:20" ht="15.75" customHeight="1">
      <c r="A431" s="2" t="s">
        <v>1141</v>
      </c>
      <c r="B431" s="2" t="s">
        <v>737</v>
      </c>
      <c r="C431" s="2" t="s">
        <v>148</v>
      </c>
      <c r="D431" s="3">
        <v>45684</v>
      </c>
      <c r="E431" s="4"/>
      <c r="F431" s="3">
        <v>45684</v>
      </c>
      <c r="G431" s="2" t="s">
        <v>7</v>
      </c>
      <c r="H431" s="2" t="s">
        <v>54</v>
      </c>
      <c r="I431" s="2" t="s">
        <v>178</v>
      </c>
      <c r="J431" s="2" t="s">
        <v>107</v>
      </c>
      <c r="K431" s="2">
        <v>761.92</v>
      </c>
      <c r="L431" s="2" t="str">
        <f t="shared" si="36"/>
        <v>January</v>
      </c>
      <c r="M431" s="2" t="str">
        <f t="shared" si="37"/>
        <v>Cancelled</v>
      </c>
      <c r="N431" t="str">
        <f t="shared" si="38"/>
        <v>Cancelled</v>
      </c>
      <c r="O431" t="str">
        <f t="shared" si="39"/>
        <v>Order Cancelled</v>
      </c>
      <c r="P431" t="str">
        <f t="shared" si="40"/>
        <v>Cancelled</v>
      </c>
      <c r="Q431" t="str">
        <f t="shared" si="41"/>
        <v>Cancelled</v>
      </c>
      <c r="R431" t="str">
        <f>_xlfn.XLOOKUP(B431,CustomerMaster!$A$2:$A$287,CustomerMaster!$B$2:$B$287)</f>
        <v>Customer_248</v>
      </c>
      <c r="S431" t="str">
        <f>_xlfn.XLOOKUP(C431,ProductMaster!$A$2:$A$51,ProductMaster!$B$2:$B$51)</f>
        <v>Product_31</v>
      </c>
      <c r="T431" t="str">
        <f>_xlfn.XLOOKUP(G431,RegionMaster!$A$2:$A$5,RegionMaster!$B$2:$B$5)</f>
        <v>A</v>
      </c>
    </row>
    <row r="432" spans="1:20" ht="15.75" customHeight="1">
      <c r="A432" s="2" t="s">
        <v>1142</v>
      </c>
      <c r="B432" s="2" t="s">
        <v>520</v>
      </c>
      <c r="C432" s="2" t="s">
        <v>207</v>
      </c>
      <c r="D432" s="3">
        <v>45691</v>
      </c>
      <c r="E432" s="4"/>
      <c r="F432" s="3">
        <v>45691</v>
      </c>
      <c r="G432" s="2" t="s">
        <v>7</v>
      </c>
      <c r="H432" s="2" t="s">
        <v>16</v>
      </c>
      <c r="I432" s="2" t="s">
        <v>106</v>
      </c>
      <c r="J432" s="2" t="s">
        <v>107</v>
      </c>
      <c r="K432" s="2">
        <v>886.36</v>
      </c>
      <c r="L432" s="2" t="str">
        <f t="shared" si="36"/>
        <v>February</v>
      </c>
      <c r="M432" s="2" t="str">
        <f t="shared" si="37"/>
        <v>Cancelled</v>
      </c>
      <c r="N432" t="str">
        <f t="shared" si="38"/>
        <v>Cancelled</v>
      </c>
      <c r="O432" t="str">
        <f t="shared" si="39"/>
        <v>Order Cancelled</v>
      </c>
      <c r="P432" t="str">
        <f t="shared" si="40"/>
        <v>Cancelled</v>
      </c>
      <c r="Q432" t="str">
        <f t="shared" si="41"/>
        <v>Cancelled</v>
      </c>
      <c r="R432" t="str">
        <f>_xlfn.XLOOKUP(B432,CustomerMaster!$A$2:$A$287,CustomerMaster!$B$2:$B$287)</f>
        <v>Customer_154</v>
      </c>
      <c r="S432" t="str">
        <f>_xlfn.XLOOKUP(C432,ProductMaster!$A$2:$A$51,ProductMaster!$B$2:$B$51)</f>
        <v>Product_47</v>
      </c>
      <c r="T432" t="str">
        <f>_xlfn.XLOOKUP(G432,RegionMaster!$A$2:$A$5,RegionMaster!$B$2:$B$5)</f>
        <v>A</v>
      </c>
    </row>
    <row r="433" spans="1:20" ht="15.75" customHeight="1">
      <c r="A433" s="2" t="s">
        <v>1143</v>
      </c>
      <c r="B433" s="2" t="s">
        <v>473</v>
      </c>
      <c r="C433" s="2" t="s">
        <v>207</v>
      </c>
      <c r="D433" s="3">
        <v>45740</v>
      </c>
      <c r="E433" s="3">
        <v>45742</v>
      </c>
      <c r="F433" s="4"/>
      <c r="G433" s="2" t="s">
        <v>45</v>
      </c>
      <c r="H433" s="2" t="s">
        <v>16</v>
      </c>
      <c r="I433" s="2" t="s">
        <v>178</v>
      </c>
      <c r="J433" s="2" t="s">
        <v>94</v>
      </c>
      <c r="K433" s="2">
        <v>3855.25</v>
      </c>
      <c r="L433" s="2" t="str">
        <f t="shared" si="36"/>
        <v>March</v>
      </c>
      <c r="M433" s="2" t="str">
        <f t="shared" si="37"/>
        <v>March</v>
      </c>
      <c r="N433" t="str">
        <f t="shared" si="38"/>
        <v>Delivered</v>
      </c>
      <c r="O433">
        <f t="shared" si="39"/>
        <v>2</v>
      </c>
      <c r="P433" t="str">
        <f t="shared" si="40"/>
        <v>Completed</v>
      </c>
      <c r="Q433" t="str">
        <f t="shared" si="41"/>
        <v>Fast</v>
      </c>
      <c r="R433" t="str">
        <f>_xlfn.XLOOKUP(B433,CustomerMaster!$A$2:$A$287,CustomerMaster!$B$2:$B$287)</f>
        <v>Customer_135</v>
      </c>
      <c r="S433" t="str">
        <f>_xlfn.XLOOKUP(C433,ProductMaster!$A$2:$A$51,ProductMaster!$B$2:$B$51)</f>
        <v>Product_47</v>
      </c>
      <c r="T433" t="str">
        <f>_xlfn.XLOOKUP(G433,RegionMaster!$A$2:$A$5,RegionMaster!$B$2:$B$5)</f>
        <v>D</v>
      </c>
    </row>
    <row r="434" spans="1:20" ht="15.75" customHeight="1">
      <c r="A434" s="2" t="s">
        <v>1144</v>
      </c>
      <c r="B434" s="2" t="s">
        <v>65</v>
      </c>
      <c r="C434" s="2" t="s">
        <v>43</v>
      </c>
      <c r="D434" s="3">
        <v>45761</v>
      </c>
      <c r="E434" s="3">
        <v>45764</v>
      </c>
      <c r="F434" s="4"/>
      <c r="G434" s="2" t="s">
        <v>17</v>
      </c>
      <c r="H434" s="2" t="s">
        <v>27</v>
      </c>
      <c r="I434" s="2" t="s">
        <v>90</v>
      </c>
      <c r="J434" s="2" t="s">
        <v>133</v>
      </c>
      <c r="K434" s="2">
        <v>3167.45</v>
      </c>
      <c r="L434" s="2" t="str">
        <f t="shared" si="36"/>
        <v>April</v>
      </c>
      <c r="M434" s="2" t="str">
        <f t="shared" si="37"/>
        <v>April</v>
      </c>
      <c r="N434" t="str">
        <f t="shared" si="38"/>
        <v>Delivered</v>
      </c>
      <c r="O434">
        <f t="shared" si="39"/>
        <v>3</v>
      </c>
      <c r="P434" t="str">
        <f t="shared" si="40"/>
        <v>Completed</v>
      </c>
      <c r="Q434" t="str">
        <f t="shared" si="41"/>
        <v>Slow</v>
      </c>
      <c r="R434" t="str">
        <f>_xlfn.XLOOKUP(B434,CustomerMaster!$A$2:$A$287,CustomerMaster!$B$2:$B$287)</f>
        <v>Customer_10</v>
      </c>
      <c r="S434" t="str">
        <f>_xlfn.XLOOKUP(C434,ProductMaster!$A$2:$A$51,ProductMaster!$B$2:$B$51)</f>
        <v>Product_5</v>
      </c>
      <c r="T434" t="str">
        <f>_xlfn.XLOOKUP(G434,RegionMaster!$A$2:$A$5,RegionMaster!$B$2:$B$5)</f>
        <v>B</v>
      </c>
    </row>
    <row r="435" spans="1:20" ht="15.75" customHeight="1">
      <c r="A435" s="2" t="s">
        <v>1145</v>
      </c>
      <c r="B435" s="2" t="s">
        <v>446</v>
      </c>
      <c r="C435" s="2" t="s">
        <v>69</v>
      </c>
      <c r="D435" s="3">
        <v>45768</v>
      </c>
      <c r="E435" s="3">
        <v>45771</v>
      </c>
      <c r="F435" s="4"/>
      <c r="G435" s="2" t="s">
        <v>22</v>
      </c>
      <c r="H435" s="2" t="s">
        <v>59</v>
      </c>
      <c r="I435" s="2" t="s">
        <v>195</v>
      </c>
      <c r="J435" s="2" t="s">
        <v>133</v>
      </c>
      <c r="K435" s="2">
        <v>685.39</v>
      </c>
      <c r="L435" s="2" t="str">
        <f t="shared" si="36"/>
        <v>April</v>
      </c>
      <c r="M435" s="2" t="str">
        <f t="shared" si="37"/>
        <v>April</v>
      </c>
      <c r="N435" t="str">
        <f t="shared" si="38"/>
        <v>Delivered</v>
      </c>
      <c r="O435">
        <f t="shared" si="39"/>
        <v>3</v>
      </c>
      <c r="P435" t="str">
        <f t="shared" si="40"/>
        <v>Completed</v>
      </c>
      <c r="Q435" t="str">
        <f t="shared" si="41"/>
        <v>Slow</v>
      </c>
      <c r="R435" t="str">
        <f>_xlfn.XLOOKUP(B435,CustomerMaster!$A$2:$A$287,CustomerMaster!$B$2:$B$287)</f>
        <v>Customer_124</v>
      </c>
      <c r="S435" t="str">
        <f>_xlfn.XLOOKUP(C435,ProductMaster!$A$2:$A$51,ProductMaster!$B$2:$B$51)</f>
        <v>Product_9</v>
      </c>
      <c r="T435" t="str">
        <f>_xlfn.XLOOKUP(G435,RegionMaster!$A$2:$A$5,RegionMaster!$B$2:$B$5)</f>
        <v>C</v>
      </c>
    </row>
    <row r="436" spans="1:20" ht="15.75" customHeight="1">
      <c r="A436" s="2" t="s">
        <v>1146</v>
      </c>
      <c r="B436" s="2" t="s">
        <v>330</v>
      </c>
      <c r="C436" s="2" t="s">
        <v>204</v>
      </c>
      <c r="D436" s="3">
        <v>45771</v>
      </c>
      <c r="E436" s="3">
        <v>45773</v>
      </c>
      <c r="F436" s="4"/>
      <c r="G436" s="2" t="s">
        <v>22</v>
      </c>
      <c r="H436" s="2" t="s">
        <v>54</v>
      </c>
      <c r="I436" s="2" t="s">
        <v>195</v>
      </c>
      <c r="J436" s="2" t="s">
        <v>107</v>
      </c>
      <c r="K436" s="2">
        <v>603.71</v>
      </c>
      <c r="L436" s="2" t="str">
        <f t="shared" si="36"/>
        <v>April</v>
      </c>
      <c r="M436" s="2" t="str">
        <f t="shared" si="37"/>
        <v>April</v>
      </c>
      <c r="N436" t="str">
        <f t="shared" si="38"/>
        <v>Delivered</v>
      </c>
      <c r="O436">
        <f t="shared" si="39"/>
        <v>2</v>
      </c>
      <c r="P436" t="str">
        <f t="shared" si="40"/>
        <v>Completed</v>
      </c>
      <c r="Q436" t="str">
        <f t="shared" si="41"/>
        <v>Fast</v>
      </c>
      <c r="R436" t="str">
        <f>_xlfn.XLOOKUP(B436,CustomerMaster!$A$2:$A$287,CustomerMaster!$B$2:$B$287)</f>
        <v>Customer_74</v>
      </c>
      <c r="S436" t="str">
        <f>_xlfn.XLOOKUP(C436,ProductMaster!$A$2:$A$51,ProductMaster!$B$2:$B$51)</f>
        <v>Product_46</v>
      </c>
      <c r="T436" t="str">
        <f>_xlfn.XLOOKUP(G436,RegionMaster!$A$2:$A$5,RegionMaster!$B$2:$B$5)</f>
        <v>C</v>
      </c>
    </row>
    <row r="437" spans="1:20" ht="15.75" customHeight="1">
      <c r="A437" s="2" t="s">
        <v>1147</v>
      </c>
      <c r="B437" s="2" t="s">
        <v>328</v>
      </c>
      <c r="C437" s="2" t="s">
        <v>91</v>
      </c>
      <c r="D437" s="3">
        <v>45697</v>
      </c>
      <c r="E437" s="3">
        <v>45699</v>
      </c>
      <c r="F437" s="4"/>
      <c r="G437" s="2" t="s">
        <v>45</v>
      </c>
      <c r="H437" s="2" t="s">
        <v>54</v>
      </c>
      <c r="I437" s="2" t="s">
        <v>195</v>
      </c>
      <c r="J437" s="2" t="s">
        <v>107</v>
      </c>
      <c r="K437" s="2">
        <v>3564.65</v>
      </c>
      <c r="L437" s="2" t="str">
        <f t="shared" si="36"/>
        <v>February</v>
      </c>
      <c r="M437" s="2" t="str">
        <f t="shared" si="37"/>
        <v>February</v>
      </c>
      <c r="N437" t="str">
        <f t="shared" si="38"/>
        <v>Delivered</v>
      </c>
      <c r="O437">
        <f t="shared" si="39"/>
        <v>2</v>
      </c>
      <c r="P437" t="str">
        <f t="shared" si="40"/>
        <v>Completed</v>
      </c>
      <c r="Q437" t="str">
        <f t="shared" si="41"/>
        <v>Fast</v>
      </c>
      <c r="R437" t="str">
        <f>_xlfn.XLOOKUP(B437,CustomerMaster!$A$2:$A$287,CustomerMaster!$B$2:$B$287)</f>
        <v>Customer_73</v>
      </c>
      <c r="S437" t="str">
        <f>_xlfn.XLOOKUP(C437,ProductMaster!$A$2:$A$51,ProductMaster!$B$2:$B$51)</f>
        <v>Product_16</v>
      </c>
      <c r="T437" t="str">
        <f>_xlfn.XLOOKUP(G437,RegionMaster!$A$2:$A$5,RegionMaster!$B$2:$B$5)</f>
        <v>D</v>
      </c>
    </row>
    <row r="438" spans="1:20" ht="15.75" customHeight="1">
      <c r="A438" s="2" t="s">
        <v>1148</v>
      </c>
      <c r="B438" s="2" t="s">
        <v>673</v>
      </c>
      <c r="C438" s="2" t="s">
        <v>39</v>
      </c>
      <c r="D438" s="3">
        <v>45761</v>
      </c>
      <c r="E438" s="3">
        <v>45766</v>
      </c>
      <c r="F438" s="4"/>
      <c r="G438" s="2" t="s">
        <v>7</v>
      </c>
      <c r="H438" s="2" t="s">
        <v>27</v>
      </c>
      <c r="I438" s="2" t="s">
        <v>178</v>
      </c>
      <c r="J438" s="2" t="s">
        <v>107</v>
      </c>
      <c r="K438" s="2">
        <v>549.26</v>
      </c>
      <c r="L438" s="2" t="str">
        <f t="shared" si="36"/>
        <v>April</v>
      </c>
      <c r="M438" s="2" t="str">
        <f t="shared" si="37"/>
        <v>April</v>
      </c>
      <c r="N438" t="str">
        <f t="shared" si="38"/>
        <v>Delivered</v>
      </c>
      <c r="O438">
        <f t="shared" si="39"/>
        <v>5</v>
      </c>
      <c r="P438" t="str">
        <f t="shared" si="40"/>
        <v>Completed</v>
      </c>
      <c r="Q438" t="str">
        <f t="shared" si="41"/>
        <v>Slow</v>
      </c>
      <c r="R438" t="str">
        <f>_xlfn.XLOOKUP(B438,CustomerMaster!$A$2:$A$287,CustomerMaster!$B$2:$B$287)</f>
        <v>Customer_219</v>
      </c>
      <c r="S438" t="str">
        <f>_xlfn.XLOOKUP(C438,ProductMaster!$A$2:$A$51,ProductMaster!$B$2:$B$51)</f>
        <v>Product_4</v>
      </c>
      <c r="T438" t="str">
        <f>_xlfn.XLOOKUP(G438,RegionMaster!$A$2:$A$5,RegionMaster!$B$2:$B$5)</f>
        <v>A</v>
      </c>
    </row>
    <row r="439" spans="1:20" ht="15.75" customHeight="1">
      <c r="A439" s="2" t="s">
        <v>1149</v>
      </c>
      <c r="B439" s="2" t="s">
        <v>264</v>
      </c>
      <c r="C439" s="2" t="s">
        <v>194</v>
      </c>
      <c r="D439" s="3">
        <v>45724</v>
      </c>
      <c r="E439" s="3">
        <v>45729</v>
      </c>
      <c r="F439" s="4"/>
      <c r="G439" s="2" t="s">
        <v>17</v>
      </c>
      <c r="H439" s="2" t="s">
        <v>27</v>
      </c>
      <c r="I439" s="2" t="s">
        <v>106</v>
      </c>
      <c r="J439" s="2" t="s">
        <v>133</v>
      </c>
      <c r="K439" s="2">
        <v>4144.93</v>
      </c>
      <c r="L439" s="2" t="str">
        <f t="shared" si="36"/>
        <v>March</v>
      </c>
      <c r="M439" s="2" t="str">
        <f t="shared" si="37"/>
        <v>March</v>
      </c>
      <c r="N439" t="str">
        <f t="shared" si="38"/>
        <v>Delivered</v>
      </c>
      <c r="O439">
        <f t="shared" si="39"/>
        <v>5</v>
      </c>
      <c r="P439" t="str">
        <f t="shared" si="40"/>
        <v>Completed</v>
      </c>
      <c r="Q439" t="str">
        <f t="shared" si="41"/>
        <v>Slow</v>
      </c>
      <c r="R439" t="str">
        <f>_xlfn.XLOOKUP(B439,CustomerMaster!$A$2:$A$287,CustomerMaster!$B$2:$B$287)</f>
        <v>Customer_47</v>
      </c>
      <c r="S439" t="str">
        <f>_xlfn.XLOOKUP(C439,ProductMaster!$A$2:$A$51,ProductMaster!$B$2:$B$51)</f>
        <v>Product_44</v>
      </c>
      <c r="T439" t="str">
        <f>_xlfn.XLOOKUP(G439,RegionMaster!$A$2:$A$5,RegionMaster!$B$2:$B$5)</f>
        <v>B</v>
      </c>
    </row>
    <row r="440" spans="1:20" ht="15.75" customHeight="1">
      <c r="A440" s="2" t="s">
        <v>1150</v>
      </c>
      <c r="B440" s="2" t="s">
        <v>394</v>
      </c>
      <c r="C440" s="2" t="s">
        <v>199</v>
      </c>
      <c r="D440" s="3">
        <v>45695</v>
      </c>
      <c r="E440" s="3">
        <v>45699</v>
      </c>
      <c r="F440" s="4"/>
      <c r="G440" s="2" t="s">
        <v>7</v>
      </c>
      <c r="H440" s="2" t="s">
        <v>54</v>
      </c>
      <c r="I440" s="2" t="s">
        <v>178</v>
      </c>
      <c r="J440" s="2" t="s">
        <v>107</v>
      </c>
      <c r="K440" s="2">
        <v>3589.96</v>
      </c>
      <c r="L440" s="2" t="str">
        <f t="shared" si="36"/>
        <v>February</v>
      </c>
      <c r="M440" s="2" t="str">
        <f t="shared" si="37"/>
        <v>February</v>
      </c>
      <c r="N440" t="str">
        <f t="shared" si="38"/>
        <v>Delivered</v>
      </c>
      <c r="O440">
        <f t="shared" si="39"/>
        <v>4</v>
      </c>
      <c r="P440" t="str">
        <f t="shared" si="40"/>
        <v>Completed</v>
      </c>
      <c r="Q440" t="str">
        <f t="shared" si="41"/>
        <v>Slow</v>
      </c>
      <c r="R440" t="str">
        <f>_xlfn.XLOOKUP(B440,CustomerMaster!$A$2:$A$287,CustomerMaster!$B$2:$B$287)</f>
        <v>Customer_102</v>
      </c>
      <c r="S440" t="str">
        <f>_xlfn.XLOOKUP(C440,ProductMaster!$A$2:$A$51,ProductMaster!$B$2:$B$51)</f>
        <v>Product_45</v>
      </c>
      <c r="T440" t="str">
        <f>_xlfn.XLOOKUP(G440,RegionMaster!$A$2:$A$5,RegionMaster!$B$2:$B$5)</f>
        <v>A</v>
      </c>
    </row>
    <row r="441" spans="1:20" ht="15.75" customHeight="1">
      <c r="A441" s="2" t="s">
        <v>1151</v>
      </c>
      <c r="B441" s="2" t="s">
        <v>588</v>
      </c>
      <c r="C441" s="2" t="s">
        <v>194</v>
      </c>
      <c r="D441" s="3">
        <v>45765</v>
      </c>
      <c r="E441" s="3">
        <v>45767</v>
      </c>
      <c r="F441" s="4"/>
      <c r="G441" s="2" t="s">
        <v>17</v>
      </c>
      <c r="H441" s="2" t="s">
        <v>59</v>
      </c>
      <c r="I441" s="2" t="s">
        <v>178</v>
      </c>
      <c r="J441" s="2" t="s">
        <v>94</v>
      </c>
      <c r="K441" s="2">
        <v>590.47</v>
      </c>
      <c r="L441" s="2" t="str">
        <f t="shared" si="36"/>
        <v>April</v>
      </c>
      <c r="M441" s="2" t="str">
        <f t="shared" si="37"/>
        <v>April</v>
      </c>
      <c r="N441" t="str">
        <f t="shared" si="38"/>
        <v>Delivered</v>
      </c>
      <c r="O441">
        <f t="shared" si="39"/>
        <v>2</v>
      </c>
      <c r="P441" t="str">
        <f t="shared" si="40"/>
        <v>Completed</v>
      </c>
      <c r="Q441" t="str">
        <f t="shared" si="41"/>
        <v>Fast</v>
      </c>
      <c r="R441" t="str">
        <f>_xlfn.XLOOKUP(B441,CustomerMaster!$A$2:$A$287,CustomerMaster!$B$2:$B$287)</f>
        <v>Customer_182</v>
      </c>
      <c r="S441" t="str">
        <f>_xlfn.XLOOKUP(C441,ProductMaster!$A$2:$A$51,ProductMaster!$B$2:$B$51)</f>
        <v>Product_44</v>
      </c>
      <c r="T441" t="str">
        <f>_xlfn.XLOOKUP(G441,RegionMaster!$A$2:$A$5,RegionMaster!$B$2:$B$5)</f>
        <v>B</v>
      </c>
    </row>
    <row r="442" spans="1:20" ht="15.75" customHeight="1">
      <c r="A442" s="2" t="s">
        <v>1152</v>
      </c>
      <c r="B442" s="2" t="s">
        <v>243</v>
      </c>
      <c r="C442" s="2" t="s">
        <v>168</v>
      </c>
      <c r="D442" s="3">
        <v>45688</v>
      </c>
      <c r="E442" s="3">
        <v>45690</v>
      </c>
      <c r="F442" s="4"/>
      <c r="G442" s="2" t="s">
        <v>45</v>
      </c>
      <c r="H442" s="2" t="s">
        <v>16</v>
      </c>
      <c r="I442" s="2" t="s">
        <v>178</v>
      </c>
      <c r="J442" s="2" t="s">
        <v>133</v>
      </c>
      <c r="K442" s="2">
        <v>607.22</v>
      </c>
      <c r="L442" s="2" t="str">
        <f t="shared" si="36"/>
        <v>January</v>
      </c>
      <c r="M442" s="2" t="str">
        <f t="shared" si="37"/>
        <v>February</v>
      </c>
      <c r="N442" t="str">
        <f t="shared" si="38"/>
        <v>Delivered</v>
      </c>
      <c r="O442">
        <f t="shared" si="39"/>
        <v>2</v>
      </c>
      <c r="P442" t="str">
        <f t="shared" si="40"/>
        <v>Completed</v>
      </c>
      <c r="Q442" t="str">
        <f t="shared" si="41"/>
        <v>Fast</v>
      </c>
      <c r="R442" t="str">
        <f>_xlfn.XLOOKUP(B442,CustomerMaster!$A$2:$A$287,CustomerMaster!$B$2:$B$287)</f>
        <v>Customer_39</v>
      </c>
      <c r="S442" t="str">
        <f>_xlfn.XLOOKUP(C442,ProductMaster!$A$2:$A$51,ProductMaster!$B$2:$B$51)</f>
        <v>Product_37</v>
      </c>
      <c r="T442" t="str">
        <f>_xlfn.XLOOKUP(G442,RegionMaster!$A$2:$A$5,RegionMaster!$B$2:$B$5)</f>
        <v>D</v>
      </c>
    </row>
    <row r="443" spans="1:20" ht="15.75" customHeight="1">
      <c r="A443" s="2" t="s">
        <v>1153</v>
      </c>
      <c r="B443" s="2" t="s">
        <v>551</v>
      </c>
      <c r="C443" s="2" t="s">
        <v>39</v>
      </c>
      <c r="D443" s="3">
        <v>45676</v>
      </c>
      <c r="E443" s="3">
        <v>45680</v>
      </c>
      <c r="F443" s="4"/>
      <c r="G443" s="2" t="s">
        <v>22</v>
      </c>
      <c r="H443" s="2" t="s">
        <v>37</v>
      </c>
      <c r="I443" s="2" t="s">
        <v>178</v>
      </c>
      <c r="J443" s="2" t="s">
        <v>107</v>
      </c>
      <c r="K443" s="2">
        <v>4935.87</v>
      </c>
      <c r="L443" s="2" t="str">
        <f t="shared" si="36"/>
        <v>January</v>
      </c>
      <c r="M443" s="2" t="str">
        <f t="shared" si="37"/>
        <v>January</v>
      </c>
      <c r="N443" t="str">
        <f t="shared" si="38"/>
        <v>Delivered</v>
      </c>
      <c r="O443">
        <f t="shared" si="39"/>
        <v>4</v>
      </c>
      <c r="P443" t="str">
        <f t="shared" si="40"/>
        <v>Completed</v>
      </c>
      <c r="Q443" t="str">
        <f t="shared" si="41"/>
        <v>Slow</v>
      </c>
      <c r="R443" t="str">
        <f>_xlfn.XLOOKUP(B443,CustomerMaster!$A$2:$A$287,CustomerMaster!$B$2:$B$287)</f>
        <v>Customer_166</v>
      </c>
      <c r="S443" t="str">
        <f>_xlfn.XLOOKUP(C443,ProductMaster!$A$2:$A$51,ProductMaster!$B$2:$B$51)</f>
        <v>Product_4</v>
      </c>
      <c r="T443" t="str">
        <f>_xlfn.XLOOKUP(G443,RegionMaster!$A$2:$A$5,RegionMaster!$B$2:$B$5)</f>
        <v>C</v>
      </c>
    </row>
    <row r="444" spans="1:20" ht="15.75" customHeight="1">
      <c r="A444" s="2" t="s">
        <v>1154</v>
      </c>
      <c r="B444" s="2" t="s">
        <v>762</v>
      </c>
      <c r="C444" s="2" t="s">
        <v>204</v>
      </c>
      <c r="D444" s="3">
        <v>45770</v>
      </c>
      <c r="E444" s="4"/>
      <c r="F444" s="3">
        <v>45770</v>
      </c>
      <c r="G444" s="2" t="s">
        <v>17</v>
      </c>
      <c r="H444" s="2" t="s">
        <v>27</v>
      </c>
      <c r="I444" s="2" t="s">
        <v>121</v>
      </c>
      <c r="J444" s="2" t="s">
        <v>94</v>
      </c>
      <c r="K444" s="2">
        <v>1996.5</v>
      </c>
      <c r="L444" s="2" t="str">
        <f t="shared" si="36"/>
        <v>April</v>
      </c>
      <c r="M444" s="2" t="str">
        <f t="shared" si="37"/>
        <v>Cancelled</v>
      </c>
      <c r="N444" t="str">
        <f t="shared" si="38"/>
        <v>Cancelled</v>
      </c>
      <c r="O444" t="str">
        <f t="shared" si="39"/>
        <v>Order Cancelled</v>
      </c>
      <c r="P444" t="str">
        <f t="shared" si="40"/>
        <v>Cancelled</v>
      </c>
      <c r="Q444" t="str">
        <f t="shared" si="41"/>
        <v>Cancelled</v>
      </c>
      <c r="R444" t="str">
        <f>_xlfn.XLOOKUP(B444,CustomerMaster!$A$2:$A$287,CustomerMaster!$B$2:$B$287)</f>
        <v>Customer_261</v>
      </c>
      <c r="S444" t="str">
        <f>_xlfn.XLOOKUP(C444,ProductMaster!$A$2:$A$51,ProductMaster!$B$2:$B$51)</f>
        <v>Product_46</v>
      </c>
      <c r="T444" t="str">
        <f>_xlfn.XLOOKUP(G444,RegionMaster!$A$2:$A$5,RegionMaster!$B$2:$B$5)</f>
        <v>B</v>
      </c>
    </row>
    <row r="445" spans="1:20" ht="15.75" customHeight="1">
      <c r="A445" s="2" t="s">
        <v>1155</v>
      </c>
      <c r="B445" s="2" t="s">
        <v>155</v>
      </c>
      <c r="C445" s="2" t="s">
        <v>39</v>
      </c>
      <c r="D445" s="3">
        <v>45727</v>
      </c>
      <c r="E445" s="3">
        <v>45730</v>
      </c>
      <c r="F445" s="4"/>
      <c r="G445" s="2" t="s">
        <v>22</v>
      </c>
      <c r="H445" s="2" t="s">
        <v>16</v>
      </c>
      <c r="I445" s="2" t="s">
        <v>90</v>
      </c>
      <c r="J445" s="2" t="s">
        <v>94</v>
      </c>
      <c r="K445" s="2">
        <v>1979.08</v>
      </c>
      <c r="L445" s="2" t="str">
        <f t="shared" si="36"/>
        <v>March</v>
      </c>
      <c r="M445" s="2" t="str">
        <f t="shared" si="37"/>
        <v>March</v>
      </c>
      <c r="N445" t="str">
        <f t="shared" si="38"/>
        <v>Delivered</v>
      </c>
      <c r="O445">
        <f t="shared" si="39"/>
        <v>3</v>
      </c>
      <c r="P445" t="str">
        <f t="shared" si="40"/>
        <v>Completed</v>
      </c>
      <c r="Q445" t="str">
        <f t="shared" si="41"/>
        <v>Slow</v>
      </c>
      <c r="R445" t="str">
        <f>_xlfn.XLOOKUP(B445,CustomerMaster!$A$2:$A$287,CustomerMaster!$B$2:$B$287)</f>
        <v>Customer_265</v>
      </c>
      <c r="S445" t="str">
        <f>_xlfn.XLOOKUP(C445,ProductMaster!$A$2:$A$51,ProductMaster!$B$2:$B$51)</f>
        <v>Product_4</v>
      </c>
      <c r="T445" t="str">
        <f>_xlfn.XLOOKUP(G445,RegionMaster!$A$2:$A$5,RegionMaster!$B$2:$B$5)</f>
        <v>C</v>
      </c>
    </row>
    <row r="446" spans="1:20" ht="15.75" customHeight="1">
      <c r="A446" s="2" t="s">
        <v>1156</v>
      </c>
      <c r="B446" s="2" t="s">
        <v>267</v>
      </c>
      <c r="C446" s="2" t="s">
        <v>164</v>
      </c>
      <c r="D446" s="3">
        <v>45718</v>
      </c>
      <c r="E446" s="3">
        <v>45723</v>
      </c>
      <c r="F446" s="4"/>
      <c r="G446" s="2" t="s">
        <v>7</v>
      </c>
      <c r="H446" s="2" t="s">
        <v>37</v>
      </c>
      <c r="I446" s="2" t="s">
        <v>121</v>
      </c>
      <c r="J446" s="2" t="s">
        <v>94</v>
      </c>
      <c r="K446" s="2">
        <v>4101.4399999999996</v>
      </c>
      <c r="L446" s="2" t="str">
        <f t="shared" si="36"/>
        <v>March</v>
      </c>
      <c r="M446" s="2" t="str">
        <f t="shared" si="37"/>
        <v>March</v>
      </c>
      <c r="N446" t="str">
        <f t="shared" si="38"/>
        <v>Delivered</v>
      </c>
      <c r="O446">
        <f t="shared" si="39"/>
        <v>5</v>
      </c>
      <c r="P446" t="str">
        <f t="shared" si="40"/>
        <v>Completed</v>
      </c>
      <c r="Q446" t="str">
        <f t="shared" si="41"/>
        <v>Slow</v>
      </c>
      <c r="R446" t="str">
        <f>_xlfn.XLOOKUP(B446,CustomerMaster!$A$2:$A$287,CustomerMaster!$B$2:$B$287)</f>
        <v>Customer_205</v>
      </c>
      <c r="S446" t="str">
        <f>_xlfn.XLOOKUP(C446,ProductMaster!$A$2:$A$51,ProductMaster!$B$2:$B$51)</f>
        <v>Product_36</v>
      </c>
      <c r="T446" t="str">
        <f>_xlfn.XLOOKUP(G446,RegionMaster!$A$2:$A$5,RegionMaster!$B$2:$B$5)</f>
        <v>A</v>
      </c>
    </row>
    <row r="447" spans="1:20" ht="15.75" customHeight="1">
      <c r="A447" s="2" t="s">
        <v>1157</v>
      </c>
      <c r="B447" s="2" t="s">
        <v>645</v>
      </c>
      <c r="C447" s="2" t="s">
        <v>72</v>
      </c>
      <c r="D447" s="3">
        <v>45756</v>
      </c>
      <c r="E447" s="4"/>
      <c r="F447" s="3">
        <v>45757</v>
      </c>
      <c r="G447" s="2" t="s">
        <v>7</v>
      </c>
      <c r="H447" s="2" t="s">
        <v>54</v>
      </c>
      <c r="I447" s="2" t="s">
        <v>90</v>
      </c>
      <c r="J447" s="2" t="s">
        <v>94</v>
      </c>
      <c r="K447" s="2">
        <v>4746.79</v>
      </c>
      <c r="L447" s="2" t="str">
        <f t="shared" si="36"/>
        <v>April</v>
      </c>
      <c r="M447" s="2" t="str">
        <f t="shared" si="37"/>
        <v>Cancelled</v>
      </c>
      <c r="N447" t="str">
        <f t="shared" si="38"/>
        <v>Cancelled</v>
      </c>
      <c r="O447" t="str">
        <f t="shared" si="39"/>
        <v>Order Cancelled</v>
      </c>
      <c r="P447" t="str">
        <f t="shared" si="40"/>
        <v>Cancelled</v>
      </c>
      <c r="Q447" t="str">
        <f t="shared" si="41"/>
        <v>Cancelled</v>
      </c>
      <c r="R447" t="str">
        <f>_xlfn.XLOOKUP(B447,CustomerMaster!$A$2:$A$287,CustomerMaster!$B$2:$B$287)</f>
        <v>Customer_207</v>
      </c>
      <c r="S447" t="str">
        <f>_xlfn.XLOOKUP(C447,ProductMaster!$A$2:$A$51,ProductMaster!$B$2:$B$51)</f>
        <v>Product_10</v>
      </c>
      <c r="T447" t="str">
        <f>_xlfn.XLOOKUP(G447,RegionMaster!$A$2:$A$5,RegionMaster!$B$2:$B$5)</f>
        <v>A</v>
      </c>
    </row>
    <row r="448" spans="1:20" ht="15.75" customHeight="1">
      <c r="A448" s="2" t="s">
        <v>1158</v>
      </c>
      <c r="B448" s="2" t="s">
        <v>542</v>
      </c>
      <c r="C448" s="2" t="s">
        <v>102</v>
      </c>
      <c r="D448" s="3">
        <v>45672</v>
      </c>
      <c r="E448" s="3">
        <v>45678</v>
      </c>
      <c r="F448" s="4"/>
      <c r="G448" s="2" t="s">
        <v>45</v>
      </c>
      <c r="H448" s="2" t="s">
        <v>16</v>
      </c>
      <c r="I448" s="2" t="s">
        <v>195</v>
      </c>
      <c r="J448" s="2" t="s">
        <v>133</v>
      </c>
      <c r="K448" s="2">
        <v>4932.8100000000004</v>
      </c>
      <c r="L448" s="2" t="str">
        <f t="shared" si="36"/>
        <v>January</v>
      </c>
      <c r="M448" s="2" t="str">
        <f t="shared" si="37"/>
        <v>January</v>
      </c>
      <c r="N448" t="str">
        <f t="shared" si="38"/>
        <v>Delivered</v>
      </c>
      <c r="O448">
        <f t="shared" si="39"/>
        <v>6</v>
      </c>
      <c r="P448" t="str">
        <f t="shared" si="40"/>
        <v>Completed</v>
      </c>
      <c r="Q448" t="str">
        <f t="shared" si="41"/>
        <v>Slow</v>
      </c>
      <c r="R448" t="str">
        <f>_xlfn.XLOOKUP(B448,CustomerMaster!$A$2:$A$287,CustomerMaster!$B$2:$B$287)</f>
        <v>Customer_162</v>
      </c>
      <c r="S448" t="str">
        <f>_xlfn.XLOOKUP(C448,ProductMaster!$A$2:$A$51,ProductMaster!$B$2:$B$51)</f>
        <v>Product_18</v>
      </c>
      <c r="T448" t="str">
        <f>_xlfn.XLOOKUP(G448,RegionMaster!$A$2:$A$5,RegionMaster!$B$2:$B$5)</f>
        <v>D</v>
      </c>
    </row>
    <row r="449" spans="1:20" ht="15.75" customHeight="1">
      <c r="A449" s="2" t="s">
        <v>1159</v>
      </c>
      <c r="B449" s="2" t="s">
        <v>473</v>
      </c>
      <c r="C449" s="2" t="s">
        <v>141</v>
      </c>
      <c r="D449" s="3">
        <v>45708</v>
      </c>
      <c r="E449" s="3">
        <v>45713</v>
      </c>
      <c r="F449" s="4"/>
      <c r="G449" s="2" t="s">
        <v>17</v>
      </c>
      <c r="H449" s="2" t="s">
        <v>16</v>
      </c>
      <c r="I449" s="2" t="s">
        <v>121</v>
      </c>
      <c r="J449" s="2" t="s">
        <v>133</v>
      </c>
      <c r="K449" s="2">
        <v>3816.22</v>
      </c>
      <c r="L449" s="2" t="str">
        <f t="shared" si="36"/>
        <v>February</v>
      </c>
      <c r="M449" s="2" t="str">
        <f t="shared" si="37"/>
        <v>February</v>
      </c>
      <c r="N449" t="str">
        <f t="shared" si="38"/>
        <v>Delivered</v>
      </c>
      <c r="O449">
        <f t="shared" si="39"/>
        <v>5</v>
      </c>
      <c r="P449" t="str">
        <f t="shared" si="40"/>
        <v>Completed</v>
      </c>
      <c r="Q449" t="str">
        <f t="shared" si="41"/>
        <v>Slow</v>
      </c>
      <c r="R449" t="str">
        <f>_xlfn.XLOOKUP(B449,CustomerMaster!$A$2:$A$287,CustomerMaster!$B$2:$B$287)</f>
        <v>Customer_135</v>
      </c>
      <c r="S449" t="str">
        <f>_xlfn.XLOOKUP(C449,ProductMaster!$A$2:$A$51,ProductMaster!$B$2:$B$51)</f>
        <v>Product_42</v>
      </c>
      <c r="T449" t="str">
        <f>_xlfn.XLOOKUP(G449,RegionMaster!$A$2:$A$5,RegionMaster!$B$2:$B$5)</f>
        <v>B</v>
      </c>
    </row>
    <row r="450" spans="1:20" ht="15.75" customHeight="1">
      <c r="A450" s="2" t="s">
        <v>1160</v>
      </c>
      <c r="B450" s="2" t="s">
        <v>361</v>
      </c>
      <c r="C450" s="2" t="s">
        <v>39</v>
      </c>
      <c r="D450" s="3">
        <v>45675</v>
      </c>
      <c r="E450" s="3">
        <v>45680</v>
      </c>
      <c r="F450" s="4"/>
      <c r="G450" s="2" t="s">
        <v>22</v>
      </c>
      <c r="H450" s="2" t="s">
        <v>16</v>
      </c>
      <c r="I450" s="2" t="s">
        <v>195</v>
      </c>
      <c r="J450" s="2" t="s">
        <v>133</v>
      </c>
      <c r="K450" s="2">
        <v>2006.05</v>
      </c>
      <c r="L450" s="2" t="str">
        <f t="shared" si="36"/>
        <v>January</v>
      </c>
      <c r="M450" s="2" t="str">
        <f t="shared" si="37"/>
        <v>January</v>
      </c>
      <c r="N450" t="str">
        <f t="shared" si="38"/>
        <v>Delivered</v>
      </c>
      <c r="O450">
        <f t="shared" si="39"/>
        <v>5</v>
      </c>
      <c r="P450" t="str">
        <f t="shared" si="40"/>
        <v>Completed</v>
      </c>
      <c r="Q450" t="str">
        <f t="shared" si="41"/>
        <v>Slow</v>
      </c>
      <c r="R450" t="str">
        <f>_xlfn.XLOOKUP(B450,CustomerMaster!$A$2:$A$287,CustomerMaster!$B$2:$B$287)</f>
        <v>Customer_88</v>
      </c>
      <c r="S450" t="str">
        <f>_xlfn.XLOOKUP(C450,ProductMaster!$A$2:$A$51,ProductMaster!$B$2:$B$51)</f>
        <v>Product_4</v>
      </c>
      <c r="T450" t="str">
        <f>_xlfn.XLOOKUP(G450,RegionMaster!$A$2:$A$5,RegionMaster!$B$2:$B$5)</f>
        <v>C</v>
      </c>
    </row>
    <row r="451" spans="1:20" ht="15.75" customHeight="1">
      <c r="A451" s="2" t="s">
        <v>1161</v>
      </c>
      <c r="B451" s="2" t="s">
        <v>292</v>
      </c>
      <c r="C451" s="2" t="s">
        <v>162</v>
      </c>
      <c r="D451" s="3">
        <v>45711</v>
      </c>
      <c r="E451" s="3">
        <v>45716</v>
      </c>
      <c r="F451" s="4"/>
      <c r="G451" s="2" t="s">
        <v>17</v>
      </c>
      <c r="H451" s="2" t="s">
        <v>27</v>
      </c>
      <c r="I451" s="2" t="s">
        <v>121</v>
      </c>
      <c r="J451" s="2" t="s">
        <v>133</v>
      </c>
      <c r="K451" s="2">
        <v>600.79999999999995</v>
      </c>
      <c r="L451" s="2" t="str">
        <f t="shared" ref="L451:L514" si="42">TEXT(D451,"MMMM")</f>
        <v>February</v>
      </c>
      <c r="M451" s="2" t="str">
        <f t="shared" ref="M451:M514" si="43">IF(NOT(ISBLANK(E451)),TEXT(E451,"MMMM"),"Cancelled")</f>
        <v>February</v>
      </c>
      <c r="N451" t="str">
        <f t="shared" ref="N451:N514" si="44">IF(F451="","Delivered","Cancelled")</f>
        <v>Delivered</v>
      </c>
      <c r="O451">
        <f t="shared" ref="O451:O514" si="45">IF(E451="","Order Cancelled",_xlfn.DAYS(E451,D451))</f>
        <v>5</v>
      </c>
      <c r="P451" t="str">
        <f t="shared" ref="P451:P514" si="46">IF(F451="","Completed","Cancelled")</f>
        <v>Completed</v>
      </c>
      <c r="Q451" t="str">
        <f t="shared" ref="Q451:Q514" si="47">IF(O451="Order Cancelled","Cancelled",IF(O451&lt;=2,"Fast","Slow"))</f>
        <v>Slow</v>
      </c>
      <c r="R451" t="str">
        <f>_xlfn.XLOOKUP(B451,CustomerMaster!$A$2:$A$287,CustomerMaster!$B$2:$B$287)</f>
        <v>Customer_57</v>
      </c>
      <c r="S451" t="str">
        <f>_xlfn.XLOOKUP(C451,ProductMaster!$A$2:$A$51,ProductMaster!$B$2:$B$51)</f>
        <v>Product_35</v>
      </c>
      <c r="T451" t="str">
        <f>_xlfn.XLOOKUP(G451,RegionMaster!$A$2:$A$5,RegionMaster!$B$2:$B$5)</f>
        <v>B</v>
      </c>
    </row>
    <row r="452" spans="1:20" ht="15.75" customHeight="1">
      <c r="A452" s="2" t="s">
        <v>1162</v>
      </c>
      <c r="B452" s="2" t="s">
        <v>415</v>
      </c>
      <c r="C452" s="2" t="s">
        <v>72</v>
      </c>
      <c r="D452" s="3">
        <v>45683</v>
      </c>
      <c r="E452" s="4"/>
      <c r="F452" s="3">
        <v>45683</v>
      </c>
      <c r="G452" s="2" t="s">
        <v>45</v>
      </c>
      <c r="H452" s="2" t="s">
        <v>54</v>
      </c>
      <c r="I452" s="2" t="s">
        <v>106</v>
      </c>
      <c r="J452" s="2" t="s">
        <v>107</v>
      </c>
      <c r="K452" s="2">
        <v>3930.31</v>
      </c>
      <c r="L452" s="2" t="str">
        <f t="shared" si="42"/>
        <v>January</v>
      </c>
      <c r="M452" s="2" t="str">
        <f t="shared" si="43"/>
        <v>Cancelled</v>
      </c>
      <c r="N452" t="str">
        <f t="shared" si="44"/>
        <v>Cancelled</v>
      </c>
      <c r="O452" t="str">
        <f t="shared" si="45"/>
        <v>Order Cancelled</v>
      </c>
      <c r="P452" t="str">
        <f t="shared" si="46"/>
        <v>Cancelled</v>
      </c>
      <c r="Q452" t="str">
        <f t="shared" si="47"/>
        <v>Cancelled</v>
      </c>
      <c r="R452" t="str">
        <f>_xlfn.XLOOKUP(B452,CustomerMaster!$A$2:$A$287,CustomerMaster!$B$2:$B$287)</f>
        <v>Customer_111</v>
      </c>
      <c r="S452" t="str">
        <f>_xlfn.XLOOKUP(C452,ProductMaster!$A$2:$A$51,ProductMaster!$B$2:$B$51)</f>
        <v>Product_10</v>
      </c>
      <c r="T452" t="str">
        <f>_xlfn.XLOOKUP(G452,RegionMaster!$A$2:$A$5,RegionMaster!$B$2:$B$5)</f>
        <v>D</v>
      </c>
    </row>
    <row r="453" spans="1:20" ht="15.75" customHeight="1">
      <c r="A453" s="2" t="s">
        <v>1163</v>
      </c>
      <c r="B453" s="2" t="s">
        <v>85</v>
      </c>
      <c r="C453" s="2" t="s">
        <v>194</v>
      </c>
      <c r="D453" s="3">
        <v>45698</v>
      </c>
      <c r="E453" s="3">
        <v>45702</v>
      </c>
      <c r="F453" s="4"/>
      <c r="G453" s="2" t="s">
        <v>7</v>
      </c>
      <c r="H453" s="2" t="s">
        <v>59</v>
      </c>
      <c r="I453" s="2" t="s">
        <v>106</v>
      </c>
      <c r="J453" s="2" t="s">
        <v>133</v>
      </c>
      <c r="K453" s="2">
        <v>2880.34</v>
      </c>
      <c r="L453" s="2" t="str">
        <f t="shared" si="42"/>
        <v>February</v>
      </c>
      <c r="M453" s="2" t="str">
        <f t="shared" si="43"/>
        <v>February</v>
      </c>
      <c r="N453" t="str">
        <f t="shared" si="44"/>
        <v>Delivered</v>
      </c>
      <c r="O453">
        <f t="shared" si="45"/>
        <v>4</v>
      </c>
      <c r="P453" t="str">
        <f t="shared" si="46"/>
        <v>Completed</v>
      </c>
      <c r="Q453" t="str">
        <f t="shared" si="47"/>
        <v>Slow</v>
      </c>
      <c r="R453" t="str">
        <f>_xlfn.XLOOKUP(B453,CustomerMaster!$A$2:$A$287,CustomerMaster!$B$2:$B$287)</f>
        <v>Customer_11</v>
      </c>
      <c r="S453" t="str">
        <f>_xlfn.XLOOKUP(C453,ProductMaster!$A$2:$A$51,ProductMaster!$B$2:$B$51)</f>
        <v>Product_44</v>
      </c>
      <c r="T453" t="str">
        <f>_xlfn.XLOOKUP(G453,RegionMaster!$A$2:$A$5,RegionMaster!$B$2:$B$5)</f>
        <v>A</v>
      </c>
    </row>
    <row r="454" spans="1:20" ht="15.75" customHeight="1">
      <c r="A454" s="2" t="s">
        <v>1164</v>
      </c>
      <c r="B454" s="2" t="s">
        <v>292</v>
      </c>
      <c r="C454" s="2" t="s">
        <v>146</v>
      </c>
      <c r="D454" s="3">
        <v>45716</v>
      </c>
      <c r="E454" s="3">
        <v>45721</v>
      </c>
      <c r="F454" s="4"/>
      <c r="G454" s="2" t="s">
        <v>22</v>
      </c>
      <c r="H454" s="2" t="s">
        <v>37</v>
      </c>
      <c r="I454" s="2" t="s">
        <v>195</v>
      </c>
      <c r="J454" s="2" t="s">
        <v>94</v>
      </c>
      <c r="K454" s="2">
        <v>2236.27</v>
      </c>
      <c r="L454" s="2" t="str">
        <f t="shared" si="42"/>
        <v>February</v>
      </c>
      <c r="M454" s="2" t="str">
        <f t="shared" si="43"/>
        <v>March</v>
      </c>
      <c r="N454" t="str">
        <f t="shared" si="44"/>
        <v>Delivered</v>
      </c>
      <c r="O454">
        <f t="shared" si="45"/>
        <v>5</v>
      </c>
      <c r="P454" t="str">
        <f t="shared" si="46"/>
        <v>Completed</v>
      </c>
      <c r="Q454" t="str">
        <f t="shared" si="47"/>
        <v>Slow</v>
      </c>
      <c r="R454" t="str">
        <f>_xlfn.XLOOKUP(B454,CustomerMaster!$A$2:$A$287,CustomerMaster!$B$2:$B$287)</f>
        <v>Customer_57</v>
      </c>
      <c r="S454" t="str">
        <f>_xlfn.XLOOKUP(C454,ProductMaster!$A$2:$A$51,ProductMaster!$B$2:$B$51)</f>
        <v>Product_30</v>
      </c>
      <c r="T454" t="str">
        <f>_xlfn.XLOOKUP(G454,RegionMaster!$A$2:$A$5,RegionMaster!$B$2:$B$5)</f>
        <v>C</v>
      </c>
    </row>
    <row r="455" spans="1:20" ht="15.75" customHeight="1">
      <c r="A455" s="2" t="s">
        <v>1165</v>
      </c>
      <c r="B455" s="2" t="s">
        <v>223</v>
      </c>
      <c r="C455" s="2" t="s">
        <v>180</v>
      </c>
      <c r="D455" s="3">
        <v>45774</v>
      </c>
      <c r="E455" s="3">
        <v>45776</v>
      </c>
      <c r="F455" s="4"/>
      <c r="G455" s="2" t="s">
        <v>45</v>
      </c>
      <c r="H455" s="2" t="s">
        <v>27</v>
      </c>
      <c r="I455" s="2" t="s">
        <v>106</v>
      </c>
      <c r="J455" s="2" t="s">
        <v>94</v>
      </c>
      <c r="K455" s="2">
        <v>4550.5</v>
      </c>
      <c r="L455" s="2" t="str">
        <f t="shared" si="42"/>
        <v>April</v>
      </c>
      <c r="M455" s="2" t="str">
        <f t="shared" si="43"/>
        <v>April</v>
      </c>
      <c r="N455" t="str">
        <f t="shared" si="44"/>
        <v>Delivered</v>
      </c>
      <c r="O455">
        <f t="shared" si="45"/>
        <v>2</v>
      </c>
      <c r="P455" t="str">
        <f t="shared" si="46"/>
        <v>Completed</v>
      </c>
      <c r="Q455" t="str">
        <f t="shared" si="47"/>
        <v>Fast</v>
      </c>
      <c r="R455" t="str">
        <f>_xlfn.XLOOKUP(B455,CustomerMaster!$A$2:$A$287,CustomerMaster!$B$2:$B$287)</f>
        <v>Customer_44</v>
      </c>
      <c r="S455" t="str">
        <f>_xlfn.XLOOKUP(C455,ProductMaster!$A$2:$A$51,ProductMaster!$B$2:$B$51)</f>
        <v>Product_40</v>
      </c>
      <c r="T455" t="str">
        <f>_xlfn.XLOOKUP(G455,RegionMaster!$A$2:$A$5,RegionMaster!$B$2:$B$5)</f>
        <v>D</v>
      </c>
    </row>
    <row r="456" spans="1:20" ht="15.75" customHeight="1">
      <c r="A456" s="2" t="s">
        <v>1166</v>
      </c>
      <c r="B456" s="2" t="s">
        <v>583</v>
      </c>
      <c r="C456" s="2" t="s">
        <v>180</v>
      </c>
      <c r="D456" s="3">
        <v>45773</v>
      </c>
      <c r="E456" s="3">
        <v>45776</v>
      </c>
      <c r="F456" s="4"/>
      <c r="G456" s="2" t="s">
        <v>17</v>
      </c>
      <c r="H456" s="2" t="s">
        <v>54</v>
      </c>
      <c r="I456" s="2" t="s">
        <v>106</v>
      </c>
      <c r="J456" s="2" t="s">
        <v>107</v>
      </c>
      <c r="K456" s="2">
        <v>733.75</v>
      </c>
      <c r="L456" s="2" t="str">
        <f t="shared" si="42"/>
        <v>April</v>
      </c>
      <c r="M456" s="2" t="str">
        <f t="shared" si="43"/>
        <v>April</v>
      </c>
      <c r="N456" t="str">
        <f t="shared" si="44"/>
        <v>Delivered</v>
      </c>
      <c r="O456">
        <f t="shared" si="45"/>
        <v>3</v>
      </c>
      <c r="P456" t="str">
        <f t="shared" si="46"/>
        <v>Completed</v>
      </c>
      <c r="Q456" t="str">
        <f t="shared" si="47"/>
        <v>Slow</v>
      </c>
      <c r="R456" t="str">
        <f>_xlfn.XLOOKUP(B456,CustomerMaster!$A$2:$A$287,CustomerMaster!$B$2:$B$287)</f>
        <v>Customer_180</v>
      </c>
      <c r="S456" t="str">
        <f>_xlfn.XLOOKUP(C456,ProductMaster!$A$2:$A$51,ProductMaster!$B$2:$B$51)</f>
        <v>Product_40</v>
      </c>
      <c r="T456" t="str">
        <f>_xlfn.XLOOKUP(G456,RegionMaster!$A$2:$A$5,RegionMaster!$B$2:$B$5)</f>
        <v>B</v>
      </c>
    </row>
    <row r="457" spans="1:20" ht="15.75" customHeight="1">
      <c r="A457" s="2" t="s">
        <v>1167</v>
      </c>
      <c r="B457" s="2" t="s">
        <v>380</v>
      </c>
      <c r="C457" s="2" t="s">
        <v>87</v>
      </c>
      <c r="D457" s="3">
        <v>45734</v>
      </c>
      <c r="E457" s="4"/>
      <c r="F457" s="3">
        <v>45736</v>
      </c>
      <c r="G457" s="2" t="s">
        <v>17</v>
      </c>
      <c r="H457" s="2" t="s">
        <v>59</v>
      </c>
      <c r="I457" s="2" t="s">
        <v>178</v>
      </c>
      <c r="J457" s="2" t="s">
        <v>94</v>
      </c>
      <c r="K457" s="2">
        <v>2564.6</v>
      </c>
      <c r="L457" s="2" t="str">
        <f t="shared" si="42"/>
        <v>March</v>
      </c>
      <c r="M457" s="2" t="str">
        <f t="shared" si="43"/>
        <v>Cancelled</v>
      </c>
      <c r="N457" t="str">
        <f t="shared" si="44"/>
        <v>Cancelled</v>
      </c>
      <c r="O457" t="str">
        <f t="shared" si="45"/>
        <v>Order Cancelled</v>
      </c>
      <c r="P457" t="str">
        <f t="shared" si="46"/>
        <v>Cancelled</v>
      </c>
      <c r="Q457" t="str">
        <f t="shared" si="47"/>
        <v>Cancelled</v>
      </c>
      <c r="R457" t="str">
        <f>_xlfn.XLOOKUP(B457,CustomerMaster!$A$2:$A$287,CustomerMaster!$B$2:$B$287)</f>
        <v>Customer_97</v>
      </c>
      <c r="S457" t="str">
        <f>_xlfn.XLOOKUP(C457,ProductMaster!$A$2:$A$51,ProductMaster!$B$2:$B$51)</f>
        <v>Product_15</v>
      </c>
      <c r="T457" t="str">
        <f>_xlfn.XLOOKUP(G457,RegionMaster!$A$2:$A$5,RegionMaster!$B$2:$B$5)</f>
        <v>B</v>
      </c>
    </row>
    <row r="458" spans="1:20" ht="15.75" customHeight="1">
      <c r="A458" s="2" t="s">
        <v>1168</v>
      </c>
      <c r="B458" s="2" t="s">
        <v>290</v>
      </c>
      <c r="C458" s="2" t="s">
        <v>141</v>
      </c>
      <c r="D458" s="3">
        <v>45734</v>
      </c>
      <c r="E458" s="3">
        <v>45736</v>
      </c>
      <c r="F458" s="4"/>
      <c r="G458" s="2" t="s">
        <v>17</v>
      </c>
      <c r="H458" s="2" t="s">
        <v>59</v>
      </c>
      <c r="I458" s="2" t="s">
        <v>195</v>
      </c>
      <c r="J458" s="2" t="s">
        <v>107</v>
      </c>
      <c r="K458" s="2">
        <v>254.5</v>
      </c>
      <c r="L458" s="2" t="str">
        <f t="shared" si="42"/>
        <v>March</v>
      </c>
      <c r="M458" s="2" t="str">
        <f t="shared" si="43"/>
        <v>March</v>
      </c>
      <c r="N458" t="str">
        <f t="shared" si="44"/>
        <v>Delivered</v>
      </c>
      <c r="O458">
        <f t="shared" si="45"/>
        <v>2</v>
      </c>
      <c r="P458" t="str">
        <f t="shared" si="46"/>
        <v>Completed</v>
      </c>
      <c r="Q458" t="str">
        <f t="shared" si="47"/>
        <v>Fast</v>
      </c>
      <c r="R458" t="str">
        <f>_xlfn.XLOOKUP(B458,CustomerMaster!$A$2:$A$287,CustomerMaster!$B$2:$B$287)</f>
        <v>Customer_56</v>
      </c>
      <c r="S458" t="str">
        <f>_xlfn.XLOOKUP(C458,ProductMaster!$A$2:$A$51,ProductMaster!$B$2:$B$51)</f>
        <v>Product_42</v>
      </c>
      <c r="T458" t="str">
        <f>_xlfn.XLOOKUP(G458,RegionMaster!$A$2:$A$5,RegionMaster!$B$2:$B$5)</f>
        <v>B</v>
      </c>
    </row>
    <row r="459" spans="1:20" ht="15.75" customHeight="1">
      <c r="A459" s="2" t="s">
        <v>1169</v>
      </c>
      <c r="B459" s="2" t="s">
        <v>745</v>
      </c>
      <c r="C459" s="2" t="s">
        <v>72</v>
      </c>
      <c r="D459" s="3">
        <v>45660</v>
      </c>
      <c r="E459" s="3">
        <v>45662</v>
      </c>
      <c r="F459" s="4"/>
      <c r="G459" s="2" t="s">
        <v>22</v>
      </c>
      <c r="H459" s="2" t="s">
        <v>37</v>
      </c>
      <c r="I459" s="2" t="s">
        <v>90</v>
      </c>
      <c r="J459" s="2" t="s">
        <v>107</v>
      </c>
      <c r="K459" s="2">
        <v>2449.5700000000002</v>
      </c>
      <c r="L459" s="2" t="str">
        <f t="shared" si="42"/>
        <v>January</v>
      </c>
      <c r="M459" s="2" t="str">
        <f t="shared" si="43"/>
        <v>January</v>
      </c>
      <c r="N459" t="str">
        <f t="shared" si="44"/>
        <v>Delivered</v>
      </c>
      <c r="O459">
        <f t="shared" si="45"/>
        <v>2</v>
      </c>
      <c r="P459" t="str">
        <f t="shared" si="46"/>
        <v>Completed</v>
      </c>
      <c r="Q459" t="str">
        <f t="shared" si="47"/>
        <v>Fast</v>
      </c>
      <c r="R459" t="str">
        <f>_xlfn.XLOOKUP(B459,CustomerMaster!$A$2:$A$287,CustomerMaster!$B$2:$B$287)</f>
        <v>Customer_252</v>
      </c>
      <c r="S459" t="str">
        <f>_xlfn.XLOOKUP(C459,ProductMaster!$A$2:$A$51,ProductMaster!$B$2:$B$51)</f>
        <v>Product_10</v>
      </c>
      <c r="T459" t="str">
        <f>_xlfn.XLOOKUP(G459,RegionMaster!$A$2:$A$5,RegionMaster!$B$2:$B$5)</f>
        <v>C</v>
      </c>
    </row>
    <row r="460" spans="1:20" ht="15.75" customHeight="1">
      <c r="A460" s="2" t="s">
        <v>1170</v>
      </c>
      <c r="B460" s="2" t="s">
        <v>346</v>
      </c>
      <c r="C460" s="2" t="s">
        <v>173</v>
      </c>
      <c r="D460" s="3">
        <v>45721</v>
      </c>
      <c r="E460" s="4"/>
      <c r="F460" s="3">
        <v>45722</v>
      </c>
      <c r="G460" s="2" t="s">
        <v>7</v>
      </c>
      <c r="H460" s="2" t="s">
        <v>37</v>
      </c>
      <c r="I460" s="2" t="s">
        <v>178</v>
      </c>
      <c r="J460" s="2" t="s">
        <v>94</v>
      </c>
      <c r="K460" s="2">
        <v>470.26</v>
      </c>
      <c r="L460" s="2" t="str">
        <f t="shared" si="42"/>
        <v>March</v>
      </c>
      <c r="M460" s="2" t="str">
        <f t="shared" si="43"/>
        <v>Cancelled</v>
      </c>
      <c r="N460" t="str">
        <f t="shared" si="44"/>
        <v>Cancelled</v>
      </c>
      <c r="O460" t="str">
        <f t="shared" si="45"/>
        <v>Order Cancelled</v>
      </c>
      <c r="P460" t="str">
        <f t="shared" si="46"/>
        <v>Cancelled</v>
      </c>
      <c r="Q460" t="str">
        <f t="shared" si="47"/>
        <v>Cancelled</v>
      </c>
      <c r="R460" t="str">
        <f>_xlfn.XLOOKUP(B460,CustomerMaster!$A$2:$A$287,CustomerMaster!$B$2:$B$287)</f>
        <v>Customer_81</v>
      </c>
      <c r="S460" t="str">
        <f>_xlfn.XLOOKUP(C460,ProductMaster!$A$2:$A$51,ProductMaster!$B$2:$B$51)</f>
        <v>Product_38</v>
      </c>
      <c r="T460" t="str">
        <f>_xlfn.XLOOKUP(G460,RegionMaster!$A$2:$A$5,RegionMaster!$B$2:$B$5)</f>
        <v>A</v>
      </c>
    </row>
    <row r="461" spans="1:20" ht="15.75" customHeight="1">
      <c r="A461" s="2" t="s">
        <v>1171</v>
      </c>
      <c r="B461" s="2" t="s">
        <v>732</v>
      </c>
      <c r="C461" s="2" t="s">
        <v>69</v>
      </c>
      <c r="D461" s="3">
        <v>45724</v>
      </c>
      <c r="E461" s="3">
        <v>45730</v>
      </c>
      <c r="F461" s="4"/>
      <c r="G461" s="2" t="s">
        <v>22</v>
      </c>
      <c r="H461" s="2" t="s">
        <v>37</v>
      </c>
      <c r="I461" s="2" t="s">
        <v>178</v>
      </c>
      <c r="J461" s="2" t="s">
        <v>94</v>
      </c>
      <c r="K461" s="2">
        <v>770.33</v>
      </c>
      <c r="L461" s="2" t="str">
        <f t="shared" si="42"/>
        <v>March</v>
      </c>
      <c r="M461" s="2" t="str">
        <f t="shared" si="43"/>
        <v>March</v>
      </c>
      <c r="N461" t="str">
        <f t="shared" si="44"/>
        <v>Delivered</v>
      </c>
      <c r="O461">
        <f t="shared" si="45"/>
        <v>6</v>
      </c>
      <c r="P461" t="str">
        <f t="shared" si="46"/>
        <v>Completed</v>
      </c>
      <c r="Q461" t="str">
        <f t="shared" si="47"/>
        <v>Slow</v>
      </c>
      <c r="R461" t="str">
        <f>_xlfn.XLOOKUP(B461,CustomerMaster!$A$2:$A$287,CustomerMaster!$B$2:$B$287)</f>
        <v>Customer_246</v>
      </c>
      <c r="S461" t="str">
        <f>_xlfn.XLOOKUP(C461,ProductMaster!$A$2:$A$51,ProductMaster!$B$2:$B$51)</f>
        <v>Product_9</v>
      </c>
      <c r="T461" t="str">
        <f>_xlfn.XLOOKUP(G461,RegionMaster!$A$2:$A$5,RegionMaster!$B$2:$B$5)</f>
        <v>C</v>
      </c>
    </row>
    <row r="462" spans="1:20" ht="15.75" customHeight="1">
      <c r="A462" s="2" t="s">
        <v>1172</v>
      </c>
      <c r="B462" s="2" t="s">
        <v>662</v>
      </c>
      <c r="C462" s="2" t="s">
        <v>101</v>
      </c>
      <c r="D462" s="3">
        <v>45721</v>
      </c>
      <c r="E462" s="3">
        <v>45723</v>
      </c>
      <c r="F462" s="4"/>
      <c r="G462" s="2" t="s">
        <v>7</v>
      </c>
      <c r="H462" s="2" t="s">
        <v>16</v>
      </c>
      <c r="I462" s="2" t="s">
        <v>178</v>
      </c>
      <c r="J462" s="2" t="s">
        <v>94</v>
      </c>
      <c r="K462" s="2">
        <v>764.13</v>
      </c>
      <c r="L462" s="2" t="str">
        <f t="shared" si="42"/>
        <v>March</v>
      </c>
      <c r="M462" s="2" t="str">
        <f t="shared" si="43"/>
        <v>March</v>
      </c>
      <c r="N462" t="str">
        <f t="shared" si="44"/>
        <v>Delivered</v>
      </c>
      <c r="O462">
        <f t="shared" si="45"/>
        <v>2</v>
      </c>
      <c r="P462" t="str">
        <f t="shared" si="46"/>
        <v>Completed</v>
      </c>
      <c r="Q462" t="str">
        <f t="shared" si="47"/>
        <v>Fast</v>
      </c>
      <c r="R462" t="str">
        <f>_xlfn.XLOOKUP(B462,CustomerMaster!$A$2:$A$287,CustomerMaster!$B$2:$B$287)</f>
        <v>Customer_213</v>
      </c>
      <c r="S462" t="str">
        <f>_xlfn.XLOOKUP(C462,ProductMaster!$A$2:$A$51,ProductMaster!$B$2:$B$51)</f>
        <v>Product_27</v>
      </c>
      <c r="T462" t="str">
        <f>_xlfn.XLOOKUP(G462,RegionMaster!$A$2:$A$5,RegionMaster!$B$2:$B$5)</f>
        <v>A</v>
      </c>
    </row>
    <row r="463" spans="1:20" ht="15.75" customHeight="1">
      <c r="A463" s="2" t="s">
        <v>1173</v>
      </c>
      <c r="B463" s="2" t="s">
        <v>480</v>
      </c>
      <c r="C463" s="2" t="s">
        <v>102</v>
      </c>
      <c r="D463" s="3">
        <v>45715</v>
      </c>
      <c r="E463" s="3">
        <v>45718</v>
      </c>
      <c r="F463" s="4"/>
      <c r="G463" s="2" t="s">
        <v>7</v>
      </c>
      <c r="H463" s="2" t="s">
        <v>37</v>
      </c>
      <c r="I463" s="2" t="s">
        <v>106</v>
      </c>
      <c r="J463" s="2" t="s">
        <v>94</v>
      </c>
      <c r="K463" s="2">
        <v>3316.21</v>
      </c>
      <c r="L463" s="2" t="str">
        <f t="shared" si="42"/>
        <v>February</v>
      </c>
      <c r="M463" s="2" t="str">
        <f t="shared" si="43"/>
        <v>March</v>
      </c>
      <c r="N463" t="str">
        <f t="shared" si="44"/>
        <v>Delivered</v>
      </c>
      <c r="O463">
        <f t="shared" si="45"/>
        <v>3</v>
      </c>
      <c r="P463" t="str">
        <f t="shared" si="46"/>
        <v>Completed</v>
      </c>
      <c r="Q463" t="str">
        <f t="shared" si="47"/>
        <v>Slow</v>
      </c>
      <c r="R463" t="str">
        <f>_xlfn.XLOOKUP(B463,CustomerMaster!$A$2:$A$287,CustomerMaster!$B$2:$B$287)</f>
        <v>Customer_138</v>
      </c>
      <c r="S463" t="str">
        <f>_xlfn.XLOOKUP(C463,ProductMaster!$A$2:$A$51,ProductMaster!$B$2:$B$51)</f>
        <v>Product_18</v>
      </c>
      <c r="T463" t="str">
        <f>_xlfn.XLOOKUP(G463,RegionMaster!$A$2:$A$5,RegionMaster!$B$2:$B$5)</f>
        <v>A</v>
      </c>
    </row>
    <row r="464" spans="1:20" ht="15.75" customHeight="1">
      <c r="A464" s="2" t="s">
        <v>1174</v>
      </c>
      <c r="B464" s="2" t="s">
        <v>670</v>
      </c>
      <c r="C464" s="2" t="s">
        <v>122</v>
      </c>
      <c r="D464" s="3">
        <v>45672</v>
      </c>
      <c r="E464" s="3">
        <v>45677</v>
      </c>
      <c r="F464" s="4"/>
      <c r="G464" s="2" t="s">
        <v>22</v>
      </c>
      <c r="H464" s="2" t="s">
        <v>59</v>
      </c>
      <c r="I464" s="2" t="s">
        <v>195</v>
      </c>
      <c r="J464" s="2" t="s">
        <v>107</v>
      </c>
      <c r="K464" s="2">
        <v>3781.02</v>
      </c>
      <c r="L464" s="2" t="str">
        <f t="shared" si="42"/>
        <v>January</v>
      </c>
      <c r="M464" s="2" t="str">
        <f t="shared" si="43"/>
        <v>January</v>
      </c>
      <c r="N464" t="str">
        <f t="shared" si="44"/>
        <v>Delivered</v>
      </c>
      <c r="O464">
        <f t="shared" si="45"/>
        <v>5</v>
      </c>
      <c r="P464" t="str">
        <f t="shared" si="46"/>
        <v>Completed</v>
      </c>
      <c r="Q464" t="str">
        <f t="shared" si="47"/>
        <v>Slow</v>
      </c>
      <c r="R464" t="str">
        <f>_xlfn.XLOOKUP(B464,CustomerMaster!$A$2:$A$287,CustomerMaster!$B$2:$B$287)</f>
        <v>Customer_217</v>
      </c>
      <c r="S464" t="str">
        <f>_xlfn.XLOOKUP(C464,ProductMaster!$A$2:$A$51,ProductMaster!$B$2:$B$51)</f>
        <v>Product_23</v>
      </c>
      <c r="T464" t="str">
        <f>_xlfn.XLOOKUP(G464,RegionMaster!$A$2:$A$5,RegionMaster!$B$2:$B$5)</f>
        <v>C</v>
      </c>
    </row>
    <row r="465" spans="1:20" ht="15.75" customHeight="1">
      <c r="A465" s="2" t="s">
        <v>1175</v>
      </c>
      <c r="B465" s="2" t="s">
        <v>480</v>
      </c>
      <c r="C465" s="2" t="s">
        <v>172</v>
      </c>
      <c r="D465" s="3">
        <v>45721</v>
      </c>
      <c r="E465" s="3">
        <v>45725</v>
      </c>
      <c r="F465" s="4"/>
      <c r="G465" s="2" t="s">
        <v>17</v>
      </c>
      <c r="H465" s="2" t="s">
        <v>16</v>
      </c>
      <c r="I465" s="2" t="s">
        <v>90</v>
      </c>
      <c r="J465" s="2" t="s">
        <v>107</v>
      </c>
      <c r="K465" s="2">
        <v>3000.17</v>
      </c>
      <c r="L465" s="2" t="str">
        <f t="shared" si="42"/>
        <v>March</v>
      </c>
      <c r="M465" s="2" t="str">
        <f t="shared" si="43"/>
        <v>March</v>
      </c>
      <c r="N465" t="str">
        <f t="shared" si="44"/>
        <v>Delivered</v>
      </c>
      <c r="O465">
        <f t="shared" si="45"/>
        <v>4</v>
      </c>
      <c r="P465" t="str">
        <f t="shared" si="46"/>
        <v>Completed</v>
      </c>
      <c r="Q465" t="str">
        <f t="shared" si="47"/>
        <v>Slow</v>
      </c>
      <c r="R465" t="str">
        <f>_xlfn.XLOOKUP(B465,CustomerMaster!$A$2:$A$287,CustomerMaster!$B$2:$B$287)</f>
        <v>Customer_138</v>
      </c>
      <c r="S465" t="str">
        <f>_xlfn.XLOOKUP(C465,ProductMaster!$A$2:$A$51,ProductMaster!$B$2:$B$51)</f>
        <v>Product_39</v>
      </c>
      <c r="T465" t="str">
        <f>_xlfn.XLOOKUP(G465,RegionMaster!$A$2:$A$5,RegionMaster!$B$2:$B$5)</f>
        <v>B</v>
      </c>
    </row>
    <row r="466" spans="1:20" ht="15.75" customHeight="1">
      <c r="A466" s="2" t="s">
        <v>1176</v>
      </c>
      <c r="B466" s="2" t="s">
        <v>292</v>
      </c>
      <c r="C466" s="2" t="s">
        <v>118</v>
      </c>
      <c r="D466" s="3">
        <v>45658</v>
      </c>
      <c r="E466" s="4"/>
      <c r="F466" s="3">
        <v>45660</v>
      </c>
      <c r="G466" s="2" t="s">
        <v>22</v>
      </c>
      <c r="H466" s="2" t="s">
        <v>37</v>
      </c>
      <c r="I466" s="2" t="s">
        <v>106</v>
      </c>
      <c r="J466" s="2" t="s">
        <v>94</v>
      </c>
      <c r="K466" s="2">
        <v>4818.43</v>
      </c>
      <c r="L466" s="2" t="str">
        <f t="shared" si="42"/>
        <v>January</v>
      </c>
      <c r="M466" s="2" t="str">
        <f t="shared" si="43"/>
        <v>Cancelled</v>
      </c>
      <c r="N466" t="str">
        <f t="shared" si="44"/>
        <v>Cancelled</v>
      </c>
      <c r="O466" t="str">
        <f t="shared" si="45"/>
        <v>Order Cancelled</v>
      </c>
      <c r="P466" t="str">
        <f t="shared" si="46"/>
        <v>Cancelled</v>
      </c>
      <c r="Q466" t="str">
        <f t="shared" si="47"/>
        <v>Cancelled</v>
      </c>
      <c r="R466" t="str">
        <f>_xlfn.XLOOKUP(B466,CustomerMaster!$A$2:$A$287,CustomerMaster!$B$2:$B$287)</f>
        <v>Customer_57</v>
      </c>
      <c r="S466" t="str">
        <f>_xlfn.XLOOKUP(C466,ProductMaster!$A$2:$A$51,ProductMaster!$B$2:$B$51)</f>
        <v>Product_22</v>
      </c>
      <c r="T466" t="str">
        <f>_xlfn.XLOOKUP(G466,RegionMaster!$A$2:$A$5,RegionMaster!$B$2:$B$5)</f>
        <v>C</v>
      </c>
    </row>
    <row r="467" spans="1:20" ht="15.75" customHeight="1">
      <c r="A467" s="2" t="s">
        <v>1177</v>
      </c>
      <c r="B467" s="2" t="s">
        <v>459</v>
      </c>
      <c r="C467" s="2" t="s">
        <v>32</v>
      </c>
      <c r="D467" s="3">
        <v>45707</v>
      </c>
      <c r="E467" s="4"/>
      <c r="F467" s="3">
        <v>45707</v>
      </c>
      <c r="G467" s="2" t="s">
        <v>45</v>
      </c>
      <c r="H467" s="2" t="s">
        <v>59</v>
      </c>
      <c r="I467" s="2" t="s">
        <v>178</v>
      </c>
      <c r="J467" s="2" t="s">
        <v>133</v>
      </c>
      <c r="K467" s="2">
        <v>1999.38</v>
      </c>
      <c r="L467" s="2" t="str">
        <f t="shared" si="42"/>
        <v>February</v>
      </c>
      <c r="M467" s="2" t="str">
        <f t="shared" si="43"/>
        <v>Cancelled</v>
      </c>
      <c r="N467" t="str">
        <f t="shared" si="44"/>
        <v>Cancelled</v>
      </c>
      <c r="O467" t="str">
        <f t="shared" si="45"/>
        <v>Order Cancelled</v>
      </c>
      <c r="P467" t="str">
        <f t="shared" si="46"/>
        <v>Cancelled</v>
      </c>
      <c r="Q467" t="str">
        <f t="shared" si="47"/>
        <v>Cancelled</v>
      </c>
      <c r="R467" t="str">
        <f>_xlfn.XLOOKUP(B467,CustomerMaster!$A$2:$A$287,CustomerMaster!$B$2:$B$287)</f>
        <v>Customer_129</v>
      </c>
      <c r="S467" t="str">
        <f>_xlfn.XLOOKUP(C467,ProductMaster!$A$2:$A$51,ProductMaster!$B$2:$B$51)</f>
        <v>Product_3</v>
      </c>
      <c r="T467" t="str">
        <f>_xlfn.XLOOKUP(G467,RegionMaster!$A$2:$A$5,RegionMaster!$B$2:$B$5)</f>
        <v>D</v>
      </c>
    </row>
    <row r="468" spans="1:20" ht="15.75" customHeight="1">
      <c r="A468" s="2" t="s">
        <v>1178</v>
      </c>
      <c r="B468" s="2" t="s">
        <v>639</v>
      </c>
      <c r="C468" s="2" t="s">
        <v>213</v>
      </c>
      <c r="D468" s="3">
        <v>45706</v>
      </c>
      <c r="E468" s="4"/>
      <c r="F468" s="3">
        <v>45708</v>
      </c>
      <c r="G468" s="2" t="s">
        <v>45</v>
      </c>
      <c r="H468" s="2" t="s">
        <v>16</v>
      </c>
      <c r="I468" s="2" t="s">
        <v>106</v>
      </c>
      <c r="J468" s="2" t="s">
        <v>133</v>
      </c>
      <c r="K468" s="2">
        <v>1571.42</v>
      </c>
      <c r="L468" s="2" t="str">
        <f t="shared" si="42"/>
        <v>February</v>
      </c>
      <c r="M468" s="2" t="str">
        <f t="shared" si="43"/>
        <v>Cancelled</v>
      </c>
      <c r="N468" t="str">
        <f t="shared" si="44"/>
        <v>Cancelled</v>
      </c>
      <c r="O468" t="str">
        <f t="shared" si="45"/>
        <v>Order Cancelled</v>
      </c>
      <c r="P468" t="str">
        <f t="shared" si="46"/>
        <v>Cancelled</v>
      </c>
      <c r="Q468" t="str">
        <f t="shared" si="47"/>
        <v>Cancelled</v>
      </c>
      <c r="R468" t="str">
        <f>_xlfn.XLOOKUP(B468,CustomerMaster!$A$2:$A$287,CustomerMaster!$B$2:$B$287)</f>
        <v>Customer_204</v>
      </c>
      <c r="S468" t="str">
        <f>_xlfn.XLOOKUP(C468,ProductMaster!$A$2:$A$51,ProductMaster!$B$2:$B$51)</f>
        <v>Product_49</v>
      </c>
      <c r="T468" t="str">
        <f>_xlfn.XLOOKUP(G468,RegionMaster!$A$2:$A$5,RegionMaster!$B$2:$B$5)</f>
        <v>D</v>
      </c>
    </row>
    <row r="469" spans="1:20" ht="15.75" customHeight="1">
      <c r="A469" s="2" t="s">
        <v>1179</v>
      </c>
      <c r="B469" s="2" t="s">
        <v>254</v>
      </c>
      <c r="C469" s="2" t="s">
        <v>204</v>
      </c>
      <c r="D469" s="3">
        <v>45683</v>
      </c>
      <c r="E469" s="3">
        <v>45689</v>
      </c>
      <c r="F469" s="4"/>
      <c r="G469" s="2" t="s">
        <v>17</v>
      </c>
      <c r="H469" s="2" t="s">
        <v>27</v>
      </c>
      <c r="I469" s="2" t="s">
        <v>121</v>
      </c>
      <c r="J469" s="2" t="s">
        <v>94</v>
      </c>
      <c r="K469" s="2">
        <v>4369.28</v>
      </c>
      <c r="L469" s="2" t="str">
        <f t="shared" si="42"/>
        <v>January</v>
      </c>
      <c r="M469" s="2" t="str">
        <f t="shared" si="43"/>
        <v>February</v>
      </c>
      <c r="N469" t="str">
        <f t="shared" si="44"/>
        <v>Delivered</v>
      </c>
      <c r="O469">
        <f t="shared" si="45"/>
        <v>6</v>
      </c>
      <c r="P469" t="str">
        <f t="shared" si="46"/>
        <v>Completed</v>
      </c>
      <c r="Q469" t="str">
        <f t="shared" si="47"/>
        <v>Slow</v>
      </c>
      <c r="R469" t="str">
        <f>_xlfn.XLOOKUP(B469,CustomerMaster!$A$2:$A$287,CustomerMaster!$B$2:$B$287)</f>
        <v>Customer_218</v>
      </c>
      <c r="S469" t="str">
        <f>_xlfn.XLOOKUP(C469,ProductMaster!$A$2:$A$51,ProductMaster!$B$2:$B$51)</f>
        <v>Product_46</v>
      </c>
      <c r="T469" t="str">
        <f>_xlfn.XLOOKUP(G469,RegionMaster!$A$2:$A$5,RegionMaster!$B$2:$B$5)</f>
        <v>B</v>
      </c>
    </row>
    <row r="470" spans="1:20" ht="15.75" customHeight="1">
      <c r="A470" s="2" t="s">
        <v>1180</v>
      </c>
      <c r="B470" s="2" t="s">
        <v>149</v>
      </c>
      <c r="C470" s="2" t="s">
        <v>114</v>
      </c>
      <c r="D470" s="3">
        <v>45689</v>
      </c>
      <c r="E470" s="3">
        <v>45691</v>
      </c>
      <c r="F470" s="4"/>
      <c r="G470" s="2" t="s">
        <v>22</v>
      </c>
      <c r="H470" s="2" t="s">
        <v>27</v>
      </c>
      <c r="I470" s="2" t="s">
        <v>90</v>
      </c>
      <c r="J470" s="2" t="s">
        <v>94</v>
      </c>
      <c r="K470" s="2">
        <v>1273.26</v>
      </c>
      <c r="L470" s="2" t="str">
        <f t="shared" si="42"/>
        <v>February</v>
      </c>
      <c r="M470" s="2" t="str">
        <f t="shared" si="43"/>
        <v>February</v>
      </c>
      <c r="N470" t="str">
        <f t="shared" si="44"/>
        <v>Delivered</v>
      </c>
      <c r="O470">
        <f t="shared" si="45"/>
        <v>2</v>
      </c>
      <c r="P470" t="str">
        <f t="shared" si="46"/>
        <v>Completed</v>
      </c>
      <c r="Q470" t="str">
        <f t="shared" si="47"/>
        <v>Fast</v>
      </c>
      <c r="R470" t="str">
        <f>_xlfn.XLOOKUP(B470,CustomerMaster!$A$2:$A$287,CustomerMaster!$B$2:$B$287)</f>
        <v>Customer_19</v>
      </c>
      <c r="S470" t="str">
        <f>_xlfn.XLOOKUP(C470,ProductMaster!$A$2:$A$51,ProductMaster!$B$2:$B$51)</f>
        <v>Product_21</v>
      </c>
      <c r="T470" t="str">
        <f>_xlfn.XLOOKUP(G470,RegionMaster!$A$2:$A$5,RegionMaster!$B$2:$B$5)</f>
        <v>C</v>
      </c>
    </row>
    <row r="471" spans="1:20" ht="15.75" customHeight="1">
      <c r="A471" s="2" t="s">
        <v>1181</v>
      </c>
      <c r="B471" s="2" t="s">
        <v>216</v>
      </c>
      <c r="C471" s="2" t="s">
        <v>43</v>
      </c>
      <c r="D471" s="3">
        <v>45720</v>
      </c>
      <c r="E471" s="3">
        <v>45725</v>
      </c>
      <c r="F471" s="4"/>
      <c r="G471" s="2" t="s">
        <v>22</v>
      </c>
      <c r="H471" s="2" t="s">
        <v>27</v>
      </c>
      <c r="I471" s="2" t="s">
        <v>178</v>
      </c>
      <c r="J471" s="2" t="s">
        <v>94</v>
      </c>
      <c r="K471" s="2">
        <v>4823.47</v>
      </c>
      <c r="L471" s="2" t="str">
        <f t="shared" si="42"/>
        <v>March</v>
      </c>
      <c r="M471" s="2" t="str">
        <f t="shared" si="43"/>
        <v>March</v>
      </c>
      <c r="N471" t="str">
        <f t="shared" si="44"/>
        <v>Delivered</v>
      </c>
      <c r="O471">
        <f t="shared" si="45"/>
        <v>5</v>
      </c>
      <c r="P471" t="str">
        <f t="shared" si="46"/>
        <v>Completed</v>
      </c>
      <c r="Q471" t="str">
        <f t="shared" si="47"/>
        <v>Slow</v>
      </c>
      <c r="R471" t="str">
        <f>_xlfn.XLOOKUP(B471,CustomerMaster!$A$2:$A$287,CustomerMaster!$B$2:$B$287)</f>
        <v>Customer_29</v>
      </c>
      <c r="S471" t="str">
        <f>_xlfn.XLOOKUP(C471,ProductMaster!$A$2:$A$51,ProductMaster!$B$2:$B$51)</f>
        <v>Product_5</v>
      </c>
      <c r="T471" t="str">
        <f>_xlfn.XLOOKUP(G471,RegionMaster!$A$2:$A$5,RegionMaster!$B$2:$B$5)</f>
        <v>C</v>
      </c>
    </row>
    <row r="472" spans="1:20" ht="15.75" customHeight="1">
      <c r="A472" s="2" t="s">
        <v>1182</v>
      </c>
      <c r="B472" s="2" t="s">
        <v>407</v>
      </c>
      <c r="C472" s="2" t="s">
        <v>148</v>
      </c>
      <c r="D472" s="3">
        <v>45665</v>
      </c>
      <c r="E472" s="3">
        <v>45669</v>
      </c>
      <c r="F472" s="4"/>
      <c r="G472" s="2" t="s">
        <v>17</v>
      </c>
      <c r="H472" s="2" t="s">
        <v>27</v>
      </c>
      <c r="I472" s="2" t="s">
        <v>90</v>
      </c>
      <c r="J472" s="2" t="s">
        <v>94</v>
      </c>
      <c r="K472" s="2">
        <v>258.33999999999997</v>
      </c>
      <c r="L472" s="2" t="str">
        <f t="shared" si="42"/>
        <v>January</v>
      </c>
      <c r="M472" s="2" t="str">
        <f t="shared" si="43"/>
        <v>January</v>
      </c>
      <c r="N472" t="str">
        <f t="shared" si="44"/>
        <v>Delivered</v>
      </c>
      <c r="O472">
        <f t="shared" si="45"/>
        <v>4</v>
      </c>
      <c r="P472" t="str">
        <f t="shared" si="46"/>
        <v>Completed</v>
      </c>
      <c r="Q472" t="str">
        <f t="shared" si="47"/>
        <v>Slow</v>
      </c>
      <c r="R472" t="str">
        <f>_xlfn.XLOOKUP(B472,CustomerMaster!$A$2:$A$287,CustomerMaster!$B$2:$B$287)</f>
        <v>Customer_215</v>
      </c>
      <c r="S472" t="str">
        <f>_xlfn.XLOOKUP(C472,ProductMaster!$A$2:$A$51,ProductMaster!$B$2:$B$51)</f>
        <v>Product_31</v>
      </c>
      <c r="T472" t="str">
        <f>_xlfn.XLOOKUP(G472,RegionMaster!$A$2:$A$5,RegionMaster!$B$2:$B$5)</f>
        <v>B</v>
      </c>
    </row>
    <row r="473" spans="1:20" ht="15.75" customHeight="1">
      <c r="A473" s="2" t="s">
        <v>1183</v>
      </c>
      <c r="B473" s="2" t="s">
        <v>608</v>
      </c>
      <c r="C473" s="2" t="s">
        <v>29</v>
      </c>
      <c r="D473" s="3">
        <v>45686</v>
      </c>
      <c r="E473" s="3">
        <v>45692</v>
      </c>
      <c r="F473" s="4"/>
      <c r="G473" s="2" t="s">
        <v>45</v>
      </c>
      <c r="H473" s="2" t="s">
        <v>54</v>
      </c>
      <c r="I473" s="2" t="s">
        <v>195</v>
      </c>
      <c r="J473" s="2" t="s">
        <v>94</v>
      </c>
      <c r="K473" s="2">
        <v>4855.42</v>
      </c>
      <c r="L473" s="2" t="str">
        <f t="shared" si="42"/>
        <v>January</v>
      </c>
      <c r="M473" s="2" t="str">
        <f t="shared" si="43"/>
        <v>February</v>
      </c>
      <c r="N473" t="str">
        <f t="shared" si="44"/>
        <v>Delivered</v>
      </c>
      <c r="O473">
        <f t="shared" si="45"/>
        <v>6</v>
      </c>
      <c r="P473" t="str">
        <f t="shared" si="46"/>
        <v>Completed</v>
      </c>
      <c r="Q473" t="str">
        <f t="shared" si="47"/>
        <v>Slow</v>
      </c>
      <c r="R473" t="str">
        <f>_xlfn.XLOOKUP(B473,CustomerMaster!$A$2:$A$287,CustomerMaster!$B$2:$B$287)</f>
        <v>Customer_190</v>
      </c>
      <c r="S473" t="str">
        <f>_xlfn.XLOOKUP(C473,ProductMaster!$A$2:$A$51,ProductMaster!$B$2:$B$51)</f>
        <v>Product_2</v>
      </c>
      <c r="T473" t="str">
        <f>_xlfn.XLOOKUP(G473,RegionMaster!$A$2:$A$5,RegionMaster!$B$2:$B$5)</f>
        <v>D</v>
      </c>
    </row>
    <row r="474" spans="1:20" ht="15.75" customHeight="1">
      <c r="A474" s="2" t="s">
        <v>1184</v>
      </c>
      <c r="B474" s="2" t="s">
        <v>597</v>
      </c>
      <c r="C474" s="2" t="s">
        <v>114</v>
      </c>
      <c r="D474" s="3">
        <v>45702</v>
      </c>
      <c r="E474" s="4"/>
      <c r="F474" s="3">
        <v>45703</v>
      </c>
      <c r="G474" s="2" t="s">
        <v>22</v>
      </c>
      <c r="H474" s="2" t="s">
        <v>54</v>
      </c>
      <c r="I474" s="2" t="s">
        <v>106</v>
      </c>
      <c r="J474" s="2" t="s">
        <v>107</v>
      </c>
      <c r="K474" s="2">
        <v>407.17</v>
      </c>
      <c r="L474" s="2" t="str">
        <f t="shared" si="42"/>
        <v>February</v>
      </c>
      <c r="M474" s="2" t="str">
        <f t="shared" si="43"/>
        <v>Cancelled</v>
      </c>
      <c r="N474" t="str">
        <f t="shared" si="44"/>
        <v>Cancelled</v>
      </c>
      <c r="O474" t="str">
        <f t="shared" si="45"/>
        <v>Order Cancelled</v>
      </c>
      <c r="P474" t="str">
        <f t="shared" si="46"/>
        <v>Cancelled</v>
      </c>
      <c r="Q474" t="str">
        <f t="shared" si="47"/>
        <v>Cancelled</v>
      </c>
      <c r="R474" t="str">
        <f>_xlfn.XLOOKUP(B474,CustomerMaster!$A$2:$A$287,CustomerMaster!$B$2:$B$287)</f>
        <v>Customer_186</v>
      </c>
      <c r="S474" t="str">
        <f>_xlfn.XLOOKUP(C474,ProductMaster!$A$2:$A$51,ProductMaster!$B$2:$B$51)</f>
        <v>Product_21</v>
      </c>
      <c r="T474" t="str">
        <f>_xlfn.XLOOKUP(G474,RegionMaster!$A$2:$A$5,RegionMaster!$B$2:$B$5)</f>
        <v>C</v>
      </c>
    </row>
    <row r="475" spans="1:20" ht="15.75" customHeight="1">
      <c r="A475" s="2" t="s">
        <v>1185</v>
      </c>
      <c r="B475" s="2" t="s">
        <v>633</v>
      </c>
      <c r="C475" s="2" t="s">
        <v>191</v>
      </c>
      <c r="D475" s="3">
        <v>45765</v>
      </c>
      <c r="E475" s="3">
        <v>45768</v>
      </c>
      <c r="F475" s="4"/>
      <c r="G475" s="2" t="s">
        <v>7</v>
      </c>
      <c r="H475" s="2" t="s">
        <v>54</v>
      </c>
      <c r="I475" s="2" t="s">
        <v>90</v>
      </c>
      <c r="J475" s="2" t="s">
        <v>133</v>
      </c>
      <c r="K475" s="2">
        <v>4477.49</v>
      </c>
      <c r="L475" s="2" t="str">
        <f t="shared" si="42"/>
        <v>April</v>
      </c>
      <c r="M475" s="2" t="str">
        <f t="shared" si="43"/>
        <v>April</v>
      </c>
      <c r="N475" t="str">
        <f t="shared" si="44"/>
        <v>Delivered</v>
      </c>
      <c r="O475">
        <f t="shared" si="45"/>
        <v>3</v>
      </c>
      <c r="P475" t="str">
        <f t="shared" si="46"/>
        <v>Completed</v>
      </c>
      <c r="Q475" t="str">
        <f t="shared" si="47"/>
        <v>Slow</v>
      </c>
      <c r="R475" t="str">
        <f>_xlfn.XLOOKUP(B475,CustomerMaster!$A$2:$A$287,CustomerMaster!$B$2:$B$287)</f>
        <v>Customer_202</v>
      </c>
      <c r="S475" t="str">
        <f>_xlfn.XLOOKUP(C475,ProductMaster!$A$2:$A$51,ProductMaster!$B$2:$B$51)</f>
        <v>Product_43</v>
      </c>
      <c r="T475" t="str">
        <f>_xlfn.XLOOKUP(G475,RegionMaster!$A$2:$A$5,RegionMaster!$B$2:$B$5)</f>
        <v>A</v>
      </c>
    </row>
    <row r="476" spans="1:20" ht="15.75" customHeight="1">
      <c r="A476" s="2" t="s">
        <v>1186</v>
      </c>
      <c r="B476" s="2" t="s">
        <v>419</v>
      </c>
      <c r="C476" s="2" t="s">
        <v>63</v>
      </c>
      <c r="D476" s="3">
        <v>45700</v>
      </c>
      <c r="E476" s="3">
        <v>45701</v>
      </c>
      <c r="F476" s="4"/>
      <c r="G476" s="2" t="s">
        <v>17</v>
      </c>
      <c r="H476" s="2" t="s">
        <v>59</v>
      </c>
      <c r="I476" s="2" t="s">
        <v>195</v>
      </c>
      <c r="J476" s="2" t="s">
        <v>133</v>
      </c>
      <c r="K476" s="2">
        <v>2732.97</v>
      </c>
      <c r="L476" s="2" t="str">
        <f t="shared" si="42"/>
        <v>February</v>
      </c>
      <c r="M476" s="2" t="str">
        <f t="shared" si="43"/>
        <v>February</v>
      </c>
      <c r="N476" t="str">
        <f t="shared" si="44"/>
        <v>Delivered</v>
      </c>
      <c r="O476">
        <f t="shared" si="45"/>
        <v>1</v>
      </c>
      <c r="P476" t="str">
        <f t="shared" si="46"/>
        <v>Completed</v>
      </c>
      <c r="Q476" t="str">
        <f t="shared" si="47"/>
        <v>Fast</v>
      </c>
      <c r="R476" t="str">
        <f>_xlfn.XLOOKUP(B476,CustomerMaster!$A$2:$A$287,CustomerMaster!$B$2:$B$287)</f>
        <v>Customer_113</v>
      </c>
      <c r="S476" t="str">
        <f>_xlfn.XLOOKUP(C476,ProductMaster!$A$2:$A$51,ProductMaster!$B$2:$B$51)</f>
        <v>Product_8</v>
      </c>
      <c r="T476" t="str">
        <f>_xlfn.XLOOKUP(G476,RegionMaster!$A$2:$A$5,RegionMaster!$B$2:$B$5)</f>
        <v>B</v>
      </c>
    </row>
    <row r="477" spans="1:20" ht="15.75" customHeight="1">
      <c r="A477" s="2" t="s">
        <v>1187</v>
      </c>
      <c r="B477" s="2" t="s">
        <v>600</v>
      </c>
      <c r="C477" s="2" t="s">
        <v>160</v>
      </c>
      <c r="D477" s="3">
        <v>45672</v>
      </c>
      <c r="E477" s="3">
        <v>45673</v>
      </c>
      <c r="F477" s="4"/>
      <c r="G477" s="2" t="s">
        <v>17</v>
      </c>
      <c r="H477" s="2" t="s">
        <v>37</v>
      </c>
      <c r="I477" s="2" t="s">
        <v>106</v>
      </c>
      <c r="J477" s="2" t="s">
        <v>133</v>
      </c>
      <c r="K477" s="2">
        <v>4966.2299999999996</v>
      </c>
      <c r="L477" s="2" t="str">
        <f t="shared" si="42"/>
        <v>January</v>
      </c>
      <c r="M477" s="2" t="str">
        <f t="shared" si="43"/>
        <v>January</v>
      </c>
      <c r="N477" t="str">
        <f t="shared" si="44"/>
        <v>Delivered</v>
      </c>
      <c r="O477">
        <f t="shared" si="45"/>
        <v>1</v>
      </c>
      <c r="P477" t="str">
        <f t="shared" si="46"/>
        <v>Completed</v>
      </c>
      <c r="Q477" t="str">
        <f t="shared" si="47"/>
        <v>Fast</v>
      </c>
      <c r="R477" t="str">
        <f>_xlfn.XLOOKUP(B477,CustomerMaster!$A$2:$A$287,CustomerMaster!$B$2:$B$287)</f>
        <v>Customer_233</v>
      </c>
      <c r="S477" t="str">
        <f>_xlfn.XLOOKUP(C477,ProductMaster!$A$2:$A$51,ProductMaster!$B$2:$B$51)</f>
        <v>Product_34</v>
      </c>
      <c r="T477" t="str">
        <f>_xlfn.XLOOKUP(G477,RegionMaster!$A$2:$A$5,RegionMaster!$B$2:$B$5)</f>
        <v>B</v>
      </c>
    </row>
    <row r="478" spans="1:20" ht="15.75" customHeight="1">
      <c r="A478" s="2" t="s">
        <v>1188</v>
      </c>
      <c r="B478" s="2" t="s">
        <v>139</v>
      </c>
      <c r="C478" s="2" t="s">
        <v>199</v>
      </c>
      <c r="D478" s="3">
        <v>45679</v>
      </c>
      <c r="E478" s="3">
        <v>45684</v>
      </c>
      <c r="F478" s="4"/>
      <c r="G478" s="2" t="s">
        <v>22</v>
      </c>
      <c r="H478" s="2" t="s">
        <v>54</v>
      </c>
      <c r="I478" s="2" t="s">
        <v>90</v>
      </c>
      <c r="J478" s="2" t="s">
        <v>133</v>
      </c>
      <c r="K478" s="2">
        <v>554.22</v>
      </c>
      <c r="L478" s="2" t="str">
        <f t="shared" si="42"/>
        <v>January</v>
      </c>
      <c r="M478" s="2" t="str">
        <f t="shared" si="43"/>
        <v>January</v>
      </c>
      <c r="N478" t="str">
        <f t="shared" si="44"/>
        <v>Delivered</v>
      </c>
      <c r="O478">
        <f t="shared" si="45"/>
        <v>5</v>
      </c>
      <c r="P478" t="str">
        <f t="shared" si="46"/>
        <v>Completed</v>
      </c>
      <c r="Q478" t="str">
        <f t="shared" si="47"/>
        <v>Slow</v>
      </c>
      <c r="R478" t="str">
        <f>_xlfn.XLOOKUP(B478,CustomerMaster!$A$2:$A$287,CustomerMaster!$B$2:$B$287)</f>
        <v>Customer_232</v>
      </c>
      <c r="S478" t="str">
        <f>_xlfn.XLOOKUP(C478,ProductMaster!$A$2:$A$51,ProductMaster!$B$2:$B$51)</f>
        <v>Product_45</v>
      </c>
      <c r="T478" t="str">
        <f>_xlfn.XLOOKUP(G478,RegionMaster!$A$2:$A$5,RegionMaster!$B$2:$B$5)</f>
        <v>C</v>
      </c>
    </row>
    <row r="479" spans="1:20" ht="15.75" customHeight="1">
      <c r="A479" s="2" t="s">
        <v>1189</v>
      </c>
      <c r="B479" s="2" t="s">
        <v>796</v>
      </c>
      <c r="C479" s="2" t="s">
        <v>118</v>
      </c>
      <c r="D479" s="3">
        <v>45674</v>
      </c>
      <c r="E479" s="3">
        <v>45678</v>
      </c>
      <c r="F479" s="4"/>
      <c r="G479" s="2" t="s">
        <v>17</v>
      </c>
      <c r="H479" s="2" t="s">
        <v>16</v>
      </c>
      <c r="I479" s="2" t="s">
        <v>195</v>
      </c>
      <c r="J479" s="2" t="s">
        <v>107</v>
      </c>
      <c r="K479" s="2">
        <v>2858.5</v>
      </c>
      <c r="L479" s="2" t="str">
        <f t="shared" si="42"/>
        <v>January</v>
      </c>
      <c r="M479" s="2" t="str">
        <f t="shared" si="43"/>
        <v>January</v>
      </c>
      <c r="N479" t="str">
        <f t="shared" si="44"/>
        <v>Delivered</v>
      </c>
      <c r="O479">
        <f t="shared" si="45"/>
        <v>4</v>
      </c>
      <c r="P479" t="str">
        <f t="shared" si="46"/>
        <v>Completed</v>
      </c>
      <c r="Q479" t="str">
        <f t="shared" si="47"/>
        <v>Slow</v>
      </c>
      <c r="R479" t="str">
        <f>_xlfn.XLOOKUP(B479,CustomerMaster!$A$2:$A$287,CustomerMaster!$B$2:$B$287)</f>
        <v>Customer_282</v>
      </c>
      <c r="S479" t="str">
        <f>_xlfn.XLOOKUP(C479,ProductMaster!$A$2:$A$51,ProductMaster!$B$2:$B$51)</f>
        <v>Product_22</v>
      </c>
      <c r="T479" t="str">
        <f>_xlfn.XLOOKUP(G479,RegionMaster!$A$2:$A$5,RegionMaster!$B$2:$B$5)</f>
        <v>B</v>
      </c>
    </row>
    <row r="480" spans="1:20" ht="15.75" customHeight="1">
      <c r="A480" s="2" t="s">
        <v>1190</v>
      </c>
      <c r="B480" s="2" t="s">
        <v>392</v>
      </c>
      <c r="C480" s="2" t="s">
        <v>56</v>
      </c>
      <c r="D480" s="3">
        <v>45670</v>
      </c>
      <c r="E480" s="4"/>
      <c r="F480" s="3">
        <v>45672</v>
      </c>
      <c r="G480" s="2" t="s">
        <v>45</v>
      </c>
      <c r="H480" s="2" t="s">
        <v>27</v>
      </c>
      <c r="I480" s="2" t="s">
        <v>90</v>
      </c>
      <c r="J480" s="2" t="s">
        <v>133</v>
      </c>
      <c r="K480" s="2">
        <v>4852.6499999999996</v>
      </c>
      <c r="L480" s="2" t="str">
        <f t="shared" si="42"/>
        <v>January</v>
      </c>
      <c r="M480" s="2" t="str">
        <f t="shared" si="43"/>
        <v>Cancelled</v>
      </c>
      <c r="N480" t="str">
        <f t="shared" si="44"/>
        <v>Cancelled</v>
      </c>
      <c r="O480" t="str">
        <f t="shared" si="45"/>
        <v>Order Cancelled</v>
      </c>
      <c r="P480" t="str">
        <f t="shared" si="46"/>
        <v>Cancelled</v>
      </c>
      <c r="Q480" t="str">
        <f t="shared" si="47"/>
        <v>Cancelled</v>
      </c>
      <c r="R480" t="str">
        <f>_xlfn.XLOOKUP(B480,CustomerMaster!$A$2:$A$287,CustomerMaster!$B$2:$B$287)</f>
        <v>Customer_101</v>
      </c>
      <c r="S480" t="str">
        <f>_xlfn.XLOOKUP(C480,ProductMaster!$A$2:$A$51,ProductMaster!$B$2:$B$51)</f>
        <v>Product_7</v>
      </c>
      <c r="T480" t="str">
        <f>_xlfn.XLOOKUP(G480,RegionMaster!$A$2:$A$5,RegionMaster!$B$2:$B$5)</f>
        <v>D</v>
      </c>
    </row>
    <row r="481" spans="1:20" ht="15.75" customHeight="1">
      <c r="A481" s="2" t="s">
        <v>1191</v>
      </c>
      <c r="B481" s="2" t="s">
        <v>399</v>
      </c>
      <c r="C481" s="2" t="s">
        <v>210</v>
      </c>
      <c r="D481" s="3">
        <v>45748</v>
      </c>
      <c r="E481" s="3">
        <v>45753</v>
      </c>
      <c r="F481" s="4"/>
      <c r="G481" s="2" t="s">
        <v>45</v>
      </c>
      <c r="H481" s="2" t="s">
        <v>37</v>
      </c>
      <c r="I481" s="2" t="s">
        <v>90</v>
      </c>
      <c r="J481" s="2" t="s">
        <v>94</v>
      </c>
      <c r="K481" s="2">
        <v>2710.87</v>
      </c>
      <c r="L481" s="2" t="str">
        <f t="shared" si="42"/>
        <v>April</v>
      </c>
      <c r="M481" s="2" t="str">
        <f t="shared" si="43"/>
        <v>April</v>
      </c>
      <c r="N481" t="str">
        <f t="shared" si="44"/>
        <v>Delivered</v>
      </c>
      <c r="O481">
        <f t="shared" si="45"/>
        <v>5</v>
      </c>
      <c r="P481" t="str">
        <f t="shared" si="46"/>
        <v>Completed</v>
      </c>
      <c r="Q481" t="str">
        <f t="shared" si="47"/>
        <v>Slow</v>
      </c>
      <c r="R481" t="str">
        <f>_xlfn.XLOOKUP(B481,CustomerMaster!$A$2:$A$287,CustomerMaster!$B$2:$B$287)</f>
        <v>Customer_104</v>
      </c>
      <c r="S481" t="str">
        <f>_xlfn.XLOOKUP(C481,ProductMaster!$A$2:$A$51,ProductMaster!$B$2:$B$51)</f>
        <v>Product_48</v>
      </c>
      <c r="T481" t="str">
        <f>_xlfn.XLOOKUP(G481,RegionMaster!$A$2:$A$5,RegionMaster!$B$2:$B$5)</f>
        <v>D</v>
      </c>
    </row>
    <row r="482" spans="1:20" ht="15.75" customHeight="1">
      <c r="A482" s="2" t="s">
        <v>1192</v>
      </c>
      <c r="B482" s="2" t="s">
        <v>396</v>
      </c>
      <c r="C482" s="2" t="s">
        <v>20</v>
      </c>
      <c r="D482" s="3">
        <v>45678</v>
      </c>
      <c r="E482" s="4"/>
      <c r="F482" s="3">
        <v>45680</v>
      </c>
      <c r="G482" s="2" t="s">
        <v>45</v>
      </c>
      <c r="H482" s="2" t="s">
        <v>37</v>
      </c>
      <c r="I482" s="2" t="s">
        <v>106</v>
      </c>
      <c r="J482" s="2" t="s">
        <v>107</v>
      </c>
      <c r="K482" s="2">
        <v>3221.11</v>
      </c>
      <c r="L482" s="2" t="str">
        <f t="shared" si="42"/>
        <v>January</v>
      </c>
      <c r="M482" s="2" t="str">
        <f t="shared" si="43"/>
        <v>Cancelled</v>
      </c>
      <c r="N482" t="str">
        <f t="shared" si="44"/>
        <v>Cancelled</v>
      </c>
      <c r="O482" t="str">
        <f t="shared" si="45"/>
        <v>Order Cancelled</v>
      </c>
      <c r="P482" t="str">
        <f t="shared" si="46"/>
        <v>Cancelled</v>
      </c>
      <c r="Q482" t="str">
        <f t="shared" si="47"/>
        <v>Cancelled</v>
      </c>
      <c r="R482" t="str">
        <f>_xlfn.XLOOKUP(B482,CustomerMaster!$A$2:$A$287,CustomerMaster!$B$2:$B$287)</f>
        <v>Customer_103</v>
      </c>
      <c r="S482" t="str">
        <f>_xlfn.XLOOKUP(C482,ProductMaster!$A$2:$A$51,ProductMaster!$B$2:$B$51)</f>
        <v>Product_1</v>
      </c>
      <c r="T482" t="str">
        <f>_xlfn.XLOOKUP(G482,RegionMaster!$A$2:$A$5,RegionMaster!$B$2:$B$5)</f>
        <v>D</v>
      </c>
    </row>
    <row r="483" spans="1:20" ht="15.75" customHeight="1">
      <c r="A483" s="2" t="s">
        <v>1193</v>
      </c>
      <c r="B483" s="2" t="s">
        <v>631</v>
      </c>
      <c r="C483" s="2" t="s">
        <v>213</v>
      </c>
      <c r="D483" s="3">
        <v>45756</v>
      </c>
      <c r="E483" s="3">
        <v>45759</v>
      </c>
      <c r="F483" s="4"/>
      <c r="G483" s="2" t="s">
        <v>17</v>
      </c>
      <c r="H483" s="2" t="s">
        <v>37</v>
      </c>
      <c r="I483" s="2" t="s">
        <v>195</v>
      </c>
      <c r="J483" s="2" t="s">
        <v>133</v>
      </c>
      <c r="K483" s="2">
        <v>3539.59</v>
      </c>
      <c r="L483" s="2" t="str">
        <f t="shared" si="42"/>
        <v>April</v>
      </c>
      <c r="M483" s="2" t="str">
        <f t="shared" si="43"/>
        <v>April</v>
      </c>
      <c r="N483" t="str">
        <f t="shared" si="44"/>
        <v>Delivered</v>
      </c>
      <c r="O483">
        <f t="shared" si="45"/>
        <v>3</v>
      </c>
      <c r="P483" t="str">
        <f t="shared" si="46"/>
        <v>Completed</v>
      </c>
      <c r="Q483" t="str">
        <f t="shared" si="47"/>
        <v>Slow</v>
      </c>
      <c r="R483" t="str">
        <f>_xlfn.XLOOKUP(B483,CustomerMaster!$A$2:$A$287,CustomerMaster!$B$2:$B$287)</f>
        <v>Customer_201</v>
      </c>
      <c r="S483" t="str">
        <f>_xlfn.XLOOKUP(C483,ProductMaster!$A$2:$A$51,ProductMaster!$B$2:$B$51)</f>
        <v>Product_49</v>
      </c>
      <c r="T483" t="str">
        <f>_xlfn.XLOOKUP(G483,RegionMaster!$A$2:$A$5,RegionMaster!$B$2:$B$5)</f>
        <v>B</v>
      </c>
    </row>
    <row r="484" spans="1:20" ht="15.75" customHeight="1">
      <c r="A484" s="2" t="s">
        <v>1194</v>
      </c>
      <c r="B484" s="2" t="s">
        <v>289</v>
      </c>
      <c r="C484" s="2" t="s">
        <v>162</v>
      </c>
      <c r="D484" s="3">
        <v>45661</v>
      </c>
      <c r="E484" s="3">
        <v>45664</v>
      </c>
      <c r="F484" s="4"/>
      <c r="G484" s="2" t="s">
        <v>7</v>
      </c>
      <c r="H484" s="2" t="s">
        <v>59</v>
      </c>
      <c r="I484" s="2" t="s">
        <v>121</v>
      </c>
      <c r="J484" s="2" t="s">
        <v>107</v>
      </c>
      <c r="K484" s="2">
        <v>2381.8000000000002</v>
      </c>
      <c r="L484" s="2" t="str">
        <f t="shared" si="42"/>
        <v>January</v>
      </c>
      <c r="M484" s="2" t="str">
        <f t="shared" si="43"/>
        <v>January</v>
      </c>
      <c r="N484" t="str">
        <f t="shared" si="44"/>
        <v>Delivered</v>
      </c>
      <c r="O484">
        <f t="shared" si="45"/>
        <v>3</v>
      </c>
      <c r="P484" t="str">
        <f t="shared" si="46"/>
        <v>Completed</v>
      </c>
      <c r="Q484" t="str">
        <f t="shared" si="47"/>
        <v>Slow</v>
      </c>
      <c r="R484" t="str">
        <f>_xlfn.XLOOKUP(B484,CustomerMaster!$A$2:$A$287,CustomerMaster!$B$2:$B$287)</f>
        <v>Customer_283</v>
      </c>
      <c r="S484" t="str">
        <f>_xlfn.XLOOKUP(C484,ProductMaster!$A$2:$A$51,ProductMaster!$B$2:$B$51)</f>
        <v>Product_35</v>
      </c>
      <c r="T484" t="str">
        <f>_xlfn.XLOOKUP(G484,RegionMaster!$A$2:$A$5,RegionMaster!$B$2:$B$5)</f>
        <v>A</v>
      </c>
    </row>
    <row r="485" spans="1:20" ht="15.75" customHeight="1">
      <c r="A485" s="2" t="s">
        <v>1195</v>
      </c>
      <c r="B485" s="2" t="s">
        <v>399</v>
      </c>
      <c r="C485" s="2" t="s">
        <v>29</v>
      </c>
      <c r="D485" s="3">
        <v>45768</v>
      </c>
      <c r="E485" s="4"/>
      <c r="F485" s="3">
        <v>45769</v>
      </c>
      <c r="G485" s="2" t="s">
        <v>22</v>
      </c>
      <c r="H485" s="2" t="s">
        <v>16</v>
      </c>
      <c r="I485" s="2" t="s">
        <v>121</v>
      </c>
      <c r="J485" s="2" t="s">
        <v>107</v>
      </c>
      <c r="K485" s="2">
        <v>3212.28</v>
      </c>
      <c r="L485" s="2" t="str">
        <f t="shared" si="42"/>
        <v>April</v>
      </c>
      <c r="M485" s="2" t="str">
        <f t="shared" si="43"/>
        <v>Cancelled</v>
      </c>
      <c r="N485" t="str">
        <f t="shared" si="44"/>
        <v>Cancelled</v>
      </c>
      <c r="O485" t="str">
        <f t="shared" si="45"/>
        <v>Order Cancelled</v>
      </c>
      <c r="P485" t="str">
        <f t="shared" si="46"/>
        <v>Cancelled</v>
      </c>
      <c r="Q485" t="str">
        <f t="shared" si="47"/>
        <v>Cancelled</v>
      </c>
      <c r="R485" t="str">
        <f>_xlfn.XLOOKUP(B485,CustomerMaster!$A$2:$A$287,CustomerMaster!$B$2:$B$287)</f>
        <v>Customer_104</v>
      </c>
      <c r="S485" t="str">
        <f>_xlfn.XLOOKUP(C485,ProductMaster!$A$2:$A$51,ProductMaster!$B$2:$B$51)</f>
        <v>Product_2</v>
      </c>
      <c r="T485" t="str">
        <f>_xlfn.XLOOKUP(G485,RegionMaster!$A$2:$A$5,RegionMaster!$B$2:$B$5)</f>
        <v>C</v>
      </c>
    </row>
    <row r="486" spans="1:20" ht="15.75" customHeight="1">
      <c r="A486" s="2" t="s">
        <v>1196</v>
      </c>
      <c r="B486" s="2" t="s">
        <v>796</v>
      </c>
      <c r="C486" s="2" t="s">
        <v>68</v>
      </c>
      <c r="D486" s="3">
        <v>45758</v>
      </c>
      <c r="E486" s="3">
        <v>45763</v>
      </c>
      <c r="F486" s="4"/>
      <c r="G486" s="2" t="s">
        <v>7</v>
      </c>
      <c r="H486" s="2" t="s">
        <v>54</v>
      </c>
      <c r="I486" s="2" t="s">
        <v>90</v>
      </c>
      <c r="J486" s="2" t="s">
        <v>107</v>
      </c>
      <c r="K486" s="2">
        <v>3004.71</v>
      </c>
      <c r="L486" s="2" t="str">
        <f t="shared" si="42"/>
        <v>April</v>
      </c>
      <c r="M486" s="2" t="str">
        <f t="shared" si="43"/>
        <v>April</v>
      </c>
      <c r="N486" t="str">
        <f t="shared" si="44"/>
        <v>Delivered</v>
      </c>
      <c r="O486">
        <f t="shared" si="45"/>
        <v>5</v>
      </c>
      <c r="P486" t="str">
        <f t="shared" si="46"/>
        <v>Completed</v>
      </c>
      <c r="Q486" t="str">
        <f t="shared" si="47"/>
        <v>Slow</v>
      </c>
      <c r="R486" t="str">
        <f>_xlfn.XLOOKUP(B486,CustomerMaster!$A$2:$A$287,CustomerMaster!$B$2:$B$287)</f>
        <v>Customer_282</v>
      </c>
      <c r="S486" t="str">
        <f>_xlfn.XLOOKUP(C486,ProductMaster!$A$2:$A$51,ProductMaster!$B$2:$B$51)</f>
        <v>Product_13</v>
      </c>
      <c r="T486" t="str">
        <f>_xlfn.XLOOKUP(G486,RegionMaster!$A$2:$A$5,RegionMaster!$B$2:$B$5)</f>
        <v>A</v>
      </c>
    </row>
    <row r="487" spans="1:20" ht="15.75" customHeight="1">
      <c r="A487" s="2" t="s">
        <v>1197</v>
      </c>
      <c r="B487" s="2" t="s">
        <v>344</v>
      </c>
      <c r="C487" s="2" t="s">
        <v>50</v>
      </c>
      <c r="D487" s="3">
        <v>45688</v>
      </c>
      <c r="E487" s="3">
        <v>45689</v>
      </c>
      <c r="F487" s="4"/>
      <c r="G487" s="2" t="s">
        <v>45</v>
      </c>
      <c r="H487" s="2" t="s">
        <v>37</v>
      </c>
      <c r="I487" s="2" t="s">
        <v>106</v>
      </c>
      <c r="J487" s="2" t="s">
        <v>94</v>
      </c>
      <c r="K487" s="2">
        <v>4525.5600000000004</v>
      </c>
      <c r="L487" s="2" t="str">
        <f t="shared" si="42"/>
        <v>January</v>
      </c>
      <c r="M487" s="2" t="str">
        <f t="shared" si="43"/>
        <v>February</v>
      </c>
      <c r="N487" t="str">
        <f t="shared" si="44"/>
        <v>Delivered</v>
      </c>
      <c r="O487">
        <f t="shared" si="45"/>
        <v>1</v>
      </c>
      <c r="P487" t="str">
        <f t="shared" si="46"/>
        <v>Completed</v>
      </c>
      <c r="Q487" t="str">
        <f t="shared" si="47"/>
        <v>Fast</v>
      </c>
      <c r="R487" t="str">
        <f>_xlfn.XLOOKUP(B487,CustomerMaster!$A$2:$A$287,CustomerMaster!$B$2:$B$287)</f>
        <v>Customer_80</v>
      </c>
      <c r="S487" t="str">
        <f>_xlfn.XLOOKUP(C487,ProductMaster!$A$2:$A$51,ProductMaster!$B$2:$B$51)</f>
        <v>Product_6</v>
      </c>
      <c r="T487" t="str">
        <f>_xlfn.XLOOKUP(G487,RegionMaster!$A$2:$A$5,RegionMaster!$B$2:$B$5)</f>
        <v>D</v>
      </c>
    </row>
    <row r="488" spans="1:20" ht="15.75" customHeight="1">
      <c r="A488" s="2" t="s">
        <v>1198</v>
      </c>
      <c r="B488" s="2" t="s">
        <v>657</v>
      </c>
      <c r="C488" s="2" t="s">
        <v>102</v>
      </c>
      <c r="D488" s="3">
        <v>45703</v>
      </c>
      <c r="E488" s="4"/>
      <c r="F488" s="3">
        <v>45704</v>
      </c>
      <c r="G488" s="2" t="s">
        <v>7</v>
      </c>
      <c r="H488" s="2" t="s">
        <v>59</v>
      </c>
      <c r="I488" s="2" t="s">
        <v>195</v>
      </c>
      <c r="J488" s="2" t="s">
        <v>94</v>
      </c>
      <c r="K488" s="2">
        <v>418.14</v>
      </c>
      <c r="L488" s="2" t="str">
        <f t="shared" si="42"/>
        <v>February</v>
      </c>
      <c r="M488" s="2" t="str">
        <f t="shared" si="43"/>
        <v>Cancelled</v>
      </c>
      <c r="N488" t="str">
        <f t="shared" si="44"/>
        <v>Cancelled</v>
      </c>
      <c r="O488" t="str">
        <f t="shared" si="45"/>
        <v>Order Cancelled</v>
      </c>
      <c r="P488" t="str">
        <f t="shared" si="46"/>
        <v>Cancelled</v>
      </c>
      <c r="Q488" t="str">
        <f t="shared" si="47"/>
        <v>Cancelled</v>
      </c>
      <c r="R488" t="str">
        <f>_xlfn.XLOOKUP(B488,CustomerMaster!$A$2:$A$287,CustomerMaster!$B$2:$B$287)</f>
        <v>Customer_211</v>
      </c>
      <c r="S488" t="str">
        <f>_xlfn.XLOOKUP(C488,ProductMaster!$A$2:$A$51,ProductMaster!$B$2:$B$51)</f>
        <v>Product_18</v>
      </c>
      <c r="T488" t="str">
        <f>_xlfn.XLOOKUP(G488,RegionMaster!$A$2:$A$5,RegionMaster!$B$2:$B$5)</f>
        <v>A</v>
      </c>
    </row>
    <row r="489" spans="1:20" ht="15.75" customHeight="1">
      <c r="A489" s="2" t="s">
        <v>1199</v>
      </c>
      <c r="B489" s="2" t="s">
        <v>499</v>
      </c>
      <c r="C489" s="2" t="s">
        <v>63</v>
      </c>
      <c r="D489" s="3">
        <v>45716</v>
      </c>
      <c r="E489" s="4"/>
      <c r="F489" s="3">
        <v>45717</v>
      </c>
      <c r="G489" s="2" t="s">
        <v>22</v>
      </c>
      <c r="H489" s="2" t="s">
        <v>59</v>
      </c>
      <c r="I489" s="2" t="s">
        <v>195</v>
      </c>
      <c r="J489" s="2" t="s">
        <v>94</v>
      </c>
      <c r="K489" s="2">
        <v>1548.62</v>
      </c>
      <c r="L489" s="2" t="str">
        <f t="shared" si="42"/>
        <v>February</v>
      </c>
      <c r="M489" s="2" t="str">
        <f t="shared" si="43"/>
        <v>Cancelled</v>
      </c>
      <c r="N489" t="str">
        <f t="shared" si="44"/>
        <v>Cancelled</v>
      </c>
      <c r="O489" t="str">
        <f t="shared" si="45"/>
        <v>Order Cancelled</v>
      </c>
      <c r="P489" t="str">
        <f t="shared" si="46"/>
        <v>Cancelled</v>
      </c>
      <c r="Q489" t="str">
        <f t="shared" si="47"/>
        <v>Cancelled</v>
      </c>
      <c r="R489" t="str">
        <f>_xlfn.XLOOKUP(B489,CustomerMaster!$A$2:$A$287,CustomerMaster!$B$2:$B$287)</f>
        <v>Customer_146</v>
      </c>
      <c r="S489" t="str">
        <f>_xlfn.XLOOKUP(C489,ProductMaster!$A$2:$A$51,ProductMaster!$B$2:$B$51)</f>
        <v>Product_8</v>
      </c>
      <c r="T489" t="str">
        <f>_xlfn.XLOOKUP(G489,RegionMaster!$A$2:$A$5,RegionMaster!$B$2:$B$5)</f>
        <v>C</v>
      </c>
    </row>
    <row r="490" spans="1:20" ht="15.75" customHeight="1">
      <c r="A490" s="2" t="s">
        <v>1200</v>
      </c>
      <c r="B490" s="2" t="s">
        <v>284</v>
      </c>
      <c r="C490" s="2" t="s">
        <v>172</v>
      </c>
      <c r="D490" s="3">
        <v>45682</v>
      </c>
      <c r="E490" s="3">
        <v>45685</v>
      </c>
      <c r="F490" s="4"/>
      <c r="G490" s="2" t="s">
        <v>17</v>
      </c>
      <c r="H490" s="2" t="s">
        <v>37</v>
      </c>
      <c r="I490" s="2" t="s">
        <v>195</v>
      </c>
      <c r="J490" s="2" t="s">
        <v>133</v>
      </c>
      <c r="K490" s="2">
        <v>4761.9799999999996</v>
      </c>
      <c r="L490" s="2" t="str">
        <f t="shared" si="42"/>
        <v>January</v>
      </c>
      <c r="M490" s="2" t="str">
        <f t="shared" si="43"/>
        <v>January</v>
      </c>
      <c r="N490" t="str">
        <f t="shared" si="44"/>
        <v>Delivered</v>
      </c>
      <c r="O490">
        <f t="shared" si="45"/>
        <v>3</v>
      </c>
      <c r="P490" t="str">
        <f t="shared" si="46"/>
        <v>Completed</v>
      </c>
      <c r="Q490" t="str">
        <f t="shared" si="47"/>
        <v>Slow</v>
      </c>
      <c r="R490" t="str">
        <f>_xlfn.XLOOKUP(B490,CustomerMaster!$A$2:$A$287,CustomerMaster!$B$2:$B$287)</f>
        <v>Customer_54</v>
      </c>
      <c r="S490" t="str">
        <f>_xlfn.XLOOKUP(C490,ProductMaster!$A$2:$A$51,ProductMaster!$B$2:$B$51)</f>
        <v>Product_39</v>
      </c>
      <c r="T490" t="str">
        <f>_xlfn.XLOOKUP(G490,RegionMaster!$A$2:$A$5,RegionMaster!$B$2:$B$5)</f>
        <v>B</v>
      </c>
    </row>
    <row r="491" spans="1:20" ht="15.75" customHeight="1">
      <c r="A491" s="2" t="s">
        <v>1201</v>
      </c>
      <c r="B491" s="2" t="s">
        <v>760</v>
      </c>
      <c r="C491" s="2" t="s">
        <v>162</v>
      </c>
      <c r="D491" s="3">
        <v>45735</v>
      </c>
      <c r="E491" s="3">
        <v>45740</v>
      </c>
      <c r="F491" s="4"/>
      <c r="G491" s="2" t="s">
        <v>17</v>
      </c>
      <c r="H491" s="2" t="s">
        <v>37</v>
      </c>
      <c r="I491" s="2" t="s">
        <v>106</v>
      </c>
      <c r="J491" s="2" t="s">
        <v>133</v>
      </c>
      <c r="K491" s="2">
        <v>4473.2700000000004</v>
      </c>
      <c r="L491" s="2" t="str">
        <f t="shared" si="42"/>
        <v>March</v>
      </c>
      <c r="M491" s="2" t="str">
        <f t="shared" si="43"/>
        <v>March</v>
      </c>
      <c r="N491" t="str">
        <f t="shared" si="44"/>
        <v>Delivered</v>
      </c>
      <c r="O491">
        <f t="shared" si="45"/>
        <v>5</v>
      </c>
      <c r="P491" t="str">
        <f t="shared" si="46"/>
        <v>Completed</v>
      </c>
      <c r="Q491" t="str">
        <f t="shared" si="47"/>
        <v>Slow</v>
      </c>
      <c r="R491" t="str">
        <f>_xlfn.XLOOKUP(B491,CustomerMaster!$A$2:$A$287,CustomerMaster!$B$2:$B$287)</f>
        <v>Customer_260</v>
      </c>
      <c r="S491" t="str">
        <f>_xlfn.XLOOKUP(C491,ProductMaster!$A$2:$A$51,ProductMaster!$B$2:$B$51)</f>
        <v>Product_35</v>
      </c>
      <c r="T491" t="str">
        <f>_xlfn.XLOOKUP(G491,RegionMaster!$A$2:$A$5,RegionMaster!$B$2:$B$5)</f>
        <v>B</v>
      </c>
    </row>
    <row r="492" spans="1:20" ht="15.75" customHeight="1">
      <c r="A492" s="2" t="s">
        <v>1202</v>
      </c>
      <c r="B492" s="2" t="s">
        <v>216</v>
      </c>
      <c r="C492" s="2" t="s">
        <v>72</v>
      </c>
      <c r="D492" s="3">
        <v>45697</v>
      </c>
      <c r="E492" s="4"/>
      <c r="F492" s="3">
        <v>45697</v>
      </c>
      <c r="G492" s="2" t="s">
        <v>7</v>
      </c>
      <c r="H492" s="2" t="s">
        <v>16</v>
      </c>
      <c r="I492" s="2" t="s">
        <v>121</v>
      </c>
      <c r="J492" s="2" t="s">
        <v>94</v>
      </c>
      <c r="K492" s="2">
        <v>2387.15</v>
      </c>
      <c r="L492" s="2" t="str">
        <f t="shared" si="42"/>
        <v>February</v>
      </c>
      <c r="M492" s="2" t="str">
        <f t="shared" si="43"/>
        <v>Cancelled</v>
      </c>
      <c r="N492" t="str">
        <f t="shared" si="44"/>
        <v>Cancelled</v>
      </c>
      <c r="O492" t="str">
        <f t="shared" si="45"/>
        <v>Order Cancelled</v>
      </c>
      <c r="P492" t="str">
        <f t="shared" si="46"/>
        <v>Cancelled</v>
      </c>
      <c r="Q492" t="str">
        <f t="shared" si="47"/>
        <v>Cancelled</v>
      </c>
      <c r="R492" t="str">
        <f>_xlfn.XLOOKUP(B492,CustomerMaster!$A$2:$A$287,CustomerMaster!$B$2:$B$287)</f>
        <v>Customer_29</v>
      </c>
      <c r="S492" t="str">
        <f>_xlfn.XLOOKUP(C492,ProductMaster!$A$2:$A$51,ProductMaster!$B$2:$B$51)</f>
        <v>Product_10</v>
      </c>
      <c r="T492" t="str">
        <f>_xlfn.XLOOKUP(G492,RegionMaster!$A$2:$A$5,RegionMaster!$B$2:$B$5)</f>
        <v>A</v>
      </c>
    </row>
    <row r="493" spans="1:20" ht="15.75" customHeight="1">
      <c r="A493" s="2" t="s">
        <v>1203</v>
      </c>
      <c r="B493" s="2" t="s">
        <v>499</v>
      </c>
      <c r="C493" s="2" t="s">
        <v>180</v>
      </c>
      <c r="D493" s="3">
        <v>45742</v>
      </c>
      <c r="E493" s="4"/>
      <c r="F493" s="3">
        <v>45742</v>
      </c>
      <c r="G493" s="2" t="s">
        <v>17</v>
      </c>
      <c r="H493" s="2" t="s">
        <v>37</v>
      </c>
      <c r="I493" s="2" t="s">
        <v>121</v>
      </c>
      <c r="J493" s="2" t="s">
        <v>94</v>
      </c>
      <c r="K493" s="2">
        <v>3176.64</v>
      </c>
      <c r="L493" s="2" t="str">
        <f t="shared" si="42"/>
        <v>March</v>
      </c>
      <c r="M493" s="2" t="str">
        <f t="shared" si="43"/>
        <v>Cancelled</v>
      </c>
      <c r="N493" t="str">
        <f t="shared" si="44"/>
        <v>Cancelled</v>
      </c>
      <c r="O493" t="str">
        <f t="shared" si="45"/>
        <v>Order Cancelled</v>
      </c>
      <c r="P493" t="str">
        <f t="shared" si="46"/>
        <v>Cancelled</v>
      </c>
      <c r="Q493" t="str">
        <f t="shared" si="47"/>
        <v>Cancelled</v>
      </c>
      <c r="R493" t="str">
        <f>_xlfn.XLOOKUP(B493,CustomerMaster!$A$2:$A$287,CustomerMaster!$B$2:$B$287)</f>
        <v>Customer_146</v>
      </c>
      <c r="S493" t="str">
        <f>_xlfn.XLOOKUP(C493,ProductMaster!$A$2:$A$51,ProductMaster!$B$2:$B$51)</f>
        <v>Product_40</v>
      </c>
      <c r="T493" t="str">
        <f>_xlfn.XLOOKUP(G493,RegionMaster!$A$2:$A$5,RegionMaster!$B$2:$B$5)</f>
        <v>B</v>
      </c>
    </row>
    <row r="494" spans="1:20" ht="15.75" customHeight="1">
      <c r="A494" s="2" t="s">
        <v>1204</v>
      </c>
      <c r="B494" s="2" t="s">
        <v>471</v>
      </c>
      <c r="C494" s="2" t="s">
        <v>72</v>
      </c>
      <c r="D494" s="3">
        <v>45673</v>
      </c>
      <c r="E494" s="4"/>
      <c r="F494" s="3">
        <v>45675</v>
      </c>
      <c r="G494" s="2" t="s">
        <v>45</v>
      </c>
      <c r="H494" s="2" t="s">
        <v>27</v>
      </c>
      <c r="I494" s="2" t="s">
        <v>178</v>
      </c>
      <c r="J494" s="2" t="s">
        <v>94</v>
      </c>
      <c r="K494" s="2">
        <v>1531.43</v>
      </c>
      <c r="L494" s="2" t="str">
        <f t="shared" si="42"/>
        <v>January</v>
      </c>
      <c r="M494" s="2" t="str">
        <f t="shared" si="43"/>
        <v>Cancelled</v>
      </c>
      <c r="N494" t="str">
        <f t="shared" si="44"/>
        <v>Cancelled</v>
      </c>
      <c r="O494" t="str">
        <f t="shared" si="45"/>
        <v>Order Cancelled</v>
      </c>
      <c r="P494" t="str">
        <f t="shared" si="46"/>
        <v>Cancelled</v>
      </c>
      <c r="Q494" t="str">
        <f t="shared" si="47"/>
        <v>Cancelled</v>
      </c>
      <c r="R494" t="str">
        <f>_xlfn.XLOOKUP(B494,CustomerMaster!$A$2:$A$287,CustomerMaster!$B$2:$B$287)</f>
        <v>Customer_134</v>
      </c>
      <c r="S494" t="str">
        <f>_xlfn.XLOOKUP(C494,ProductMaster!$A$2:$A$51,ProductMaster!$B$2:$B$51)</f>
        <v>Product_10</v>
      </c>
      <c r="T494" t="str">
        <f>_xlfn.XLOOKUP(G494,RegionMaster!$A$2:$A$5,RegionMaster!$B$2:$B$5)</f>
        <v>D</v>
      </c>
    </row>
    <row r="495" spans="1:20" ht="15.75" customHeight="1">
      <c r="A495" s="2" t="s">
        <v>1205</v>
      </c>
      <c r="B495" s="2" t="s">
        <v>595</v>
      </c>
      <c r="C495" s="2" t="s">
        <v>32</v>
      </c>
      <c r="D495" s="3">
        <v>45748</v>
      </c>
      <c r="E495" s="3">
        <v>45749</v>
      </c>
      <c r="F495" s="4"/>
      <c r="G495" s="2" t="s">
        <v>7</v>
      </c>
      <c r="H495" s="2" t="s">
        <v>27</v>
      </c>
      <c r="I495" s="2" t="s">
        <v>121</v>
      </c>
      <c r="J495" s="2" t="s">
        <v>133</v>
      </c>
      <c r="K495" s="2">
        <v>1102.98</v>
      </c>
      <c r="L495" s="2" t="str">
        <f t="shared" si="42"/>
        <v>April</v>
      </c>
      <c r="M495" s="2" t="str">
        <f t="shared" si="43"/>
        <v>April</v>
      </c>
      <c r="N495" t="str">
        <f t="shared" si="44"/>
        <v>Delivered</v>
      </c>
      <c r="O495">
        <f t="shared" si="45"/>
        <v>1</v>
      </c>
      <c r="P495" t="str">
        <f t="shared" si="46"/>
        <v>Completed</v>
      </c>
      <c r="Q495" t="str">
        <f t="shared" si="47"/>
        <v>Fast</v>
      </c>
      <c r="R495" t="str">
        <f>_xlfn.XLOOKUP(B495,CustomerMaster!$A$2:$A$287,CustomerMaster!$B$2:$B$287)</f>
        <v>Customer_185</v>
      </c>
      <c r="S495" t="str">
        <f>_xlfn.XLOOKUP(C495,ProductMaster!$A$2:$A$51,ProductMaster!$B$2:$B$51)</f>
        <v>Product_3</v>
      </c>
      <c r="T495" t="str">
        <f>_xlfn.XLOOKUP(G495,RegionMaster!$A$2:$A$5,RegionMaster!$B$2:$B$5)</f>
        <v>A</v>
      </c>
    </row>
    <row r="496" spans="1:20" ht="15.75" customHeight="1">
      <c r="A496" s="2" t="s">
        <v>1206</v>
      </c>
      <c r="B496" s="2" t="s">
        <v>264</v>
      </c>
      <c r="C496" s="2" t="s">
        <v>79</v>
      </c>
      <c r="D496" s="3">
        <v>45707</v>
      </c>
      <c r="E496" s="3">
        <v>45712</v>
      </c>
      <c r="F496" s="4"/>
      <c r="G496" s="2" t="s">
        <v>22</v>
      </c>
      <c r="H496" s="2" t="s">
        <v>37</v>
      </c>
      <c r="I496" s="2" t="s">
        <v>90</v>
      </c>
      <c r="J496" s="2" t="s">
        <v>94</v>
      </c>
      <c r="K496" s="2">
        <v>2425.75</v>
      </c>
      <c r="L496" s="2" t="str">
        <f t="shared" si="42"/>
        <v>February</v>
      </c>
      <c r="M496" s="2" t="str">
        <f t="shared" si="43"/>
        <v>February</v>
      </c>
      <c r="N496" t="str">
        <f t="shared" si="44"/>
        <v>Delivered</v>
      </c>
      <c r="O496">
        <f t="shared" si="45"/>
        <v>5</v>
      </c>
      <c r="P496" t="str">
        <f t="shared" si="46"/>
        <v>Completed</v>
      </c>
      <c r="Q496" t="str">
        <f t="shared" si="47"/>
        <v>Slow</v>
      </c>
      <c r="R496" t="str">
        <f>_xlfn.XLOOKUP(B496,CustomerMaster!$A$2:$A$287,CustomerMaster!$B$2:$B$287)</f>
        <v>Customer_47</v>
      </c>
      <c r="S496" t="str">
        <f>_xlfn.XLOOKUP(C496,ProductMaster!$A$2:$A$51,ProductMaster!$B$2:$B$51)</f>
        <v>Product_12</v>
      </c>
      <c r="T496" t="str">
        <f>_xlfn.XLOOKUP(G496,RegionMaster!$A$2:$A$5,RegionMaster!$B$2:$B$5)</f>
        <v>C</v>
      </c>
    </row>
    <row r="497" spans="1:20" ht="15.75" customHeight="1">
      <c r="A497" s="2" t="s">
        <v>1207</v>
      </c>
      <c r="B497" s="2" t="s">
        <v>318</v>
      </c>
      <c r="C497" s="2" t="s">
        <v>104</v>
      </c>
      <c r="D497" s="3">
        <v>45672</v>
      </c>
      <c r="E497" s="4"/>
      <c r="F497" s="3">
        <v>45673</v>
      </c>
      <c r="G497" s="2" t="s">
        <v>45</v>
      </c>
      <c r="H497" s="2" t="s">
        <v>54</v>
      </c>
      <c r="I497" s="2" t="s">
        <v>121</v>
      </c>
      <c r="J497" s="2" t="s">
        <v>133</v>
      </c>
      <c r="K497" s="2">
        <v>1896.09</v>
      </c>
      <c r="L497" s="2" t="str">
        <f t="shared" si="42"/>
        <v>January</v>
      </c>
      <c r="M497" s="2" t="str">
        <f t="shared" si="43"/>
        <v>Cancelled</v>
      </c>
      <c r="N497" t="str">
        <f t="shared" si="44"/>
        <v>Cancelled</v>
      </c>
      <c r="O497" t="str">
        <f t="shared" si="45"/>
        <v>Order Cancelled</v>
      </c>
      <c r="P497" t="str">
        <f t="shared" si="46"/>
        <v>Cancelled</v>
      </c>
      <c r="Q497" t="str">
        <f t="shared" si="47"/>
        <v>Cancelled</v>
      </c>
      <c r="R497" t="str">
        <f>_xlfn.XLOOKUP(B497,CustomerMaster!$A$2:$A$287,CustomerMaster!$B$2:$B$287)</f>
        <v>Customer_69</v>
      </c>
      <c r="S497" t="str">
        <f>_xlfn.XLOOKUP(C497,ProductMaster!$A$2:$A$51,ProductMaster!$B$2:$B$51)</f>
        <v>Product_19</v>
      </c>
      <c r="T497" t="str">
        <f>_xlfn.XLOOKUP(G497,RegionMaster!$A$2:$A$5,RegionMaster!$B$2:$B$5)</f>
        <v>D</v>
      </c>
    </row>
    <row r="498" spans="1:20" ht="15.75" customHeight="1">
      <c r="A498" s="2" t="s">
        <v>1208</v>
      </c>
      <c r="B498" s="2" t="s">
        <v>670</v>
      </c>
      <c r="C498" s="2" t="s">
        <v>141</v>
      </c>
      <c r="D498" s="3">
        <v>45659</v>
      </c>
      <c r="E498" s="3">
        <v>45662</v>
      </c>
      <c r="F498" s="4"/>
      <c r="G498" s="2" t="s">
        <v>22</v>
      </c>
      <c r="H498" s="2" t="s">
        <v>37</v>
      </c>
      <c r="I498" s="2" t="s">
        <v>121</v>
      </c>
      <c r="J498" s="2" t="s">
        <v>133</v>
      </c>
      <c r="K498" s="2">
        <v>3001.55</v>
      </c>
      <c r="L498" s="2" t="str">
        <f t="shared" si="42"/>
        <v>January</v>
      </c>
      <c r="M498" s="2" t="str">
        <f t="shared" si="43"/>
        <v>January</v>
      </c>
      <c r="N498" t="str">
        <f t="shared" si="44"/>
        <v>Delivered</v>
      </c>
      <c r="O498">
        <f t="shared" si="45"/>
        <v>3</v>
      </c>
      <c r="P498" t="str">
        <f t="shared" si="46"/>
        <v>Completed</v>
      </c>
      <c r="Q498" t="str">
        <f t="shared" si="47"/>
        <v>Slow</v>
      </c>
      <c r="R498" t="str">
        <f>_xlfn.XLOOKUP(B498,CustomerMaster!$A$2:$A$287,CustomerMaster!$B$2:$B$287)</f>
        <v>Customer_217</v>
      </c>
      <c r="S498" t="str">
        <f>_xlfn.XLOOKUP(C498,ProductMaster!$A$2:$A$51,ProductMaster!$B$2:$B$51)</f>
        <v>Product_42</v>
      </c>
      <c r="T498" t="str">
        <f>_xlfn.XLOOKUP(G498,RegionMaster!$A$2:$A$5,RegionMaster!$B$2:$B$5)</f>
        <v>C</v>
      </c>
    </row>
    <row r="499" spans="1:20" ht="15.75" customHeight="1">
      <c r="A499" s="2" t="s">
        <v>1209</v>
      </c>
      <c r="B499" s="2" t="s">
        <v>276</v>
      </c>
      <c r="C499" s="2" t="s">
        <v>69</v>
      </c>
      <c r="D499" s="3">
        <v>45671</v>
      </c>
      <c r="E499" s="3">
        <v>45677</v>
      </c>
      <c r="F499" s="4"/>
      <c r="G499" s="2" t="s">
        <v>17</v>
      </c>
      <c r="H499" s="2" t="s">
        <v>54</v>
      </c>
      <c r="I499" s="2" t="s">
        <v>90</v>
      </c>
      <c r="J499" s="2" t="s">
        <v>107</v>
      </c>
      <c r="K499" s="2">
        <v>573.13</v>
      </c>
      <c r="L499" s="2" t="str">
        <f t="shared" si="42"/>
        <v>January</v>
      </c>
      <c r="M499" s="2" t="str">
        <f t="shared" si="43"/>
        <v>January</v>
      </c>
      <c r="N499" t="str">
        <f t="shared" si="44"/>
        <v>Delivered</v>
      </c>
      <c r="O499">
        <f t="shared" si="45"/>
        <v>6</v>
      </c>
      <c r="P499" t="str">
        <f t="shared" si="46"/>
        <v>Completed</v>
      </c>
      <c r="Q499" t="str">
        <f t="shared" si="47"/>
        <v>Slow</v>
      </c>
      <c r="R499" t="str">
        <f>_xlfn.XLOOKUP(B499,CustomerMaster!$A$2:$A$287,CustomerMaster!$B$2:$B$287)</f>
        <v>Customer_51</v>
      </c>
      <c r="S499" t="str">
        <f>_xlfn.XLOOKUP(C499,ProductMaster!$A$2:$A$51,ProductMaster!$B$2:$B$51)</f>
        <v>Product_9</v>
      </c>
      <c r="T499" t="str">
        <f>_xlfn.XLOOKUP(G499,RegionMaster!$A$2:$A$5,RegionMaster!$B$2:$B$5)</f>
        <v>B</v>
      </c>
    </row>
    <row r="500" spans="1:20" ht="15.75" customHeight="1">
      <c r="A500" s="2" t="s">
        <v>1210</v>
      </c>
      <c r="B500" s="2" t="s">
        <v>386</v>
      </c>
      <c r="C500" s="2" t="s">
        <v>130</v>
      </c>
      <c r="D500" s="3">
        <v>45682</v>
      </c>
      <c r="E500" s="4"/>
      <c r="F500" s="3">
        <v>45683</v>
      </c>
      <c r="G500" s="2" t="s">
        <v>22</v>
      </c>
      <c r="H500" s="2" t="s">
        <v>37</v>
      </c>
      <c r="I500" s="2" t="s">
        <v>106</v>
      </c>
      <c r="J500" s="2" t="s">
        <v>107</v>
      </c>
      <c r="K500" s="2">
        <v>4877.1000000000004</v>
      </c>
      <c r="L500" s="2" t="str">
        <f t="shared" si="42"/>
        <v>January</v>
      </c>
      <c r="M500" s="2" t="str">
        <f t="shared" si="43"/>
        <v>Cancelled</v>
      </c>
      <c r="N500" t="str">
        <f t="shared" si="44"/>
        <v>Cancelled</v>
      </c>
      <c r="O500" t="str">
        <f t="shared" si="45"/>
        <v>Order Cancelled</v>
      </c>
      <c r="P500" t="str">
        <f t="shared" si="46"/>
        <v>Cancelled</v>
      </c>
      <c r="Q500" t="str">
        <f t="shared" si="47"/>
        <v>Cancelled</v>
      </c>
      <c r="R500" t="str">
        <f>_xlfn.XLOOKUP(B500,CustomerMaster!$A$2:$A$287,CustomerMaster!$B$2:$B$287)</f>
        <v>Customer_99</v>
      </c>
      <c r="S500" t="str">
        <f>_xlfn.XLOOKUP(C500,ProductMaster!$A$2:$A$51,ProductMaster!$B$2:$B$51)</f>
        <v>Product_26</v>
      </c>
      <c r="T500" t="str">
        <f>_xlfn.XLOOKUP(G500,RegionMaster!$A$2:$A$5,RegionMaster!$B$2:$B$5)</f>
        <v>C</v>
      </c>
    </row>
    <row r="501" spans="1:20" ht="15.75" customHeight="1">
      <c r="A501" s="2" t="s">
        <v>1211</v>
      </c>
      <c r="B501" s="2" t="s">
        <v>466</v>
      </c>
      <c r="C501" s="2" t="s">
        <v>128</v>
      </c>
      <c r="D501" s="3">
        <v>45777</v>
      </c>
      <c r="E501" s="3">
        <v>45780</v>
      </c>
      <c r="F501" s="4"/>
      <c r="G501" s="2" t="s">
        <v>17</v>
      </c>
      <c r="H501" s="2" t="s">
        <v>16</v>
      </c>
      <c r="I501" s="2" t="s">
        <v>178</v>
      </c>
      <c r="J501" s="2" t="s">
        <v>94</v>
      </c>
      <c r="K501" s="2">
        <v>4933.8100000000004</v>
      </c>
      <c r="L501" s="2" t="str">
        <f t="shared" si="42"/>
        <v>April</v>
      </c>
      <c r="M501" s="2" t="str">
        <f t="shared" si="43"/>
        <v>May</v>
      </c>
      <c r="N501" t="str">
        <f t="shared" si="44"/>
        <v>Delivered</v>
      </c>
      <c r="O501">
        <f t="shared" si="45"/>
        <v>3</v>
      </c>
      <c r="P501" t="str">
        <f t="shared" si="46"/>
        <v>Completed</v>
      </c>
      <c r="Q501" t="str">
        <f t="shared" si="47"/>
        <v>Slow</v>
      </c>
      <c r="R501" t="str">
        <f>_xlfn.XLOOKUP(B501,CustomerMaster!$A$2:$A$287,CustomerMaster!$B$2:$B$287)</f>
        <v>Customer_132</v>
      </c>
      <c r="S501" t="str">
        <f>_xlfn.XLOOKUP(C501,ProductMaster!$A$2:$A$51,ProductMaster!$B$2:$B$51)</f>
        <v>Product_25</v>
      </c>
      <c r="T501" t="str">
        <f>_xlfn.XLOOKUP(G501,RegionMaster!$A$2:$A$5,RegionMaster!$B$2:$B$5)</f>
        <v>B</v>
      </c>
    </row>
    <row r="502" spans="1:20" ht="15.75" customHeight="1">
      <c r="A502" s="2" t="s">
        <v>1212</v>
      </c>
      <c r="B502" s="2" t="s">
        <v>664</v>
      </c>
      <c r="C502" s="2" t="s">
        <v>50</v>
      </c>
      <c r="D502" s="3">
        <v>45728</v>
      </c>
      <c r="E502" s="3">
        <v>45731</v>
      </c>
      <c r="F502" s="4"/>
      <c r="G502" s="2" t="s">
        <v>22</v>
      </c>
      <c r="H502" s="2" t="s">
        <v>27</v>
      </c>
      <c r="I502" s="2" t="s">
        <v>121</v>
      </c>
      <c r="J502" s="2" t="s">
        <v>107</v>
      </c>
      <c r="K502" s="2">
        <v>3551.18</v>
      </c>
      <c r="L502" s="2" t="str">
        <f t="shared" si="42"/>
        <v>March</v>
      </c>
      <c r="M502" s="2" t="str">
        <f t="shared" si="43"/>
        <v>March</v>
      </c>
      <c r="N502" t="str">
        <f t="shared" si="44"/>
        <v>Delivered</v>
      </c>
      <c r="O502">
        <f t="shared" si="45"/>
        <v>3</v>
      </c>
      <c r="P502" t="str">
        <f t="shared" si="46"/>
        <v>Completed</v>
      </c>
      <c r="Q502" t="str">
        <f t="shared" si="47"/>
        <v>Slow</v>
      </c>
      <c r="R502" t="str">
        <f>_xlfn.XLOOKUP(B502,CustomerMaster!$A$2:$A$287,CustomerMaster!$B$2:$B$287)</f>
        <v>Customer_280</v>
      </c>
      <c r="S502" t="str">
        <f>_xlfn.XLOOKUP(C502,ProductMaster!$A$2:$A$51,ProductMaster!$B$2:$B$51)</f>
        <v>Product_6</v>
      </c>
      <c r="T502" t="str">
        <f>_xlfn.XLOOKUP(G502,RegionMaster!$A$2:$A$5,RegionMaster!$B$2:$B$5)</f>
        <v>C</v>
      </c>
    </row>
    <row r="503" spans="1:20" ht="15.75" customHeight="1">
      <c r="A503" s="2" t="s">
        <v>1213</v>
      </c>
      <c r="B503" s="2" t="s">
        <v>223</v>
      </c>
      <c r="C503" s="2" t="s">
        <v>43</v>
      </c>
      <c r="D503" s="3">
        <v>45749</v>
      </c>
      <c r="E503" s="4"/>
      <c r="F503" s="3">
        <v>45751</v>
      </c>
      <c r="G503" s="2" t="s">
        <v>45</v>
      </c>
      <c r="H503" s="2" t="s">
        <v>27</v>
      </c>
      <c r="I503" s="2" t="s">
        <v>90</v>
      </c>
      <c r="J503" s="2" t="s">
        <v>107</v>
      </c>
      <c r="K503" s="2">
        <v>2773.26</v>
      </c>
      <c r="L503" s="2" t="str">
        <f t="shared" si="42"/>
        <v>April</v>
      </c>
      <c r="M503" s="2" t="str">
        <f t="shared" si="43"/>
        <v>Cancelled</v>
      </c>
      <c r="N503" t="str">
        <f t="shared" si="44"/>
        <v>Cancelled</v>
      </c>
      <c r="O503" t="str">
        <f t="shared" si="45"/>
        <v>Order Cancelled</v>
      </c>
      <c r="P503" t="str">
        <f t="shared" si="46"/>
        <v>Cancelled</v>
      </c>
      <c r="Q503" t="str">
        <f t="shared" si="47"/>
        <v>Cancelled</v>
      </c>
      <c r="R503" t="str">
        <f>_xlfn.XLOOKUP(B503,CustomerMaster!$A$2:$A$287,CustomerMaster!$B$2:$B$287)</f>
        <v>Customer_44</v>
      </c>
      <c r="S503" t="str">
        <f>_xlfn.XLOOKUP(C503,ProductMaster!$A$2:$A$51,ProductMaster!$B$2:$B$51)</f>
        <v>Product_5</v>
      </c>
      <c r="T503" t="str">
        <f>_xlfn.XLOOKUP(G503,RegionMaster!$A$2:$A$5,RegionMaster!$B$2:$B$5)</f>
        <v>D</v>
      </c>
    </row>
    <row r="504" spans="1:20" ht="15.75" customHeight="1">
      <c r="A504" s="2" t="s">
        <v>1214</v>
      </c>
      <c r="B504" s="2" t="s">
        <v>268</v>
      </c>
      <c r="C504" s="2" t="s">
        <v>95</v>
      </c>
      <c r="D504" s="3">
        <v>45681</v>
      </c>
      <c r="E504" s="3">
        <v>45686</v>
      </c>
      <c r="F504" s="4"/>
      <c r="G504" s="2" t="s">
        <v>17</v>
      </c>
      <c r="H504" s="2" t="s">
        <v>27</v>
      </c>
      <c r="I504" s="2" t="s">
        <v>195</v>
      </c>
      <c r="J504" s="2" t="s">
        <v>107</v>
      </c>
      <c r="K504" s="2">
        <v>1685.73</v>
      </c>
      <c r="L504" s="2" t="str">
        <f t="shared" si="42"/>
        <v>January</v>
      </c>
      <c r="M504" s="2" t="str">
        <f t="shared" si="43"/>
        <v>January</v>
      </c>
      <c r="N504" t="str">
        <f t="shared" si="44"/>
        <v>Delivered</v>
      </c>
      <c r="O504">
        <f t="shared" si="45"/>
        <v>5</v>
      </c>
      <c r="P504" t="str">
        <f t="shared" si="46"/>
        <v>Completed</v>
      </c>
      <c r="Q504" t="str">
        <f t="shared" si="47"/>
        <v>Slow</v>
      </c>
      <c r="R504" t="str">
        <f>_xlfn.XLOOKUP(B504,CustomerMaster!$A$2:$A$287,CustomerMaster!$B$2:$B$287)</f>
        <v>Customer_48</v>
      </c>
      <c r="S504" t="str">
        <f>_xlfn.XLOOKUP(C504,ProductMaster!$A$2:$A$51,ProductMaster!$B$2:$B$51)</f>
        <v>Product_17</v>
      </c>
      <c r="T504" t="str">
        <f>_xlfn.XLOOKUP(G504,RegionMaster!$A$2:$A$5,RegionMaster!$B$2:$B$5)</f>
        <v>B</v>
      </c>
    </row>
    <row r="505" spans="1:20" ht="15.75" customHeight="1">
      <c r="A505" s="2" t="s">
        <v>1215</v>
      </c>
      <c r="B505" s="2" t="s">
        <v>57</v>
      </c>
      <c r="C505" s="2" t="s">
        <v>204</v>
      </c>
      <c r="D505" s="3">
        <v>45773</v>
      </c>
      <c r="E505" s="3">
        <v>45777</v>
      </c>
      <c r="F505" s="4"/>
      <c r="G505" s="2" t="s">
        <v>45</v>
      </c>
      <c r="H505" s="2" t="s">
        <v>54</v>
      </c>
      <c r="I505" s="2" t="s">
        <v>90</v>
      </c>
      <c r="J505" s="2" t="s">
        <v>107</v>
      </c>
      <c r="K505" s="2">
        <v>4106.22</v>
      </c>
      <c r="L505" s="2" t="str">
        <f t="shared" si="42"/>
        <v>April</v>
      </c>
      <c r="M505" s="2" t="str">
        <f t="shared" si="43"/>
        <v>April</v>
      </c>
      <c r="N505" t="str">
        <f t="shared" si="44"/>
        <v>Delivered</v>
      </c>
      <c r="O505">
        <f t="shared" si="45"/>
        <v>4</v>
      </c>
      <c r="P505" t="str">
        <f t="shared" si="46"/>
        <v>Completed</v>
      </c>
      <c r="Q505" t="str">
        <f t="shared" si="47"/>
        <v>Slow</v>
      </c>
      <c r="R505" t="str">
        <f>_xlfn.XLOOKUP(B505,CustomerMaster!$A$2:$A$287,CustomerMaster!$B$2:$B$287)</f>
        <v>Customer_6</v>
      </c>
      <c r="S505" t="str">
        <f>_xlfn.XLOOKUP(C505,ProductMaster!$A$2:$A$51,ProductMaster!$B$2:$B$51)</f>
        <v>Product_46</v>
      </c>
      <c r="T505" t="str">
        <f>_xlfn.XLOOKUP(G505,RegionMaster!$A$2:$A$5,RegionMaster!$B$2:$B$5)</f>
        <v>D</v>
      </c>
    </row>
    <row r="506" spans="1:20" ht="15.75" customHeight="1">
      <c r="A506" s="2" t="s">
        <v>1216</v>
      </c>
      <c r="B506" s="2" t="s">
        <v>673</v>
      </c>
      <c r="C506" s="2" t="s">
        <v>118</v>
      </c>
      <c r="D506" s="3">
        <v>45755</v>
      </c>
      <c r="E506" s="3">
        <v>45760</v>
      </c>
      <c r="F506" s="4"/>
      <c r="G506" s="2" t="s">
        <v>7</v>
      </c>
      <c r="H506" s="2" t="s">
        <v>16</v>
      </c>
      <c r="I506" s="2" t="s">
        <v>178</v>
      </c>
      <c r="J506" s="2" t="s">
        <v>133</v>
      </c>
      <c r="K506" s="2">
        <v>3486.71</v>
      </c>
      <c r="L506" s="2" t="str">
        <f t="shared" si="42"/>
        <v>April</v>
      </c>
      <c r="M506" s="2" t="str">
        <f t="shared" si="43"/>
        <v>April</v>
      </c>
      <c r="N506" t="str">
        <f t="shared" si="44"/>
        <v>Delivered</v>
      </c>
      <c r="O506">
        <f t="shared" si="45"/>
        <v>5</v>
      </c>
      <c r="P506" t="str">
        <f t="shared" si="46"/>
        <v>Completed</v>
      </c>
      <c r="Q506" t="str">
        <f t="shared" si="47"/>
        <v>Slow</v>
      </c>
      <c r="R506" t="str">
        <f>_xlfn.XLOOKUP(B506,CustomerMaster!$A$2:$A$287,CustomerMaster!$B$2:$B$287)</f>
        <v>Customer_219</v>
      </c>
      <c r="S506" t="str">
        <f>_xlfn.XLOOKUP(C506,ProductMaster!$A$2:$A$51,ProductMaster!$B$2:$B$51)</f>
        <v>Product_22</v>
      </c>
      <c r="T506" t="str">
        <f>_xlfn.XLOOKUP(G506,RegionMaster!$A$2:$A$5,RegionMaster!$B$2:$B$5)</f>
        <v>A</v>
      </c>
    </row>
    <row r="507" spans="1:20" ht="15.75" customHeight="1">
      <c r="A507" s="2" t="s">
        <v>1217</v>
      </c>
      <c r="B507" s="2" t="s">
        <v>392</v>
      </c>
      <c r="C507" s="2" t="s">
        <v>69</v>
      </c>
      <c r="D507" s="3">
        <v>45709</v>
      </c>
      <c r="E507" s="4"/>
      <c r="F507" s="3">
        <v>45711</v>
      </c>
      <c r="G507" s="2" t="s">
        <v>17</v>
      </c>
      <c r="H507" s="2" t="s">
        <v>27</v>
      </c>
      <c r="I507" s="2" t="s">
        <v>121</v>
      </c>
      <c r="J507" s="2" t="s">
        <v>107</v>
      </c>
      <c r="K507" s="2">
        <v>980.56</v>
      </c>
      <c r="L507" s="2" t="str">
        <f t="shared" si="42"/>
        <v>February</v>
      </c>
      <c r="M507" s="2" t="str">
        <f t="shared" si="43"/>
        <v>Cancelled</v>
      </c>
      <c r="N507" t="str">
        <f t="shared" si="44"/>
        <v>Cancelled</v>
      </c>
      <c r="O507" t="str">
        <f t="shared" si="45"/>
        <v>Order Cancelled</v>
      </c>
      <c r="P507" t="str">
        <f t="shared" si="46"/>
        <v>Cancelled</v>
      </c>
      <c r="Q507" t="str">
        <f t="shared" si="47"/>
        <v>Cancelled</v>
      </c>
      <c r="R507" t="str">
        <f>_xlfn.XLOOKUP(B507,CustomerMaster!$A$2:$A$287,CustomerMaster!$B$2:$B$287)</f>
        <v>Customer_101</v>
      </c>
      <c r="S507" t="str">
        <f>_xlfn.XLOOKUP(C507,ProductMaster!$A$2:$A$51,ProductMaster!$B$2:$B$51)</f>
        <v>Product_9</v>
      </c>
      <c r="T507" t="str">
        <f>_xlfn.XLOOKUP(G507,RegionMaster!$A$2:$A$5,RegionMaster!$B$2:$B$5)</f>
        <v>B</v>
      </c>
    </row>
    <row r="508" spans="1:20" ht="15.75" customHeight="1">
      <c r="A508" s="2" t="s">
        <v>1218</v>
      </c>
      <c r="B508" s="2" t="s">
        <v>789</v>
      </c>
      <c r="C508" s="2" t="s">
        <v>91</v>
      </c>
      <c r="D508" s="3">
        <v>45693</v>
      </c>
      <c r="E508" s="3">
        <v>45694</v>
      </c>
      <c r="F508" s="4"/>
      <c r="G508" s="2" t="s">
        <v>17</v>
      </c>
      <c r="H508" s="2" t="s">
        <v>59</v>
      </c>
      <c r="I508" s="2" t="s">
        <v>121</v>
      </c>
      <c r="J508" s="2" t="s">
        <v>107</v>
      </c>
      <c r="K508" s="2">
        <v>4572.45</v>
      </c>
      <c r="L508" s="2" t="str">
        <f t="shared" si="42"/>
        <v>February</v>
      </c>
      <c r="M508" s="2" t="str">
        <f t="shared" si="43"/>
        <v>February</v>
      </c>
      <c r="N508" t="str">
        <f t="shared" si="44"/>
        <v>Delivered</v>
      </c>
      <c r="O508">
        <f t="shared" si="45"/>
        <v>1</v>
      </c>
      <c r="P508" t="str">
        <f t="shared" si="46"/>
        <v>Completed</v>
      </c>
      <c r="Q508" t="str">
        <f t="shared" si="47"/>
        <v>Fast</v>
      </c>
      <c r="R508" t="str">
        <f>_xlfn.XLOOKUP(B508,CustomerMaster!$A$2:$A$287,CustomerMaster!$B$2:$B$287)</f>
        <v>Customer_277</v>
      </c>
      <c r="S508" t="str">
        <f>_xlfn.XLOOKUP(C508,ProductMaster!$A$2:$A$51,ProductMaster!$B$2:$B$51)</f>
        <v>Product_16</v>
      </c>
      <c r="T508" t="str">
        <f>_xlfn.XLOOKUP(G508,RegionMaster!$A$2:$A$5,RegionMaster!$B$2:$B$5)</f>
        <v>B</v>
      </c>
    </row>
    <row r="509" spans="1:20" ht="15.75" customHeight="1">
      <c r="A509" s="2" t="s">
        <v>1219</v>
      </c>
      <c r="B509" s="2" t="s">
        <v>391</v>
      </c>
      <c r="C509" s="2" t="s">
        <v>141</v>
      </c>
      <c r="D509" s="3">
        <v>45748</v>
      </c>
      <c r="E509" s="3">
        <v>45753</v>
      </c>
      <c r="F509" s="4"/>
      <c r="G509" s="2" t="s">
        <v>45</v>
      </c>
      <c r="H509" s="2" t="s">
        <v>16</v>
      </c>
      <c r="I509" s="2" t="s">
        <v>121</v>
      </c>
      <c r="J509" s="2" t="s">
        <v>107</v>
      </c>
      <c r="K509" s="2">
        <v>4148.18</v>
      </c>
      <c r="L509" s="2" t="str">
        <f t="shared" si="42"/>
        <v>April</v>
      </c>
      <c r="M509" s="2" t="str">
        <f t="shared" si="43"/>
        <v>April</v>
      </c>
      <c r="N509" t="str">
        <f t="shared" si="44"/>
        <v>Delivered</v>
      </c>
      <c r="O509">
        <f t="shared" si="45"/>
        <v>5</v>
      </c>
      <c r="P509" t="str">
        <f t="shared" si="46"/>
        <v>Completed</v>
      </c>
      <c r="Q509" t="str">
        <f t="shared" si="47"/>
        <v>Slow</v>
      </c>
      <c r="R509" t="str">
        <f>_xlfn.XLOOKUP(B509,CustomerMaster!$A$2:$A$287,CustomerMaster!$B$2:$B$287)</f>
        <v>Customer_178</v>
      </c>
      <c r="S509" t="str">
        <f>_xlfn.XLOOKUP(C509,ProductMaster!$A$2:$A$51,ProductMaster!$B$2:$B$51)</f>
        <v>Product_42</v>
      </c>
      <c r="T509" t="str">
        <f>_xlfn.XLOOKUP(G509,RegionMaster!$A$2:$A$5,RegionMaster!$B$2:$B$5)</f>
        <v>D</v>
      </c>
    </row>
    <row r="510" spans="1:20" ht="15.75" customHeight="1">
      <c r="A510" s="2" t="s">
        <v>1220</v>
      </c>
      <c r="B510" s="2" t="s">
        <v>617</v>
      </c>
      <c r="C510" s="2" t="s">
        <v>146</v>
      </c>
      <c r="D510" s="3">
        <v>45682</v>
      </c>
      <c r="E510" s="3">
        <v>45683</v>
      </c>
      <c r="F510" s="4"/>
      <c r="G510" s="2" t="s">
        <v>7</v>
      </c>
      <c r="H510" s="2" t="s">
        <v>54</v>
      </c>
      <c r="I510" s="2" t="s">
        <v>106</v>
      </c>
      <c r="J510" s="2" t="s">
        <v>133</v>
      </c>
      <c r="K510" s="2">
        <v>4759.04</v>
      </c>
      <c r="L510" s="2" t="str">
        <f t="shared" si="42"/>
        <v>January</v>
      </c>
      <c r="M510" s="2" t="str">
        <f t="shared" si="43"/>
        <v>January</v>
      </c>
      <c r="N510" t="str">
        <f t="shared" si="44"/>
        <v>Delivered</v>
      </c>
      <c r="O510">
        <f t="shared" si="45"/>
        <v>1</v>
      </c>
      <c r="P510" t="str">
        <f t="shared" si="46"/>
        <v>Completed</v>
      </c>
      <c r="Q510" t="str">
        <f t="shared" si="47"/>
        <v>Fast</v>
      </c>
      <c r="R510" t="str">
        <f>_xlfn.XLOOKUP(B510,CustomerMaster!$A$2:$A$287,CustomerMaster!$B$2:$B$287)</f>
        <v>Customer_194</v>
      </c>
      <c r="S510" t="str">
        <f>_xlfn.XLOOKUP(C510,ProductMaster!$A$2:$A$51,ProductMaster!$B$2:$B$51)</f>
        <v>Product_30</v>
      </c>
      <c r="T510" t="str">
        <f>_xlfn.XLOOKUP(G510,RegionMaster!$A$2:$A$5,RegionMaster!$B$2:$B$5)</f>
        <v>A</v>
      </c>
    </row>
    <row r="511" spans="1:20" ht="15.75" customHeight="1">
      <c r="A511" s="2" t="s">
        <v>1221</v>
      </c>
      <c r="B511" s="2" t="s">
        <v>673</v>
      </c>
      <c r="C511" s="2" t="s">
        <v>83</v>
      </c>
      <c r="D511" s="3">
        <v>45709</v>
      </c>
      <c r="E511" s="4"/>
      <c r="F511" s="3">
        <v>45711</v>
      </c>
      <c r="G511" s="2" t="s">
        <v>7</v>
      </c>
      <c r="H511" s="2" t="s">
        <v>59</v>
      </c>
      <c r="I511" s="2" t="s">
        <v>195</v>
      </c>
      <c r="J511" s="2" t="s">
        <v>94</v>
      </c>
      <c r="K511" s="2">
        <v>3683.45</v>
      </c>
      <c r="L511" s="2" t="str">
        <f t="shared" si="42"/>
        <v>February</v>
      </c>
      <c r="M511" s="2" t="str">
        <f t="shared" si="43"/>
        <v>Cancelled</v>
      </c>
      <c r="N511" t="str">
        <f t="shared" si="44"/>
        <v>Cancelled</v>
      </c>
      <c r="O511" t="str">
        <f t="shared" si="45"/>
        <v>Order Cancelled</v>
      </c>
      <c r="P511" t="str">
        <f t="shared" si="46"/>
        <v>Cancelled</v>
      </c>
      <c r="Q511" t="str">
        <f t="shared" si="47"/>
        <v>Cancelled</v>
      </c>
      <c r="R511" t="str">
        <f>_xlfn.XLOOKUP(B511,CustomerMaster!$A$2:$A$287,CustomerMaster!$B$2:$B$287)</f>
        <v>Customer_219</v>
      </c>
      <c r="S511" t="str">
        <f>_xlfn.XLOOKUP(C511,ProductMaster!$A$2:$A$51,ProductMaster!$B$2:$B$51)</f>
        <v>Product_14</v>
      </c>
      <c r="T511" t="str">
        <f>_xlfn.XLOOKUP(G511,RegionMaster!$A$2:$A$5,RegionMaster!$B$2:$B$5)</f>
        <v>A</v>
      </c>
    </row>
    <row r="512" spans="1:20" ht="15.75" customHeight="1">
      <c r="A512" s="2" t="s">
        <v>1222</v>
      </c>
      <c r="B512" s="2" t="s">
        <v>275</v>
      </c>
      <c r="C512" s="2" t="s">
        <v>102</v>
      </c>
      <c r="D512" s="3">
        <v>45669</v>
      </c>
      <c r="E512" s="4"/>
      <c r="F512" s="3">
        <v>45670</v>
      </c>
      <c r="G512" s="2" t="s">
        <v>7</v>
      </c>
      <c r="H512" s="2" t="s">
        <v>59</v>
      </c>
      <c r="I512" s="2" t="s">
        <v>195</v>
      </c>
      <c r="J512" s="2" t="s">
        <v>107</v>
      </c>
      <c r="K512" s="2">
        <v>3144.39</v>
      </c>
      <c r="L512" s="2" t="str">
        <f t="shared" si="42"/>
        <v>January</v>
      </c>
      <c r="M512" s="2" t="str">
        <f t="shared" si="43"/>
        <v>Cancelled</v>
      </c>
      <c r="N512" t="str">
        <f t="shared" si="44"/>
        <v>Cancelled</v>
      </c>
      <c r="O512" t="str">
        <f t="shared" si="45"/>
        <v>Order Cancelled</v>
      </c>
      <c r="P512" t="str">
        <f t="shared" si="46"/>
        <v>Cancelled</v>
      </c>
      <c r="Q512" t="str">
        <f t="shared" si="47"/>
        <v>Cancelled</v>
      </c>
      <c r="R512" t="str">
        <f>_xlfn.XLOOKUP(B512,CustomerMaster!$A$2:$A$287,CustomerMaster!$B$2:$B$287)</f>
        <v>Customer_199</v>
      </c>
      <c r="S512" t="str">
        <f>_xlfn.XLOOKUP(C512,ProductMaster!$A$2:$A$51,ProductMaster!$B$2:$B$51)</f>
        <v>Product_18</v>
      </c>
      <c r="T512" t="str">
        <f>_xlfn.XLOOKUP(G512,RegionMaster!$A$2:$A$5,RegionMaster!$B$2:$B$5)</f>
        <v>A</v>
      </c>
    </row>
    <row r="513" spans="1:20" ht="15.75" customHeight="1">
      <c r="A513" s="2" t="s">
        <v>1223</v>
      </c>
      <c r="B513" s="2" t="s">
        <v>401</v>
      </c>
      <c r="C513" s="2" t="s">
        <v>130</v>
      </c>
      <c r="D513" s="3">
        <v>45747</v>
      </c>
      <c r="E513" s="3">
        <v>45750</v>
      </c>
      <c r="F513" s="4"/>
      <c r="G513" s="2" t="s">
        <v>22</v>
      </c>
      <c r="H513" s="2" t="s">
        <v>59</v>
      </c>
      <c r="I513" s="2" t="s">
        <v>121</v>
      </c>
      <c r="J513" s="2" t="s">
        <v>107</v>
      </c>
      <c r="K513" s="2">
        <v>2207.5700000000002</v>
      </c>
      <c r="L513" s="2" t="str">
        <f t="shared" si="42"/>
        <v>March</v>
      </c>
      <c r="M513" s="2" t="str">
        <f t="shared" si="43"/>
        <v>April</v>
      </c>
      <c r="N513" t="str">
        <f t="shared" si="44"/>
        <v>Delivered</v>
      </c>
      <c r="O513">
        <f t="shared" si="45"/>
        <v>3</v>
      </c>
      <c r="P513" t="str">
        <f t="shared" si="46"/>
        <v>Completed</v>
      </c>
      <c r="Q513" t="str">
        <f t="shared" si="47"/>
        <v>Slow</v>
      </c>
      <c r="R513" t="str">
        <f>_xlfn.XLOOKUP(B513,CustomerMaster!$A$2:$A$287,CustomerMaster!$B$2:$B$287)</f>
        <v>Customer_105</v>
      </c>
      <c r="S513" t="str">
        <f>_xlfn.XLOOKUP(C513,ProductMaster!$A$2:$A$51,ProductMaster!$B$2:$B$51)</f>
        <v>Product_26</v>
      </c>
      <c r="T513" t="str">
        <f>_xlfn.XLOOKUP(G513,RegionMaster!$A$2:$A$5,RegionMaster!$B$2:$B$5)</f>
        <v>C</v>
      </c>
    </row>
    <row r="514" spans="1:20" ht="15.75" customHeight="1">
      <c r="A514" s="2" t="s">
        <v>1224</v>
      </c>
      <c r="B514" s="2" t="s">
        <v>309</v>
      </c>
      <c r="C514" s="2" t="s">
        <v>56</v>
      </c>
      <c r="D514" s="3">
        <v>45728</v>
      </c>
      <c r="E514" s="4"/>
      <c r="F514" s="3">
        <v>45729</v>
      </c>
      <c r="G514" s="2" t="s">
        <v>17</v>
      </c>
      <c r="H514" s="2" t="s">
        <v>27</v>
      </c>
      <c r="I514" s="2" t="s">
        <v>178</v>
      </c>
      <c r="J514" s="2" t="s">
        <v>133</v>
      </c>
      <c r="K514" s="2">
        <v>4677.1000000000004</v>
      </c>
      <c r="L514" s="2" t="str">
        <f t="shared" si="42"/>
        <v>March</v>
      </c>
      <c r="M514" s="2" t="str">
        <f t="shared" si="43"/>
        <v>Cancelled</v>
      </c>
      <c r="N514" t="str">
        <f t="shared" si="44"/>
        <v>Cancelled</v>
      </c>
      <c r="O514" t="str">
        <f t="shared" si="45"/>
        <v>Order Cancelled</v>
      </c>
      <c r="P514" t="str">
        <f t="shared" si="46"/>
        <v>Cancelled</v>
      </c>
      <c r="Q514" t="str">
        <f t="shared" si="47"/>
        <v>Cancelled</v>
      </c>
      <c r="R514" t="str">
        <f>_xlfn.XLOOKUP(B514,CustomerMaster!$A$2:$A$287,CustomerMaster!$B$2:$B$287)</f>
        <v>Customer_65</v>
      </c>
      <c r="S514" t="str">
        <f>_xlfn.XLOOKUP(C514,ProductMaster!$A$2:$A$51,ProductMaster!$B$2:$B$51)</f>
        <v>Product_7</v>
      </c>
      <c r="T514" t="str">
        <f>_xlfn.XLOOKUP(G514,RegionMaster!$A$2:$A$5,RegionMaster!$B$2:$B$5)</f>
        <v>B</v>
      </c>
    </row>
    <row r="515" spans="1:20" ht="15.75" customHeight="1">
      <c r="A515" s="2" t="s">
        <v>1225</v>
      </c>
      <c r="B515" s="2" t="s">
        <v>750</v>
      </c>
      <c r="C515" s="2" t="s">
        <v>50</v>
      </c>
      <c r="D515" s="3">
        <v>45674</v>
      </c>
      <c r="E515" s="3">
        <v>45678</v>
      </c>
      <c r="F515" s="4"/>
      <c r="G515" s="2" t="s">
        <v>17</v>
      </c>
      <c r="H515" s="2" t="s">
        <v>16</v>
      </c>
      <c r="I515" s="2" t="s">
        <v>121</v>
      </c>
      <c r="J515" s="2" t="s">
        <v>133</v>
      </c>
      <c r="K515" s="2">
        <v>4357.1099999999997</v>
      </c>
      <c r="L515" s="2" t="str">
        <f t="shared" ref="L515:L578" si="48">TEXT(D515,"MMMM")</f>
        <v>January</v>
      </c>
      <c r="M515" s="2" t="str">
        <f t="shared" ref="M515:M578" si="49">IF(NOT(ISBLANK(E515)),TEXT(E515,"MMMM"),"Cancelled")</f>
        <v>January</v>
      </c>
      <c r="N515" t="str">
        <f t="shared" ref="N515:N578" si="50">IF(F515="","Delivered","Cancelled")</f>
        <v>Delivered</v>
      </c>
      <c r="O515">
        <f t="shared" ref="O515:O578" si="51">IF(E515="","Order Cancelled",_xlfn.DAYS(E515,D515))</f>
        <v>4</v>
      </c>
      <c r="P515" t="str">
        <f t="shared" ref="P515:P578" si="52">IF(F515="","Completed","Cancelled")</f>
        <v>Completed</v>
      </c>
      <c r="Q515" t="str">
        <f t="shared" ref="Q515:Q578" si="53">IF(O515="Order Cancelled","Cancelled",IF(O515&lt;=2,"Fast","Slow"))</f>
        <v>Slow</v>
      </c>
      <c r="R515" t="str">
        <f>_xlfn.XLOOKUP(B515,CustomerMaster!$A$2:$A$287,CustomerMaster!$B$2:$B$287)</f>
        <v>Customer_254</v>
      </c>
      <c r="S515" t="str">
        <f>_xlfn.XLOOKUP(C515,ProductMaster!$A$2:$A$51,ProductMaster!$B$2:$B$51)</f>
        <v>Product_6</v>
      </c>
      <c r="T515" t="str">
        <f>_xlfn.XLOOKUP(G515,RegionMaster!$A$2:$A$5,RegionMaster!$B$2:$B$5)</f>
        <v>B</v>
      </c>
    </row>
    <row r="516" spans="1:20" ht="15.75" customHeight="1">
      <c r="A516" s="2" t="s">
        <v>1226</v>
      </c>
      <c r="B516" s="2" t="s">
        <v>407</v>
      </c>
      <c r="C516" s="2" t="s">
        <v>39</v>
      </c>
      <c r="D516" s="3">
        <v>45673</v>
      </c>
      <c r="E516" s="4"/>
      <c r="F516" s="3">
        <v>45675</v>
      </c>
      <c r="G516" s="2" t="s">
        <v>22</v>
      </c>
      <c r="H516" s="2" t="s">
        <v>16</v>
      </c>
      <c r="I516" s="2" t="s">
        <v>195</v>
      </c>
      <c r="J516" s="2" t="s">
        <v>107</v>
      </c>
      <c r="K516" s="2">
        <v>417.05</v>
      </c>
      <c r="L516" s="2" t="str">
        <f t="shared" si="48"/>
        <v>January</v>
      </c>
      <c r="M516" s="2" t="str">
        <f t="shared" si="49"/>
        <v>Cancelled</v>
      </c>
      <c r="N516" t="str">
        <f t="shared" si="50"/>
        <v>Cancelled</v>
      </c>
      <c r="O516" t="str">
        <f t="shared" si="51"/>
        <v>Order Cancelled</v>
      </c>
      <c r="P516" t="str">
        <f t="shared" si="52"/>
        <v>Cancelled</v>
      </c>
      <c r="Q516" t="str">
        <f t="shared" si="53"/>
        <v>Cancelled</v>
      </c>
      <c r="R516" t="str">
        <f>_xlfn.XLOOKUP(B516,CustomerMaster!$A$2:$A$287,CustomerMaster!$B$2:$B$287)</f>
        <v>Customer_215</v>
      </c>
      <c r="S516" t="str">
        <f>_xlfn.XLOOKUP(C516,ProductMaster!$A$2:$A$51,ProductMaster!$B$2:$B$51)</f>
        <v>Product_4</v>
      </c>
      <c r="T516" t="str">
        <f>_xlfn.XLOOKUP(G516,RegionMaster!$A$2:$A$5,RegionMaster!$B$2:$B$5)</f>
        <v>C</v>
      </c>
    </row>
    <row r="517" spans="1:20" ht="15.75" customHeight="1">
      <c r="A517" s="2" t="s">
        <v>1227</v>
      </c>
      <c r="B517" s="2" t="s">
        <v>371</v>
      </c>
      <c r="C517" s="2" t="s">
        <v>153</v>
      </c>
      <c r="D517" s="3">
        <v>45774</v>
      </c>
      <c r="E517" s="3">
        <v>45776</v>
      </c>
      <c r="F517" s="4"/>
      <c r="G517" s="2" t="s">
        <v>7</v>
      </c>
      <c r="H517" s="2" t="s">
        <v>59</v>
      </c>
      <c r="I517" s="2" t="s">
        <v>121</v>
      </c>
      <c r="J517" s="2" t="s">
        <v>133</v>
      </c>
      <c r="K517" s="2">
        <v>326.56</v>
      </c>
      <c r="L517" s="2" t="str">
        <f t="shared" si="48"/>
        <v>April</v>
      </c>
      <c r="M517" s="2" t="str">
        <f t="shared" si="49"/>
        <v>April</v>
      </c>
      <c r="N517" t="str">
        <f t="shared" si="50"/>
        <v>Delivered</v>
      </c>
      <c r="O517">
        <f t="shared" si="51"/>
        <v>2</v>
      </c>
      <c r="P517" t="str">
        <f t="shared" si="52"/>
        <v>Completed</v>
      </c>
      <c r="Q517" t="str">
        <f t="shared" si="53"/>
        <v>Fast</v>
      </c>
      <c r="R517" t="str">
        <f>_xlfn.XLOOKUP(B517,CustomerMaster!$A$2:$A$287,CustomerMaster!$B$2:$B$287)</f>
        <v>Customer_93</v>
      </c>
      <c r="S517" t="str">
        <f>_xlfn.XLOOKUP(C517,ProductMaster!$A$2:$A$51,ProductMaster!$B$2:$B$51)</f>
        <v>Product_32</v>
      </c>
      <c r="T517" t="str">
        <f>_xlfn.XLOOKUP(G517,RegionMaster!$A$2:$A$5,RegionMaster!$B$2:$B$5)</f>
        <v>A</v>
      </c>
    </row>
    <row r="518" spans="1:20" ht="15.75" customHeight="1">
      <c r="A518" s="2" t="s">
        <v>1228</v>
      </c>
      <c r="B518" s="2" t="s">
        <v>651</v>
      </c>
      <c r="C518" s="2" t="s">
        <v>141</v>
      </c>
      <c r="D518" s="3">
        <v>45742</v>
      </c>
      <c r="E518" s="3">
        <v>45746</v>
      </c>
      <c r="F518" s="4"/>
      <c r="G518" s="2" t="s">
        <v>45</v>
      </c>
      <c r="H518" s="2" t="s">
        <v>59</v>
      </c>
      <c r="I518" s="2" t="s">
        <v>106</v>
      </c>
      <c r="J518" s="2" t="s">
        <v>133</v>
      </c>
      <c r="K518" s="2">
        <v>2007.02</v>
      </c>
      <c r="L518" s="2" t="str">
        <f t="shared" si="48"/>
        <v>March</v>
      </c>
      <c r="M518" s="2" t="str">
        <f t="shared" si="49"/>
        <v>March</v>
      </c>
      <c r="N518" t="str">
        <f t="shared" si="50"/>
        <v>Delivered</v>
      </c>
      <c r="O518">
        <f t="shared" si="51"/>
        <v>4</v>
      </c>
      <c r="P518" t="str">
        <f t="shared" si="52"/>
        <v>Completed</v>
      </c>
      <c r="Q518" t="str">
        <f t="shared" si="53"/>
        <v>Slow</v>
      </c>
      <c r="R518" t="str">
        <f>_xlfn.XLOOKUP(B518,CustomerMaster!$A$2:$A$287,CustomerMaster!$B$2:$B$287)</f>
        <v>Customer_209</v>
      </c>
      <c r="S518" t="str">
        <f>_xlfn.XLOOKUP(C518,ProductMaster!$A$2:$A$51,ProductMaster!$B$2:$B$51)</f>
        <v>Product_42</v>
      </c>
      <c r="T518" t="str">
        <f>_xlfn.XLOOKUP(G518,RegionMaster!$A$2:$A$5,RegionMaster!$B$2:$B$5)</f>
        <v>D</v>
      </c>
    </row>
    <row r="519" spans="1:20" ht="15.75" customHeight="1">
      <c r="A519" s="2" t="s">
        <v>1229</v>
      </c>
      <c r="B519" s="2" t="s">
        <v>471</v>
      </c>
      <c r="C519" s="2" t="s">
        <v>69</v>
      </c>
      <c r="D519" s="3">
        <v>45740</v>
      </c>
      <c r="E519" s="4"/>
      <c r="F519" s="3">
        <v>45742</v>
      </c>
      <c r="G519" s="2" t="s">
        <v>7</v>
      </c>
      <c r="H519" s="2" t="s">
        <v>27</v>
      </c>
      <c r="I519" s="2" t="s">
        <v>90</v>
      </c>
      <c r="J519" s="2" t="s">
        <v>133</v>
      </c>
      <c r="K519" s="2">
        <v>4090.66</v>
      </c>
      <c r="L519" s="2" t="str">
        <f t="shared" si="48"/>
        <v>March</v>
      </c>
      <c r="M519" s="2" t="str">
        <f t="shared" si="49"/>
        <v>Cancelled</v>
      </c>
      <c r="N519" t="str">
        <f t="shared" si="50"/>
        <v>Cancelled</v>
      </c>
      <c r="O519" t="str">
        <f t="shared" si="51"/>
        <v>Order Cancelled</v>
      </c>
      <c r="P519" t="str">
        <f t="shared" si="52"/>
        <v>Cancelled</v>
      </c>
      <c r="Q519" t="str">
        <f t="shared" si="53"/>
        <v>Cancelled</v>
      </c>
      <c r="R519" t="str">
        <f>_xlfn.XLOOKUP(B519,CustomerMaster!$A$2:$A$287,CustomerMaster!$B$2:$B$287)</f>
        <v>Customer_134</v>
      </c>
      <c r="S519" t="str">
        <f>_xlfn.XLOOKUP(C519,ProductMaster!$A$2:$A$51,ProductMaster!$B$2:$B$51)</f>
        <v>Product_9</v>
      </c>
      <c r="T519" t="str">
        <f>_xlfn.XLOOKUP(G519,RegionMaster!$A$2:$A$5,RegionMaster!$B$2:$B$5)</f>
        <v>A</v>
      </c>
    </row>
    <row r="520" spans="1:20" ht="15.75" customHeight="1">
      <c r="A520" s="2" t="s">
        <v>1230</v>
      </c>
      <c r="B520" s="2" t="s">
        <v>171</v>
      </c>
      <c r="C520" s="2" t="s">
        <v>122</v>
      </c>
      <c r="D520" s="3">
        <v>45776</v>
      </c>
      <c r="E520" s="3">
        <v>45777</v>
      </c>
      <c r="F520" s="4"/>
      <c r="G520" s="2" t="s">
        <v>7</v>
      </c>
      <c r="H520" s="2" t="s">
        <v>27</v>
      </c>
      <c r="I520" s="2" t="s">
        <v>90</v>
      </c>
      <c r="J520" s="2" t="s">
        <v>107</v>
      </c>
      <c r="K520" s="2">
        <v>4938.93</v>
      </c>
      <c r="L520" s="2" t="str">
        <f t="shared" si="48"/>
        <v>April</v>
      </c>
      <c r="M520" s="2" t="str">
        <f t="shared" si="49"/>
        <v>April</v>
      </c>
      <c r="N520" t="str">
        <f t="shared" si="50"/>
        <v>Delivered</v>
      </c>
      <c r="O520">
        <f t="shared" si="51"/>
        <v>1</v>
      </c>
      <c r="P520" t="str">
        <f t="shared" si="52"/>
        <v>Completed</v>
      </c>
      <c r="Q520" t="str">
        <f t="shared" si="53"/>
        <v>Fast</v>
      </c>
      <c r="R520" t="str">
        <f>_xlfn.XLOOKUP(B520,CustomerMaster!$A$2:$A$287,CustomerMaster!$B$2:$B$287)</f>
        <v>Customer_250</v>
      </c>
      <c r="S520" t="str">
        <f>_xlfn.XLOOKUP(C520,ProductMaster!$A$2:$A$51,ProductMaster!$B$2:$B$51)</f>
        <v>Product_23</v>
      </c>
      <c r="T520" t="str">
        <f>_xlfn.XLOOKUP(G520,RegionMaster!$A$2:$A$5,RegionMaster!$B$2:$B$5)</f>
        <v>A</v>
      </c>
    </row>
    <row r="521" spans="1:20" ht="15.75" customHeight="1">
      <c r="A521" s="2" t="s">
        <v>1231</v>
      </c>
      <c r="B521" s="2" t="s">
        <v>221</v>
      </c>
      <c r="C521" s="2" t="s">
        <v>101</v>
      </c>
      <c r="D521" s="3">
        <v>45675</v>
      </c>
      <c r="E521" s="3">
        <v>45680</v>
      </c>
      <c r="F521" s="4"/>
      <c r="G521" s="2" t="s">
        <v>45</v>
      </c>
      <c r="H521" s="2" t="s">
        <v>27</v>
      </c>
      <c r="I521" s="2" t="s">
        <v>178</v>
      </c>
      <c r="J521" s="2" t="s">
        <v>94</v>
      </c>
      <c r="K521" s="2">
        <v>922</v>
      </c>
      <c r="L521" s="2" t="str">
        <f t="shared" si="48"/>
        <v>January</v>
      </c>
      <c r="M521" s="2" t="str">
        <f t="shared" si="49"/>
        <v>January</v>
      </c>
      <c r="N521" t="str">
        <f t="shared" si="50"/>
        <v>Delivered</v>
      </c>
      <c r="O521">
        <f t="shared" si="51"/>
        <v>5</v>
      </c>
      <c r="P521" t="str">
        <f t="shared" si="52"/>
        <v>Completed</v>
      </c>
      <c r="Q521" t="str">
        <f t="shared" si="53"/>
        <v>Slow</v>
      </c>
      <c r="R521" t="str">
        <f>_xlfn.XLOOKUP(B521,CustomerMaster!$A$2:$A$287,CustomerMaster!$B$2:$B$287)</f>
        <v>Customer_68</v>
      </c>
      <c r="S521" t="str">
        <f>_xlfn.XLOOKUP(C521,ProductMaster!$A$2:$A$51,ProductMaster!$B$2:$B$51)</f>
        <v>Product_27</v>
      </c>
      <c r="T521" t="str">
        <f>_xlfn.XLOOKUP(G521,RegionMaster!$A$2:$A$5,RegionMaster!$B$2:$B$5)</f>
        <v>D</v>
      </c>
    </row>
    <row r="522" spans="1:20" ht="15.75" customHeight="1">
      <c r="A522" s="2" t="s">
        <v>1232</v>
      </c>
      <c r="B522" s="2" t="s">
        <v>371</v>
      </c>
      <c r="C522" s="2" t="s">
        <v>69</v>
      </c>
      <c r="D522" s="3">
        <v>45750</v>
      </c>
      <c r="E522" s="4"/>
      <c r="F522" s="3">
        <v>45750</v>
      </c>
      <c r="G522" s="2" t="s">
        <v>45</v>
      </c>
      <c r="H522" s="2" t="s">
        <v>54</v>
      </c>
      <c r="I522" s="2" t="s">
        <v>195</v>
      </c>
      <c r="J522" s="2" t="s">
        <v>107</v>
      </c>
      <c r="K522" s="2">
        <v>3051.83</v>
      </c>
      <c r="L522" s="2" t="str">
        <f t="shared" si="48"/>
        <v>April</v>
      </c>
      <c r="M522" s="2" t="str">
        <f t="shared" si="49"/>
        <v>Cancelled</v>
      </c>
      <c r="N522" t="str">
        <f t="shared" si="50"/>
        <v>Cancelled</v>
      </c>
      <c r="O522" t="str">
        <f t="shared" si="51"/>
        <v>Order Cancelled</v>
      </c>
      <c r="P522" t="str">
        <f t="shared" si="52"/>
        <v>Cancelled</v>
      </c>
      <c r="Q522" t="str">
        <f t="shared" si="53"/>
        <v>Cancelled</v>
      </c>
      <c r="R522" t="str">
        <f>_xlfn.XLOOKUP(B522,CustomerMaster!$A$2:$A$287,CustomerMaster!$B$2:$B$287)</f>
        <v>Customer_93</v>
      </c>
      <c r="S522" t="str">
        <f>_xlfn.XLOOKUP(C522,ProductMaster!$A$2:$A$51,ProductMaster!$B$2:$B$51)</f>
        <v>Product_9</v>
      </c>
      <c r="T522" t="str">
        <f>_xlfn.XLOOKUP(G522,RegionMaster!$A$2:$A$5,RegionMaster!$B$2:$B$5)</f>
        <v>D</v>
      </c>
    </row>
    <row r="523" spans="1:20" ht="15.75" customHeight="1">
      <c r="A523" s="2" t="s">
        <v>1233</v>
      </c>
      <c r="B523" s="2" t="s">
        <v>538</v>
      </c>
      <c r="C523" s="2" t="s">
        <v>162</v>
      </c>
      <c r="D523" s="3">
        <v>45736</v>
      </c>
      <c r="E523" s="3">
        <v>45740</v>
      </c>
      <c r="F523" s="4"/>
      <c r="G523" s="2" t="s">
        <v>22</v>
      </c>
      <c r="H523" s="2" t="s">
        <v>16</v>
      </c>
      <c r="I523" s="2" t="s">
        <v>90</v>
      </c>
      <c r="J523" s="2" t="s">
        <v>107</v>
      </c>
      <c r="K523" s="2">
        <v>2028.28</v>
      </c>
      <c r="L523" s="2" t="str">
        <f t="shared" si="48"/>
        <v>March</v>
      </c>
      <c r="M523" s="2" t="str">
        <f t="shared" si="49"/>
        <v>March</v>
      </c>
      <c r="N523" t="str">
        <f t="shared" si="50"/>
        <v>Delivered</v>
      </c>
      <c r="O523">
        <f t="shared" si="51"/>
        <v>4</v>
      </c>
      <c r="P523" t="str">
        <f t="shared" si="52"/>
        <v>Completed</v>
      </c>
      <c r="Q523" t="str">
        <f t="shared" si="53"/>
        <v>Slow</v>
      </c>
      <c r="R523" t="str">
        <f>_xlfn.XLOOKUP(B523,CustomerMaster!$A$2:$A$287,CustomerMaster!$B$2:$B$287)</f>
        <v>Customer_161</v>
      </c>
      <c r="S523" t="str">
        <f>_xlfn.XLOOKUP(C523,ProductMaster!$A$2:$A$51,ProductMaster!$B$2:$B$51)</f>
        <v>Product_35</v>
      </c>
      <c r="T523" t="str">
        <f>_xlfn.XLOOKUP(G523,RegionMaster!$A$2:$A$5,RegionMaster!$B$2:$B$5)</f>
        <v>C</v>
      </c>
    </row>
    <row r="524" spans="1:20" ht="15.75" customHeight="1">
      <c r="A524" s="2" t="s">
        <v>1234</v>
      </c>
      <c r="B524" s="2" t="s">
        <v>359</v>
      </c>
      <c r="C524" s="2" t="s">
        <v>63</v>
      </c>
      <c r="D524" s="3">
        <v>45695</v>
      </c>
      <c r="E524" s="3">
        <v>45697</v>
      </c>
      <c r="F524" s="4"/>
      <c r="G524" s="2" t="s">
        <v>17</v>
      </c>
      <c r="H524" s="2" t="s">
        <v>59</v>
      </c>
      <c r="I524" s="2" t="s">
        <v>195</v>
      </c>
      <c r="J524" s="2" t="s">
        <v>94</v>
      </c>
      <c r="K524" s="2">
        <v>4855.59</v>
      </c>
      <c r="L524" s="2" t="str">
        <f t="shared" si="48"/>
        <v>February</v>
      </c>
      <c r="M524" s="2" t="str">
        <f t="shared" si="49"/>
        <v>February</v>
      </c>
      <c r="N524" t="str">
        <f t="shared" si="50"/>
        <v>Delivered</v>
      </c>
      <c r="O524">
        <f t="shared" si="51"/>
        <v>2</v>
      </c>
      <c r="P524" t="str">
        <f t="shared" si="52"/>
        <v>Completed</v>
      </c>
      <c r="Q524" t="str">
        <f t="shared" si="53"/>
        <v>Fast</v>
      </c>
      <c r="R524" t="str">
        <f>_xlfn.XLOOKUP(B524,CustomerMaster!$A$2:$A$287,CustomerMaster!$B$2:$B$287)</f>
        <v>Customer_87</v>
      </c>
      <c r="S524" t="str">
        <f>_xlfn.XLOOKUP(C524,ProductMaster!$A$2:$A$51,ProductMaster!$B$2:$B$51)</f>
        <v>Product_8</v>
      </c>
      <c r="T524" t="str">
        <f>_xlfn.XLOOKUP(G524,RegionMaster!$A$2:$A$5,RegionMaster!$B$2:$B$5)</f>
        <v>B</v>
      </c>
    </row>
    <row r="525" spans="1:20" ht="15.75" customHeight="1">
      <c r="A525" s="2" t="s">
        <v>1235</v>
      </c>
      <c r="B525" s="2" t="s">
        <v>44</v>
      </c>
      <c r="C525" s="2" t="s">
        <v>102</v>
      </c>
      <c r="D525" s="3">
        <v>45753</v>
      </c>
      <c r="E525" s="4"/>
      <c r="F525" s="3">
        <v>45755</v>
      </c>
      <c r="G525" s="2" t="s">
        <v>17</v>
      </c>
      <c r="H525" s="2" t="s">
        <v>37</v>
      </c>
      <c r="I525" s="2" t="s">
        <v>195</v>
      </c>
      <c r="J525" s="2" t="s">
        <v>94</v>
      </c>
      <c r="K525" s="2">
        <v>4242.17</v>
      </c>
      <c r="L525" s="2" t="str">
        <f t="shared" si="48"/>
        <v>April</v>
      </c>
      <c r="M525" s="2" t="str">
        <f t="shared" si="49"/>
        <v>Cancelled</v>
      </c>
      <c r="N525" t="str">
        <f t="shared" si="50"/>
        <v>Cancelled</v>
      </c>
      <c r="O525" t="str">
        <f t="shared" si="51"/>
        <v>Order Cancelled</v>
      </c>
      <c r="P525" t="str">
        <f t="shared" si="52"/>
        <v>Cancelled</v>
      </c>
      <c r="Q525" t="str">
        <f t="shared" si="53"/>
        <v>Cancelled</v>
      </c>
      <c r="R525" t="str">
        <f>_xlfn.XLOOKUP(B525,CustomerMaster!$A$2:$A$287,CustomerMaster!$B$2:$B$287)</f>
        <v>Customer_4</v>
      </c>
      <c r="S525" t="str">
        <f>_xlfn.XLOOKUP(C525,ProductMaster!$A$2:$A$51,ProductMaster!$B$2:$B$51)</f>
        <v>Product_18</v>
      </c>
      <c r="T525" t="str">
        <f>_xlfn.XLOOKUP(G525,RegionMaster!$A$2:$A$5,RegionMaster!$B$2:$B$5)</f>
        <v>B</v>
      </c>
    </row>
    <row r="526" spans="1:20" ht="15.75" customHeight="1">
      <c r="A526" s="2" t="s">
        <v>1236</v>
      </c>
      <c r="B526" s="2" t="s">
        <v>600</v>
      </c>
      <c r="C526" s="2" t="s">
        <v>168</v>
      </c>
      <c r="D526" s="3">
        <v>45760</v>
      </c>
      <c r="E526" s="3">
        <v>45764</v>
      </c>
      <c r="F526" s="4"/>
      <c r="G526" s="2" t="s">
        <v>22</v>
      </c>
      <c r="H526" s="2" t="s">
        <v>59</v>
      </c>
      <c r="I526" s="2" t="s">
        <v>90</v>
      </c>
      <c r="J526" s="2" t="s">
        <v>107</v>
      </c>
      <c r="K526" s="2">
        <v>4223.9799999999996</v>
      </c>
      <c r="L526" s="2" t="str">
        <f t="shared" si="48"/>
        <v>April</v>
      </c>
      <c r="M526" s="2" t="str">
        <f t="shared" si="49"/>
        <v>April</v>
      </c>
      <c r="N526" t="str">
        <f t="shared" si="50"/>
        <v>Delivered</v>
      </c>
      <c r="O526">
        <f t="shared" si="51"/>
        <v>4</v>
      </c>
      <c r="P526" t="str">
        <f t="shared" si="52"/>
        <v>Completed</v>
      </c>
      <c r="Q526" t="str">
        <f t="shared" si="53"/>
        <v>Slow</v>
      </c>
      <c r="R526" t="str">
        <f>_xlfn.XLOOKUP(B526,CustomerMaster!$A$2:$A$287,CustomerMaster!$B$2:$B$287)</f>
        <v>Customer_233</v>
      </c>
      <c r="S526" t="str">
        <f>_xlfn.XLOOKUP(C526,ProductMaster!$A$2:$A$51,ProductMaster!$B$2:$B$51)</f>
        <v>Product_37</v>
      </c>
      <c r="T526" t="str">
        <f>_xlfn.XLOOKUP(G526,RegionMaster!$A$2:$A$5,RegionMaster!$B$2:$B$5)</f>
        <v>C</v>
      </c>
    </row>
    <row r="527" spans="1:20" ht="15.75" customHeight="1">
      <c r="A527" s="2" t="s">
        <v>1237</v>
      </c>
      <c r="B527" s="2" t="s">
        <v>600</v>
      </c>
      <c r="C527" s="2" t="s">
        <v>72</v>
      </c>
      <c r="D527" s="3">
        <v>45754</v>
      </c>
      <c r="E527" s="3">
        <v>45756</v>
      </c>
      <c r="F527" s="4"/>
      <c r="G527" s="2" t="s">
        <v>22</v>
      </c>
      <c r="H527" s="2" t="s">
        <v>27</v>
      </c>
      <c r="I527" s="2" t="s">
        <v>121</v>
      </c>
      <c r="J527" s="2" t="s">
        <v>133</v>
      </c>
      <c r="K527" s="2">
        <v>2449.73</v>
      </c>
      <c r="L527" s="2" t="str">
        <f t="shared" si="48"/>
        <v>April</v>
      </c>
      <c r="M527" s="2" t="str">
        <f t="shared" si="49"/>
        <v>April</v>
      </c>
      <c r="N527" t="str">
        <f t="shared" si="50"/>
        <v>Delivered</v>
      </c>
      <c r="O527">
        <f t="shared" si="51"/>
        <v>2</v>
      </c>
      <c r="P527" t="str">
        <f t="shared" si="52"/>
        <v>Completed</v>
      </c>
      <c r="Q527" t="str">
        <f t="shared" si="53"/>
        <v>Fast</v>
      </c>
      <c r="R527" t="str">
        <f>_xlfn.XLOOKUP(B527,CustomerMaster!$A$2:$A$287,CustomerMaster!$B$2:$B$287)</f>
        <v>Customer_233</v>
      </c>
      <c r="S527" t="str">
        <f>_xlfn.XLOOKUP(C527,ProductMaster!$A$2:$A$51,ProductMaster!$B$2:$B$51)</f>
        <v>Product_10</v>
      </c>
      <c r="T527" t="str">
        <f>_xlfn.XLOOKUP(G527,RegionMaster!$A$2:$A$5,RegionMaster!$B$2:$B$5)</f>
        <v>C</v>
      </c>
    </row>
    <row r="528" spans="1:20" ht="15.75" customHeight="1">
      <c r="A528" s="2" t="s">
        <v>1238</v>
      </c>
      <c r="B528" s="2" t="s">
        <v>473</v>
      </c>
      <c r="C528" s="2" t="s">
        <v>72</v>
      </c>
      <c r="D528" s="3">
        <v>45743</v>
      </c>
      <c r="E528" s="3">
        <v>45749</v>
      </c>
      <c r="F528" s="4"/>
      <c r="G528" s="2" t="s">
        <v>7</v>
      </c>
      <c r="H528" s="2" t="s">
        <v>54</v>
      </c>
      <c r="I528" s="2" t="s">
        <v>195</v>
      </c>
      <c r="J528" s="2" t="s">
        <v>94</v>
      </c>
      <c r="K528" s="2">
        <v>2191.13</v>
      </c>
      <c r="L528" s="2" t="str">
        <f t="shared" si="48"/>
        <v>March</v>
      </c>
      <c r="M528" s="2" t="str">
        <f t="shared" si="49"/>
        <v>April</v>
      </c>
      <c r="N528" t="str">
        <f t="shared" si="50"/>
        <v>Delivered</v>
      </c>
      <c r="O528">
        <f t="shared" si="51"/>
        <v>6</v>
      </c>
      <c r="P528" t="str">
        <f t="shared" si="52"/>
        <v>Completed</v>
      </c>
      <c r="Q528" t="str">
        <f t="shared" si="53"/>
        <v>Slow</v>
      </c>
      <c r="R528" t="str">
        <f>_xlfn.XLOOKUP(B528,CustomerMaster!$A$2:$A$287,CustomerMaster!$B$2:$B$287)</f>
        <v>Customer_135</v>
      </c>
      <c r="S528" t="str">
        <f>_xlfn.XLOOKUP(C528,ProductMaster!$A$2:$A$51,ProductMaster!$B$2:$B$51)</f>
        <v>Product_10</v>
      </c>
      <c r="T528" t="str">
        <f>_xlfn.XLOOKUP(G528,RegionMaster!$A$2:$A$5,RegionMaster!$B$2:$B$5)</f>
        <v>A</v>
      </c>
    </row>
    <row r="529" spans="1:20" ht="15.75" customHeight="1">
      <c r="A529" s="2" t="s">
        <v>1239</v>
      </c>
      <c r="B529" s="2" t="s">
        <v>662</v>
      </c>
      <c r="C529" s="2" t="s">
        <v>210</v>
      </c>
      <c r="D529" s="3">
        <v>45735</v>
      </c>
      <c r="E529" s="4"/>
      <c r="F529" s="3">
        <v>45737</v>
      </c>
      <c r="G529" s="2" t="s">
        <v>17</v>
      </c>
      <c r="H529" s="2" t="s">
        <v>59</v>
      </c>
      <c r="I529" s="2" t="s">
        <v>90</v>
      </c>
      <c r="J529" s="2" t="s">
        <v>107</v>
      </c>
      <c r="K529" s="2">
        <v>1512.35</v>
      </c>
      <c r="L529" s="2" t="str">
        <f t="shared" si="48"/>
        <v>March</v>
      </c>
      <c r="M529" s="2" t="str">
        <f t="shared" si="49"/>
        <v>Cancelled</v>
      </c>
      <c r="N529" t="str">
        <f t="shared" si="50"/>
        <v>Cancelled</v>
      </c>
      <c r="O529" t="str">
        <f t="shared" si="51"/>
        <v>Order Cancelled</v>
      </c>
      <c r="P529" t="str">
        <f t="shared" si="52"/>
        <v>Cancelled</v>
      </c>
      <c r="Q529" t="str">
        <f t="shared" si="53"/>
        <v>Cancelled</v>
      </c>
      <c r="R529" t="str">
        <f>_xlfn.XLOOKUP(B529,CustomerMaster!$A$2:$A$287,CustomerMaster!$B$2:$B$287)</f>
        <v>Customer_213</v>
      </c>
      <c r="S529" t="str">
        <f>_xlfn.XLOOKUP(C529,ProductMaster!$A$2:$A$51,ProductMaster!$B$2:$B$51)</f>
        <v>Product_48</v>
      </c>
      <c r="T529" t="str">
        <f>_xlfn.XLOOKUP(G529,RegionMaster!$A$2:$A$5,RegionMaster!$B$2:$B$5)</f>
        <v>B</v>
      </c>
    </row>
    <row r="530" spans="1:20" ht="15.75" customHeight="1">
      <c r="A530" s="2" t="s">
        <v>1240</v>
      </c>
      <c r="B530" s="2" t="s">
        <v>166</v>
      </c>
      <c r="C530" s="2" t="s">
        <v>180</v>
      </c>
      <c r="D530" s="3">
        <v>45683</v>
      </c>
      <c r="E530" s="3">
        <v>45686</v>
      </c>
      <c r="F530" s="4"/>
      <c r="G530" s="2" t="s">
        <v>7</v>
      </c>
      <c r="H530" s="2" t="s">
        <v>37</v>
      </c>
      <c r="I530" s="2" t="s">
        <v>90</v>
      </c>
      <c r="J530" s="2" t="s">
        <v>107</v>
      </c>
      <c r="K530" s="2">
        <v>470.6</v>
      </c>
      <c r="L530" s="2" t="str">
        <f t="shared" si="48"/>
        <v>January</v>
      </c>
      <c r="M530" s="2" t="str">
        <f t="shared" si="49"/>
        <v>January</v>
      </c>
      <c r="N530" t="str">
        <f t="shared" si="50"/>
        <v>Delivered</v>
      </c>
      <c r="O530">
        <f t="shared" si="51"/>
        <v>3</v>
      </c>
      <c r="P530" t="str">
        <f t="shared" si="52"/>
        <v>Completed</v>
      </c>
      <c r="Q530" t="str">
        <f t="shared" si="53"/>
        <v>Slow</v>
      </c>
      <c r="R530" t="str">
        <f>_xlfn.XLOOKUP(B530,CustomerMaster!$A$2:$A$287,CustomerMaster!$B$2:$B$287)</f>
        <v>Customer_21</v>
      </c>
      <c r="S530" t="str">
        <f>_xlfn.XLOOKUP(C530,ProductMaster!$A$2:$A$51,ProductMaster!$B$2:$B$51)</f>
        <v>Product_40</v>
      </c>
      <c r="T530" t="str">
        <f>_xlfn.XLOOKUP(G530,RegionMaster!$A$2:$A$5,RegionMaster!$B$2:$B$5)</f>
        <v>A</v>
      </c>
    </row>
    <row r="531" spans="1:20" ht="15.75" customHeight="1">
      <c r="A531" s="2" t="s">
        <v>1241</v>
      </c>
      <c r="B531" s="2" t="s">
        <v>281</v>
      </c>
      <c r="C531" s="2" t="s">
        <v>68</v>
      </c>
      <c r="D531" s="3">
        <v>45752</v>
      </c>
      <c r="E531" s="3">
        <v>45755</v>
      </c>
      <c r="F531" s="4"/>
      <c r="G531" s="2" t="s">
        <v>45</v>
      </c>
      <c r="H531" s="2" t="s">
        <v>16</v>
      </c>
      <c r="I531" s="2" t="s">
        <v>178</v>
      </c>
      <c r="J531" s="2" t="s">
        <v>94</v>
      </c>
      <c r="K531" s="2">
        <v>4350.67</v>
      </c>
      <c r="L531" s="2" t="str">
        <f t="shared" si="48"/>
        <v>April</v>
      </c>
      <c r="M531" s="2" t="str">
        <f t="shared" si="49"/>
        <v>April</v>
      </c>
      <c r="N531" t="str">
        <f t="shared" si="50"/>
        <v>Delivered</v>
      </c>
      <c r="O531">
        <f t="shared" si="51"/>
        <v>3</v>
      </c>
      <c r="P531" t="str">
        <f t="shared" si="52"/>
        <v>Completed</v>
      </c>
      <c r="Q531" t="str">
        <f t="shared" si="53"/>
        <v>Slow</v>
      </c>
      <c r="R531" t="str">
        <f>_xlfn.XLOOKUP(B531,CustomerMaster!$A$2:$A$287,CustomerMaster!$B$2:$B$287)</f>
        <v>Customer_53</v>
      </c>
      <c r="S531" t="str">
        <f>_xlfn.XLOOKUP(C531,ProductMaster!$A$2:$A$51,ProductMaster!$B$2:$B$51)</f>
        <v>Product_13</v>
      </c>
      <c r="T531" t="str">
        <f>_xlfn.XLOOKUP(G531,RegionMaster!$A$2:$A$5,RegionMaster!$B$2:$B$5)</f>
        <v>D</v>
      </c>
    </row>
    <row r="532" spans="1:20" ht="15.75" customHeight="1">
      <c r="A532" s="2" t="s">
        <v>1242</v>
      </c>
      <c r="B532" s="2" t="s">
        <v>120</v>
      </c>
      <c r="C532" s="2" t="s">
        <v>87</v>
      </c>
      <c r="D532" s="3">
        <v>45743</v>
      </c>
      <c r="E532" s="3">
        <v>45746</v>
      </c>
      <c r="F532" s="4"/>
      <c r="G532" s="2" t="s">
        <v>45</v>
      </c>
      <c r="H532" s="2" t="s">
        <v>27</v>
      </c>
      <c r="I532" s="2" t="s">
        <v>106</v>
      </c>
      <c r="J532" s="2" t="s">
        <v>94</v>
      </c>
      <c r="K532" s="2">
        <v>4101.92</v>
      </c>
      <c r="L532" s="2" t="str">
        <f t="shared" si="48"/>
        <v>March</v>
      </c>
      <c r="M532" s="2" t="str">
        <f t="shared" si="49"/>
        <v>March</v>
      </c>
      <c r="N532" t="str">
        <f t="shared" si="50"/>
        <v>Delivered</v>
      </c>
      <c r="O532">
        <f t="shared" si="51"/>
        <v>3</v>
      </c>
      <c r="P532" t="str">
        <f t="shared" si="52"/>
        <v>Completed</v>
      </c>
      <c r="Q532" t="str">
        <f t="shared" si="53"/>
        <v>Slow</v>
      </c>
      <c r="R532" t="str">
        <f>_xlfn.XLOOKUP(B532,CustomerMaster!$A$2:$A$287,CustomerMaster!$B$2:$B$287)</f>
        <v>Customer_16</v>
      </c>
      <c r="S532" t="str">
        <f>_xlfn.XLOOKUP(C532,ProductMaster!$A$2:$A$51,ProductMaster!$B$2:$B$51)</f>
        <v>Product_15</v>
      </c>
      <c r="T532" t="str">
        <f>_xlfn.XLOOKUP(G532,RegionMaster!$A$2:$A$5,RegionMaster!$B$2:$B$5)</f>
        <v>D</v>
      </c>
    </row>
    <row r="533" spans="1:20" ht="15.75" customHeight="1">
      <c r="A533" s="2" t="s">
        <v>1243</v>
      </c>
      <c r="B533" s="2" t="s">
        <v>771</v>
      </c>
      <c r="C533" s="2" t="s">
        <v>138</v>
      </c>
      <c r="D533" s="3">
        <v>45740</v>
      </c>
      <c r="E533" s="3">
        <v>45743</v>
      </c>
      <c r="F533" s="4"/>
      <c r="G533" s="2" t="s">
        <v>45</v>
      </c>
      <c r="H533" s="2" t="s">
        <v>27</v>
      </c>
      <c r="I533" s="2" t="s">
        <v>106</v>
      </c>
      <c r="J533" s="2" t="s">
        <v>133</v>
      </c>
      <c r="K533" s="2">
        <v>4998.6400000000003</v>
      </c>
      <c r="L533" s="2" t="str">
        <f t="shared" si="48"/>
        <v>March</v>
      </c>
      <c r="M533" s="2" t="str">
        <f t="shared" si="49"/>
        <v>March</v>
      </c>
      <c r="N533" t="str">
        <f t="shared" si="50"/>
        <v>Delivered</v>
      </c>
      <c r="O533">
        <f t="shared" si="51"/>
        <v>3</v>
      </c>
      <c r="P533" t="str">
        <f t="shared" si="52"/>
        <v>Completed</v>
      </c>
      <c r="Q533" t="str">
        <f t="shared" si="53"/>
        <v>Slow</v>
      </c>
      <c r="R533" t="str">
        <f>_xlfn.XLOOKUP(B533,CustomerMaster!$A$2:$A$287,CustomerMaster!$B$2:$B$287)</f>
        <v>Customer_266</v>
      </c>
      <c r="S533" t="str">
        <f>_xlfn.XLOOKUP(C533,ProductMaster!$A$2:$A$51,ProductMaster!$B$2:$B$51)</f>
        <v>Product_28</v>
      </c>
      <c r="T533" t="str">
        <f>_xlfn.XLOOKUP(G533,RegionMaster!$A$2:$A$5,RegionMaster!$B$2:$B$5)</f>
        <v>D</v>
      </c>
    </row>
    <row r="534" spans="1:20" ht="15.75" customHeight="1">
      <c r="A534" s="2" t="s">
        <v>1244</v>
      </c>
      <c r="B534" s="2" t="s">
        <v>246</v>
      </c>
      <c r="C534" s="2" t="s">
        <v>168</v>
      </c>
      <c r="D534" s="3">
        <v>45711</v>
      </c>
      <c r="E534" s="4"/>
      <c r="F534" s="3">
        <v>45713</v>
      </c>
      <c r="G534" s="2" t="s">
        <v>17</v>
      </c>
      <c r="H534" s="2" t="s">
        <v>16</v>
      </c>
      <c r="I534" s="2" t="s">
        <v>90</v>
      </c>
      <c r="J534" s="2" t="s">
        <v>94</v>
      </c>
      <c r="K534" s="2">
        <v>4983.8599999999997</v>
      </c>
      <c r="L534" s="2" t="str">
        <f t="shared" si="48"/>
        <v>February</v>
      </c>
      <c r="M534" s="2" t="str">
        <f t="shared" si="49"/>
        <v>Cancelled</v>
      </c>
      <c r="N534" t="str">
        <f t="shared" si="50"/>
        <v>Cancelled</v>
      </c>
      <c r="O534" t="str">
        <f t="shared" si="51"/>
        <v>Order Cancelled</v>
      </c>
      <c r="P534" t="str">
        <f t="shared" si="52"/>
        <v>Cancelled</v>
      </c>
      <c r="Q534" t="str">
        <f t="shared" si="53"/>
        <v>Cancelled</v>
      </c>
      <c r="R534" t="str">
        <f>_xlfn.XLOOKUP(B534,CustomerMaster!$A$2:$A$287,CustomerMaster!$B$2:$B$287)</f>
        <v>Customer_61</v>
      </c>
      <c r="S534" t="str">
        <f>_xlfn.XLOOKUP(C534,ProductMaster!$A$2:$A$51,ProductMaster!$B$2:$B$51)</f>
        <v>Product_37</v>
      </c>
      <c r="T534" t="str">
        <f>_xlfn.XLOOKUP(G534,RegionMaster!$A$2:$A$5,RegionMaster!$B$2:$B$5)</f>
        <v>B</v>
      </c>
    </row>
    <row r="535" spans="1:20" ht="15.75" customHeight="1">
      <c r="A535" s="2" t="s">
        <v>1245</v>
      </c>
      <c r="B535" s="2" t="s">
        <v>241</v>
      </c>
      <c r="C535" s="2" t="s">
        <v>63</v>
      </c>
      <c r="D535" s="3">
        <v>45762</v>
      </c>
      <c r="E535" s="3">
        <v>45764</v>
      </c>
      <c r="F535" s="4"/>
      <c r="G535" s="2" t="s">
        <v>22</v>
      </c>
      <c r="H535" s="2" t="s">
        <v>16</v>
      </c>
      <c r="I535" s="2" t="s">
        <v>178</v>
      </c>
      <c r="J535" s="2" t="s">
        <v>133</v>
      </c>
      <c r="K535" s="2">
        <v>2866.07</v>
      </c>
      <c r="L535" s="2" t="str">
        <f t="shared" si="48"/>
        <v>April</v>
      </c>
      <c r="M535" s="2" t="str">
        <f t="shared" si="49"/>
        <v>April</v>
      </c>
      <c r="N535" t="str">
        <f t="shared" si="50"/>
        <v>Delivered</v>
      </c>
      <c r="O535">
        <f t="shared" si="51"/>
        <v>2</v>
      </c>
      <c r="P535" t="str">
        <f t="shared" si="52"/>
        <v>Completed</v>
      </c>
      <c r="Q535" t="str">
        <f t="shared" si="53"/>
        <v>Fast</v>
      </c>
      <c r="R535" t="str">
        <f>_xlfn.XLOOKUP(B535,CustomerMaster!$A$2:$A$287,CustomerMaster!$B$2:$B$287)</f>
        <v>Customer_38</v>
      </c>
      <c r="S535" t="str">
        <f>_xlfn.XLOOKUP(C535,ProductMaster!$A$2:$A$51,ProductMaster!$B$2:$B$51)</f>
        <v>Product_8</v>
      </c>
      <c r="T535" t="str">
        <f>_xlfn.XLOOKUP(G535,RegionMaster!$A$2:$A$5,RegionMaster!$B$2:$B$5)</f>
        <v>C</v>
      </c>
    </row>
    <row r="536" spans="1:20" ht="15.75" customHeight="1">
      <c r="A536" s="2" t="s">
        <v>1246</v>
      </c>
      <c r="B536" s="2" t="s">
        <v>510</v>
      </c>
      <c r="C536" s="2" t="s">
        <v>204</v>
      </c>
      <c r="D536" s="3">
        <v>45697</v>
      </c>
      <c r="E536" s="3">
        <v>45702</v>
      </c>
      <c r="F536" s="4"/>
      <c r="G536" s="2" t="s">
        <v>7</v>
      </c>
      <c r="H536" s="2" t="s">
        <v>54</v>
      </c>
      <c r="I536" s="2" t="s">
        <v>178</v>
      </c>
      <c r="J536" s="2" t="s">
        <v>107</v>
      </c>
      <c r="K536" s="2">
        <v>3891.14</v>
      </c>
      <c r="L536" s="2" t="str">
        <f t="shared" si="48"/>
        <v>February</v>
      </c>
      <c r="M536" s="2" t="str">
        <f t="shared" si="49"/>
        <v>February</v>
      </c>
      <c r="N536" t="str">
        <f t="shared" si="50"/>
        <v>Delivered</v>
      </c>
      <c r="O536">
        <f t="shared" si="51"/>
        <v>5</v>
      </c>
      <c r="P536" t="str">
        <f t="shared" si="52"/>
        <v>Completed</v>
      </c>
      <c r="Q536" t="str">
        <f t="shared" si="53"/>
        <v>Slow</v>
      </c>
      <c r="R536" t="str">
        <f>_xlfn.XLOOKUP(B536,CustomerMaster!$A$2:$A$287,CustomerMaster!$B$2:$B$287)</f>
        <v>Customer_150</v>
      </c>
      <c r="S536" t="str">
        <f>_xlfn.XLOOKUP(C536,ProductMaster!$A$2:$A$51,ProductMaster!$B$2:$B$51)</f>
        <v>Product_46</v>
      </c>
      <c r="T536" t="str">
        <f>_xlfn.XLOOKUP(G536,RegionMaster!$A$2:$A$5,RegionMaster!$B$2:$B$5)</f>
        <v>A</v>
      </c>
    </row>
    <row r="537" spans="1:20" ht="15.75" customHeight="1">
      <c r="A537" s="2" t="s">
        <v>1247</v>
      </c>
      <c r="B537" s="2" t="s">
        <v>588</v>
      </c>
      <c r="C537" s="2" t="s">
        <v>141</v>
      </c>
      <c r="D537" s="3">
        <v>45717</v>
      </c>
      <c r="E537" s="3">
        <v>45718</v>
      </c>
      <c r="F537" s="4"/>
      <c r="G537" s="2" t="s">
        <v>7</v>
      </c>
      <c r="H537" s="2" t="s">
        <v>16</v>
      </c>
      <c r="I537" s="2" t="s">
        <v>90</v>
      </c>
      <c r="J537" s="2" t="s">
        <v>133</v>
      </c>
      <c r="K537" s="2">
        <v>4734.88</v>
      </c>
      <c r="L537" s="2" t="str">
        <f t="shared" si="48"/>
        <v>March</v>
      </c>
      <c r="M537" s="2" t="str">
        <f t="shared" si="49"/>
        <v>March</v>
      </c>
      <c r="N537" t="str">
        <f t="shared" si="50"/>
        <v>Delivered</v>
      </c>
      <c r="O537">
        <f t="shared" si="51"/>
        <v>1</v>
      </c>
      <c r="P537" t="str">
        <f t="shared" si="52"/>
        <v>Completed</v>
      </c>
      <c r="Q537" t="str">
        <f t="shared" si="53"/>
        <v>Fast</v>
      </c>
      <c r="R537" t="str">
        <f>_xlfn.XLOOKUP(B537,CustomerMaster!$A$2:$A$287,CustomerMaster!$B$2:$B$287)</f>
        <v>Customer_182</v>
      </c>
      <c r="S537" t="str">
        <f>_xlfn.XLOOKUP(C537,ProductMaster!$A$2:$A$51,ProductMaster!$B$2:$B$51)</f>
        <v>Product_42</v>
      </c>
      <c r="T537" t="str">
        <f>_xlfn.XLOOKUP(G537,RegionMaster!$A$2:$A$5,RegionMaster!$B$2:$B$5)</f>
        <v>A</v>
      </c>
    </row>
    <row r="538" spans="1:20" ht="15.75" customHeight="1">
      <c r="A538" s="2" t="s">
        <v>1248</v>
      </c>
      <c r="B538" s="2" t="s">
        <v>392</v>
      </c>
      <c r="C538" s="2" t="s">
        <v>101</v>
      </c>
      <c r="D538" s="3">
        <v>45691</v>
      </c>
      <c r="E538" s="4"/>
      <c r="F538" s="3">
        <v>45693</v>
      </c>
      <c r="G538" s="2" t="s">
        <v>17</v>
      </c>
      <c r="H538" s="2" t="s">
        <v>16</v>
      </c>
      <c r="I538" s="2" t="s">
        <v>121</v>
      </c>
      <c r="J538" s="2" t="s">
        <v>107</v>
      </c>
      <c r="K538" s="2">
        <v>4278.3100000000004</v>
      </c>
      <c r="L538" s="2" t="str">
        <f t="shared" si="48"/>
        <v>February</v>
      </c>
      <c r="M538" s="2" t="str">
        <f t="shared" si="49"/>
        <v>Cancelled</v>
      </c>
      <c r="N538" t="str">
        <f t="shared" si="50"/>
        <v>Cancelled</v>
      </c>
      <c r="O538" t="str">
        <f t="shared" si="51"/>
        <v>Order Cancelled</v>
      </c>
      <c r="P538" t="str">
        <f t="shared" si="52"/>
        <v>Cancelled</v>
      </c>
      <c r="Q538" t="str">
        <f t="shared" si="53"/>
        <v>Cancelled</v>
      </c>
      <c r="R538" t="str">
        <f>_xlfn.XLOOKUP(B538,CustomerMaster!$A$2:$A$287,CustomerMaster!$B$2:$B$287)</f>
        <v>Customer_101</v>
      </c>
      <c r="S538" t="str">
        <f>_xlfn.XLOOKUP(C538,ProductMaster!$A$2:$A$51,ProductMaster!$B$2:$B$51)</f>
        <v>Product_27</v>
      </c>
      <c r="T538" t="str">
        <f>_xlfn.XLOOKUP(G538,RegionMaster!$A$2:$A$5,RegionMaster!$B$2:$B$5)</f>
        <v>B</v>
      </c>
    </row>
    <row r="539" spans="1:20" ht="15.75" customHeight="1">
      <c r="A539" s="2" t="s">
        <v>1249</v>
      </c>
      <c r="B539" s="2" t="s">
        <v>693</v>
      </c>
      <c r="C539" s="2" t="s">
        <v>210</v>
      </c>
      <c r="D539" s="3">
        <v>45693</v>
      </c>
      <c r="E539" s="4"/>
      <c r="F539" s="3">
        <v>45693</v>
      </c>
      <c r="G539" s="2" t="s">
        <v>22</v>
      </c>
      <c r="H539" s="2" t="s">
        <v>27</v>
      </c>
      <c r="I539" s="2" t="s">
        <v>195</v>
      </c>
      <c r="J539" s="2" t="s">
        <v>94</v>
      </c>
      <c r="K539" s="2">
        <v>1387.27</v>
      </c>
      <c r="L539" s="2" t="str">
        <f t="shared" si="48"/>
        <v>February</v>
      </c>
      <c r="M539" s="2" t="str">
        <f t="shared" si="49"/>
        <v>Cancelled</v>
      </c>
      <c r="N539" t="str">
        <f t="shared" si="50"/>
        <v>Cancelled</v>
      </c>
      <c r="O539" t="str">
        <f t="shared" si="51"/>
        <v>Order Cancelled</v>
      </c>
      <c r="P539" t="str">
        <f t="shared" si="52"/>
        <v>Cancelled</v>
      </c>
      <c r="Q539" t="str">
        <f t="shared" si="53"/>
        <v>Cancelled</v>
      </c>
      <c r="R539" t="str">
        <f>_xlfn.XLOOKUP(B539,CustomerMaster!$A$2:$A$287,CustomerMaster!$B$2:$B$287)</f>
        <v>Customer_245</v>
      </c>
      <c r="S539" t="str">
        <f>_xlfn.XLOOKUP(C539,ProductMaster!$A$2:$A$51,ProductMaster!$B$2:$B$51)</f>
        <v>Product_48</v>
      </c>
      <c r="T539" t="str">
        <f>_xlfn.XLOOKUP(G539,RegionMaster!$A$2:$A$5,RegionMaster!$B$2:$B$5)</f>
        <v>C</v>
      </c>
    </row>
    <row r="540" spans="1:20" ht="15.75" customHeight="1">
      <c r="A540" s="2" t="s">
        <v>1250</v>
      </c>
      <c r="B540" s="2" t="s">
        <v>720</v>
      </c>
      <c r="C540" s="2" t="s">
        <v>69</v>
      </c>
      <c r="D540" s="3">
        <v>45733</v>
      </c>
      <c r="E540" s="3">
        <v>45737</v>
      </c>
      <c r="F540" s="4"/>
      <c r="G540" s="2" t="s">
        <v>45</v>
      </c>
      <c r="H540" s="2" t="s">
        <v>59</v>
      </c>
      <c r="I540" s="2" t="s">
        <v>106</v>
      </c>
      <c r="J540" s="2" t="s">
        <v>133</v>
      </c>
      <c r="K540" s="2">
        <v>2362.61</v>
      </c>
      <c r="L540" s="2" t="str">
        <f t="shared" si="48"/>
        <v>March</v>
      </c>
      <c r="M540" s="2" t="str">
        <f t="shared" si="49"/>
        <v>March</v>
      </c>
      <c r="N540" t="str">
        <f t="shared" si="50"/>
        <v>Delivered</v>
      </c>
      <c r="O540">
        <f t="shared" si="51"/>
        <v>4</v>
      </c>
      <c r="P540" t="str">
        <f t="shared" si="52"/>
        <v>Completed</v>
      </c>
      <c r="Q540" t="str">
        <f t="shared" si="53"/>
        <v>Slow</v>
      </c>
      <c r="R540" t="str">
        <f>_xlfn.XLOOKUP(B540,CustomerMaster!$A$2:$A$287,CustomerMaster!$B$2:$B$287)</f>
        <v>Customer_240</v>
      </c>
      <c r="S540" t="str">
        <f>_xlfn.XLOOKUP(C540,ProductMaster!$A$2:$A$51,ProductMaster!$B$2:$B$51)</f>
        <v>Product_9</v>
      </c>
      <c r="T540" t="str">
        <f>_xlfn.XLOOKUP(G540,RegionMaster!$A$2:$A$5,RegionMaster!$B$2:$B$5)</f>
        <v>D</v>
      </c>
    </row>
    <row r="541" spans="1:20" ht="15.75" customHeight="1">
      <c r="A541" s="2" t="s">
        <v>1251</v>
      </c>
      <c r="B541" s="2" t="s">
        <v>71</v>
      </c>
      <c r="C541" s="2" t="s">
        <v>130</v>
      </c>
      <c r="D541" s="3">
        <v>45699</v>
      </c>
      <c r="E541" s="3">
        <v>45701</v>
      </c>
      <c r="F541" s="4"/>
      <c r="G541" s="2" t="s">
        <v>17</v>
      </c>
      <c r="H541" s="2" t="s">
        <v>27</v>
      </c>
      <c r="I541" s="2" t="s">
        <v>178</v>
      </c>
      <c r="J541" s="2" t="s">
        <v>107</v>
      </c>
      <c r="K541" s="2">
        <v>819.97</v>
      </c>
      <c r="L541" s="2" t="str">
        <f t="shared" si="48"/>
        <v>February</v>
      </c>
      <c r="M541" s="2" t="str">
        <f t="shared" si="49"/>
        <v>February</v>
      </c>
      <c r="N541" t="str">
        <f t="shared" si="50"/>
        <v>Delivered</v>
      </c>
      <c r="O541">
        <f t="shared" si="51"/>
        <v>2</v>
      </c>
      <c r="P541" t="str">
        <f t="shared" si="52"/>
        <v>Completed</v>
      </c>
      <c r="Q541" t="str">
        <f t="shared" si="53"/>
        <v>Fast</v>
      </c>
      <c r="R541" t="str">
        <f>_xlfn.XLOOKUP(B541,CustomerMaster!$A$2:$A$287,CustomerMaster!$B$2:$B$287)</f>
        <v>Customer_8</v>
      </c>
      <c r="S541" t="str">
        <f>_xlfn.XLOOKUP(C541,ProductMaster!$A$2:$A$51,ProductMaster!$B$2:$B$51)</f>
        <v>Product_26</v>
      </c>
      <c r="T541" t="str">
        <f>_xlfn.XLOOKUP(G541,RegionMaster!$A$2:$A$5,RegionMaster!$B$2:$B$5)</f>
        <v>B</v>
      </c>
    </row>
    <row r="542" spans="1:20" ht="15.75" customHeight="1">
      <c r="A542" s="2" t="s">
        <v>1252</v>
      </c>
      <c r="B542" s="2" t="s">
        <v>382</v>
      </c>
      <c r="C542" s="2" t="s">
        <v>109</v>
      </c>
      <c r="D542" s="3">
        <v>45669</v>
      </c>
      <c r="E542" s="3">
        <v>45671</v>
      </c>
      <c r="F542" s="4"/>
      <c r="G542" s="2" t="s">
        <v>22</v>
      </c>
      <c r="H542" s="2" t="s">
        <v>54</v>
      </c>
      <c r="I542" s="2" t="s">
        <v>121</v>
      </c>
      <c r="J542" s="2" t="s">
        <v>133</v>
      </c>
      <c r="K542" s="2">
        <v>4779.4399999999996</v>
      </c>
      <c r="L542" s="2" t="str">
        <f t="shared" si="48"/>
        <v>January</v>
      </c>
      <c r="M542" s="2" t="str">
        <f t="shared" si="49"/>
        <v>January</v>
      </c>
      <c r="N542" t="str">
        <f t="shared" si="50"/>
        <v>Delivered</v>
      </c>
      <c r="O542">
        <f t="shared" si="51"/>
        <v>2</v>
      </c>
      <c r="P542" t="str">
        <f t="shared" si="52"/>
        <v>Completed</v>
      </c>
      <c r="Q542" t="str">
        <f t="shared" si="53"/>
        <v>Fast</v>
      </c>
      <c r="R542" t="str">
        <f>_xlfn.XLOOKUP(B542,CustomerMaster!$A$2:$A$287,CustomerMaster!$B$2:$B$287)</f>
        <v>Customer_98</v>
      </c>
      <c r="S542" t="str">
        <f>_xlfn.XLOOKUP(C542,ProductMaster!$A$2:$A$51,ProductMaster!$B$2:$B$51)</f>
        <v>Product_20</v>
      </c>
      <c r="T542" t="str">
        <f>_xlfn.XLOOKUP(G542,RegionMaster!$A$2:$A$5,RegionMaster!$B$2:$B$5)</f>
        <v>C</v>
      </c>
    </row>
    <row r="543" spans="1:20" ht="15.75" customHeight="1">
      <c r="A543" s="2" t="s">
        <v>1253</v>
      </c>
      <c r="B543" s="2" t="s">
        <v>768</v>
      </c>
      <c r="C543" s="2" t="s">
        <v>83</v>
      </c>
      <c r="D543" s="3">
        <v>45715</v>
      </c>
      <c r="E543" s="4"/>
      <c r="F543" s="3">
        <v>45717</v>
      </c>
      <c r="G543" s="2" t="s">
        <v>17</v>
      </c>
      <c r="H543" s="2" t="s">
        <v>54</v>
      </c>
      <c r="I543" s="2" t="s">
        <v>106</v>
      </c>
      <c r="J543" s="2" t="s">
        <v>94</v>
      </c>
      <c r="K543" s="2">
        <v>3109.64</v>
      </c>
      <c r="L543" s="2" t="str">
        <f t="shared" si="48"/>
        <v>February</v>
      </c>
      <c r="M543" s="2" t="str">
        <f t="shared" si="49"/>
        <v>Cancelled</v>
      </c>
      <c r="N543" t="str">
        <f t="shared" si="50"/>
        <v>Cancelled</v>
      </c>
      <c r="O543" t="str">
        <f t="shared" si="51"/>
        <v>Order Cancelled</v>
      </c>
      <c r="P543" t="str">
        <f t="shared" si="52"/>
        <v>Cancelled</v>
      </c>
      <c r="Q543" t="str">
        <f t="shared" si="53"/>
        <v>Cancelled</v>
      </c>
      <c r="R543" t="str">
        <f>_xlfn.XLOOKUP(B543,CustomerMaster!$A$2:$A$287,CustomerMaster!$B$2:$B$287)</f>
        <v>Customer_264</v>
      </c>
      <c r="S543" t="str">
        <f>_xlfn.XLOOKUP(C543,ProductMaster!$A$2:$A$51,ProductMaster!$B$2:$B$51)</f>
        <v>Product_14</v>
      </c>
      <c r="T543" t="str">
        <f>_xlfn.XLOOKUP(G543,RegionMaster!$A$2:$A$5,RegionMaster!$B$2:$B$5)</f>
        <v>B</v>
      </c>
    </row>
    <row r="544" spans="1:20" ht="15.75" customHeight="1">
      <c r="A544" s="2" t="s">
        <v>1254</v>
      </c>
      <c r="B544" s="2" t="s">
        <v>636</v>
      </c>
      <c r="C544" s="2" t="s">
        <v>101</v>
      </c>
      <c r="D544" s="3">
        <v>45761</v>
      </c>
      <c r="E544" s="3">
        <v>45766</v>
      </c>
      <c r="F544" s="4"/>
      <c r="G544" s="2" t="s">
        <v>22</v>
      </c>
      <c r="H544" s="2" t="s">
        <v>27</v>
      </c>
      <c r="I544" s="2" t="s">
        <v>106</v>
      </c>
      <c r="J544" s="2" t="s">
        <v>107</v>
      </c>
      <c r="K544" s="2">
        <v>1297.49</v>
      </c>
      <c r="L544" s="2" t="str">
        <f t="shared" si="48"/>
        <v>April</v>
      </c>
      <c r="M544" s="2" t="str">
        <f t="shared" si="49"/>
        <v>April</v>
      </c>
      <c r="N544" t="str">
        <f t="shared" si="50"/>
        <v>Delivered</v>
      </c>
      <c r="O544">
        <f t="shared" si="51"/>
        <v>5</v>
      </c>
      <c r="P544" t="str">
        <f t="shared" si="52"/>
        <v>Completed</v>
      </c>
      <c r="Q544" t="str">
        <f t="shared" si="53"/>
        <v>Slow</v>
      </c>
      <c r="R544" t="str">
        <f>_xlfn.XLOOKUP(B544,CustomerMaster!$A$2:$A$287,CustomerMaster!$B$2:$B$287)</f>
        <v>Customer_223</v>
      </c>
      <c r="S544" t="str">
        <f>_xlfn.XLOOKUP(C544,ProductMaster!$A$2:$A$51,ProductMaster!$B$2:$B$51)</f>
        <v>Product_27</v>
      </c>
      <c r="T544" t="str">
        <f>_xlfn.XLOOKUP(G544,RegionMaster!$A$2:$A$5,RegionMaster!$B$2:$B$5)</f>
        <v>C</v>
      </c>
    </row>
    <row r="545" spans="1:20" ht="15.75" customHeight="1">
      <c r="A545" s="2" t="s">
        <v>1255</v>
      </c>
      <c r="B545" s="2" t="s">
        <v>355</v>
      </c>
      <c r="C545" s="2" t="s">
        <v>102</v>
      </c>
      <c r="D545" s="3">
        <v>45778</v>
      </c>
      <c r="E545" s="4"/>
      <c r="F545" s="3">
        <v>45780</v>
      </c>
      <c r="G545" s="2" t="s">
        <v>22</v>
      </c>
      <c r="H545" s="2" t="s">
        <v>54</v>
      </c>
      <c r="I545" s="2" t="s">
        <v>195</v>
      </c>
      <c r="J545" s="2" t="s">
        <v>107</v>
      </c>
      <c r="K545" s="2">
        <v>3424.16</v>
      </c>
      <c r="L545" s="2" t="str">
        <f t="shared" si="48"/>
        <v>May</v>
      </c>
      <c r="M545" s="2" t="str">
        <f t="shared" si="49"/>
        <v>Cancelled</v>
      </c>
      <c r="N545" t="str">
        <f t="shared" si="50"/>
        <v>Cancelled</v>
      </c>
      <c r="O545" t="str">
        <f t="shared" si="51"/>
        <v>Order Cancelled</v>
      </c>
      <c r="P545" t="str">
        <f t="shared" si="52"/>
        <v>Cancelled</v>
      </c>
      <c r="Q545" t="str">
        <f t="shared" si="53"/>
        <v>Cancelled</v>
      </c>
      <c r="R545" t="str">
        <f>_xlfn.XLOOKUP(B545,CustomerMaster!$A$2:$A$287,CustomerMaster!$B$2:$B$287)</f>
        <v>Customer_85</v>
      </c>
      <c r="S545" t="str">
        <f>_xlfn.XLOOKUP(C545,ProductMaster!$A$2:$A$51,ProductMaster!$B$2:$B$51)</f>
        <v>Product_18</v>
      </c>
      <c r="T545" t="str">
        <f>_xlfn.XLOOKUP(G545,RegionMaster!$A$2:$A$5,RegionMaster!$B$2:$B$5)</f>
        <v>C</v>
      </c>
    </row>
    <row r="546" spans="1:20" ht="15.75" customHeight="1">
      <c r="A546" s="2" t="s">
        <v>1256</v>
      </c>
      <c r="B546" s="2" t="s">
        <v>89</v>
      </c>
      <c r="C546" s="2" t="s">
        <v>50</v>
      </c>
      <c r="D546" s="3">
        <v>45722</v>
      </c>
      <c r="E546" s="4"/>
      <c r="F546" s="3">
        <v>45723</v>
      </c>
      <c r="G546" s="2" t="s">
        <v>45</v>
      </c>
      <c r="H546" s="2" t="s">
        <v>59</v>
      </c>
      <c r="I546" s="2" t="s">
        <v>178</v>
      </c>
      <c r="J546" s="2" t="s">
        <v>107</v>
      </c>
      <c r="K546" s="2">
        <v>3167.02</v>
      </c>
      <c r="L546" s="2" t="str">
        <f t="shared" si="48"/>
        <v>March</v>
      </c>
      <c r="M546" s="2" t="str">
        <f t="shared" si="49"/>
        <v>Cancelled</v>
      </c>
      <c r="N546" t="str">
        <f t="shared" si="50"/>
        <v>Cancelled</v>
      </c>
      <c r="O546" t="str">
        <f t="shared" si="51"/>
        <v>Order Cancelled</v>
      </c>
      <c r="P546" t="str">
        <f t="shared" si="52"/>
        <v>Cancelled</v>
      </c>
      <c r="Q546" t="str">
        <f t="shared" si="53"/>
        <v>Cancelled</v>
      </c>
      <c r="R546" t="str">
        <f>_xlfn.XLOOKUP(B546,CustomerMaster!$A$2:$A$287,CustomerMaster!$B$2:$B$287)</f>
        <v>Customer_12</v>
      </c>
      <c r="S546" t="str">
        <f>_xlfn.XLOOKUP(C546,ProductMaster!$A$2:$A$51,ProductMaster!$B$2:$B$51)</f>
        <v>Product_6</v>
      </c>
      <c r="T546" t="str">
        <f>_xlfn.XLOOKUP(G546,RegionMaster!$A$2:$A$5,RegionMaster!$B$2:$B$5)</f>
        <v>D</v>
      </c>
    </row>
    <row r="547" spans="1:20" ht="15.75" customHeight="1">
      <c r="A547" s="2" t="s">
        <v>1257</v>
      </c>
      <c r="B547" s="2" t="s">
        <v>686</v>
      </c>
      <c r="C547" s="2" t="s">
        <v>9</v>
      </c>
      <c r="D547" s="3">
        <v>45674</v>
      </c>
      <c r="E547" s="3">
        <v>45679</v>
      </c>
      <c r="F547" s="4"/>
      <c r="G547" s="2" t="s">
        <v>7</v>
      </c>
      <c r="H547" s="2" t="s">
        <v>59</v>
      </c>
      <c r="I547" s="2" t="s">
        <v>121</v>
      </c>
      <c r="J547" s="2" t="s">
        <v>133</v>
      </c>
      <c r="K547" s="2">
        <v>1919.18</v>
      </c>
      <c r="L547" s="2" t="str">
        <f t="shared" si="48"/>
        <v>January</v>
      </c>
      <c r="M547" s="2" t="str">
        <f t="shared" si="49"/>
        <v>January</v>
      </c>
      <c r="N547" t="str">
        <f t="shared" si="50"/>
        <v>Delivered</v>
      </c>
      <c r="O547">
        <f t="shared" si="51"/>
        <v>5</v>
      </c>
      <c r="P547" t="str">
        <f t="shared" si="52"/>
        <v>Completed</v>
      </c>
      <c r="Q547" t="str">
        <f t="shared" si="53"/>
        <v>Slow</v>
      </c>
      <c r="R547" t="str">
        <f>_xlfn.XLOOKUP(B547,CustomerMaster!$A$2:$A$287,CustomerMaster!$B$2:$B$287)</f>
        <v>Customer_225</v>
      </c>
      <c r="S547" t="str">
        <f>_xlfn.XLOOKUP(C547,ProductMaster!$A$2:$A$51,ProductMaster!$B$2:$B$51)</f>
        <v>Product_0</v>
      </c>
      <c r="T547" t="str">
        <f>_xlfn.XLOOKUP(G547,RegionMaster!$A$2:$A$5,RegionMaster!$B$2:$B$5)</f>
        <v>A</v>
      </c>
    </row>
    <row r="548" spans="1:20" ht="15.75" customHeight="1">
      <c r="A548" s="2" t="s">
        <v>1258</v>
      </c>
      <c r="B548" s="2" t="s">
        <v>760</v>
      </c>
      <c r="C548" s="2" t="s">
        <v>141</v>
      </c>
      <c r="D548" s="3">
        <v>45744</v>
      </c>
      <c r="E548" s="4"/>
      <c r="F548" s="3">
        <v>45745</v>
      </c>
      <c r="G548" s="2" t="s">
        <v>22</v>
      </c>
      <c r="H548" s="2" t="s">
        <v>27</v>
      </c>
      <c r="I548" s="2" t="s">
        <v>195</v>
      </c>
      <c r="J548" s="2" t="s">
        <v>107</v>
      </c>
      <c r="K548" s="2">
        <v>745.08</v>
      </c>
      <c r="L548" s="2" t="str">
        <f t="shared" si="48"/>
        <v>March</v>
      </c>
      <c r="M548" s="2" t="str">
        <f t="shared" si="49"/>
        <v>Cancelled</v>
      </c>
      <c r="N548" t="str">
        <f t="shared" si="50"/>
        <v>Cancelled</v>
      </c>
      <c r="O548" t="str">
        <f t="shared" si="51"/>
        <v>Order Cancelled</v>
      </c>
      <c r="P548" t="str">
        <f t="shared" si="52"/>
        <v>Cancelled</v>
      </c>
      <c r="Q548" t="str">
        <f t="shared" si="53"/>
        <v>Cancelled</v>
      </c>
      <c r="R548" t="str">
        <f>_xlfn.XLOOKUP(B548,CustomerMaster!$A$2:$A$287,CustomerMaster!$B$2:$B$287)</f>
        <v>Customer_260</v>
      </c>
      <c r="S548" t="str">
        <f>_xlfn.XLOOKUP(C548,ProductMaster!$A$2:$A$51,ProductMaster!$B$2:$B$51)</f>
        <v>Product_42</v>
      </c>
      <c r="T548" t="str">
        <f>_xlfn.XLOOKUP(G548,RegionMaster!$A$2:$A$5,RegionMaster!$B$2:$B$5)</f>
        <v>C</v>
      </c>
    </row>
    <row r="549" spans="1:20" ht="15.75" customHeight="1">
      <c r="A549" s="2" t="s">
        <v>1259</v>
      </c>
      <c r="B549" s="2" t="s">
        <v>617</v>
      </c>
      <c r="C549" s="2" t="s">
        <v>91</v>
      </c>
      <c r="D549" s="3">
        <v>45771</v>
      </c>
      <c r="E549" s="3">
        <v>45773</v>
      </c>
      <c r="F549" s="4"/>
      <c r="G549" s="2" t="s">
        <v>45</v>
      </c>
      <c r="H549" s="2" t="s">
        <v>16</v>
      </c>
      <c r="I549" s="2" t="s">
        <v>90</v>
      </c>
      <c r="J549" s="2" t="s">
        <v>133</v>
      </c>
      <c r="K549" s="2">
        <v>3423.55</v>
      </c>
      <c r="L549" s="2" t="str">
        <f t="shared" si="48"/>
        <v>April</v>
      </c>
      <c r="M549" s="2" t="str">
        <f t="shared" si="49"/>
        <v>April</v>
      </c>
      <c r="N549" t="str">
        <f t="shared" si="50"/>
        <v>Delivered</v>
      </c>
      <c r="O549">
        <f t="shared" si="51"/>
        <v>2</v>
      </c>
      <c r="P549" t="str">
        <f t="shared" si="52"/>
        <v>Completed</v>
      </c>
      <c r="Q549" t="str">
        <f t="shared" si="53"/>
        <v>Fast</v>
      </c>
      <c r="R549" t="str">
        <f>_xlfn.XLOOKUP(B549,CustomerMaster!$A$2:$A$287,CustomerMaster!$B$2:$B$287)</f>
        <v>Customer_194</v>
      </c>
      <c r="S549" t="str">
        <f>_xlfn.XLOOKUP(C549,ProductMaster!$A$2:$A$51,ProductMaster!$B$2:$B$51)</f>
        <v>Product_16</v>
      </c>
      <c r="T549" t="str">
        <f>_xlfn.XLOOKUP(G549,RegionMaster!$A$2:$A$5,RegionMaster!$B$2:$B$5)</f>
        <v>D</v>
      </c>
    </row>
    <row r="550" spans="1:20" ht="15.75" customHeight="1">
      <c r="A550" s="2" t="s">
        <v>1260</v>
      </c>
      <c r="B550" s="2" t="s">
        <v>613</v>
      </c>
      <c r="C550" s="2" t="s">
        <v>102</v>
      </c>
      <c r="D550" s="3">
        <v>45730</v>
      </c>
      <c r="E550" s="3">
        <v>45731</v>
      </c>
      <c r="F550" s="4"/>
      <c r="G550" s="2" t="s">
        <v>22</v>
      </c>
      <c r="H550" s="2" t="s">
        <v>59</v>
      </c>
      <c r="I550" s="2" t="s">
        <v>178</v>
      </c>
      <c r="J550" s="2" t="s">
        <v>94</v>
      </c>
      <c r="K550" s="2">
        <v>2697.48</v>
      </c>
      <c r="L550" s="2" t="str">
        <f t="shared" si="48"/>
        <v>March</v>
      </c>
      <c r="M550" s="2" t="str">
        <f t="shared" si="49"/>
        <v>March</v>
      </c>
      <c r="N550" t="str">
        <f t="shared" si="50"/>
        <v>Delivered</v>
      </c>
      <c r="O550">
        <f t="shared" si="51"/>
        <v>1</v>
      </c>
      <c r="P550" t="str">
        <f t="shared" si="52"/>
        <v>Completed</v>
      </c>
      <c r="Q550" t="str">
        <f t="shared" si="53"/>
        <v>Fast</v>
      </c>
      <c r="R550" t="str">
        <f>_xlfn.XLOOKUP(B550,CustomerMaster!$A$2:$A$287,CustomerMaster!$B$2:$B$287)</f>
        <v>Customer_192</v>
      </c>
      <c r="S550" t="str">
        <f>_xlfn.XLOOKUP(C550,ProductMaster!$A$2:$A$51,ProductMaster!$B$2:$B$51)</f>
        <v>Product_18</v>
      </c>
      <c r="T550" t="str">
        <f>_xlfn.XLOOKUP(G550,RegionMaster!$A$2:$A$5,RegionMaster!$B$2:$B$5)</f>
        <v>C</v>
      </c>
    </row>
    <row r="551" spans="1:20" ht="15.75" customHeight="1">
      <c r="A551" s="2" t="s">
        <v>1261</v>
      </c>
      <c r="B551" s="2" t="s">
        <v>361</v>
      </c>
      <c r="C551" s="2" t="s">
        <v>153</v>
      </c>
      <c r="D551" s="3">
        <v>45731</v>
      </c>
      <c r="E551" s="3">
        <v>45734</v>
      </c>
      <c r="F551" s="4"/>
      <c r="G551" s="2" t="s">
        <v>17</v>
      </c>
      <c r="H551" s="2" t="s">
        <v>16</v>
      </c>
      <c r="I551" s="2" t="s">
        <v>106</v>
      </c>
      <c r="J551" s="2" t="s">
        <v>94</v>
      </c>
      <c r="K551" s="2">
        <v>3907.13</v>
      </c>
      <c r="L551" s="2" t="str">
        <f t="shared" si="48"/>
        <v>March</v>
      </c>
      <c r="M551" s="2" t="str">
        <f t="shared" si="49"/>
        <v>March</v>
      </c>
      <c r="N551" t="str">
        <f t="shared" si="50"/>
        <v>Delivered</v>
      </c>
      <c r="O551">
        <f t="shared" si="51"/>
        <v>3</v>
      </c>
      <c r="P551" t="str">
        <f t="shared" si="52"/>
        <v>Completed</v>
      </c>
      <c r="Q551" t="str">
        <f t="shared" si="53"/>
        <v>Slow</v>
      </c>
      <c r="R551" t="str">
        <f>_xlfn.XLOOKUP(B551,CustomerMaster!$A$2:$A$287,CustomerMaster!$B$2:$B$287)</f>
        <v>Customer_88</v>
      </c>
      <c r="S551" t="str">
        <f>_xlfn.XLOOKUP(C551,ProductMaster!$A$2:$A$51,ProductMaster!$B$2:$B$51)</f>
        <v>Product_32</v>
      </c>
      <c r="T551" t="str">
        <f>_xlfn.XLOOKUP(G551,RegionMaster!$A$2:$A$5,RegionMaster!$B$2:$B$5)</f>
        <v>B</v>
      </c>
    </row>
    <row r="552" spans="1:20" ht="15.75" customHeight="1">
      <c r="A552" s="2" t="s">
        <v>1262</v>
      </c>
      <c r="B552" s="2" t="s">
        <v>349</v>
      </c>
      <c r="C552" s="2" t="s">
        <v>162</v>
      </c>
      <c r="D552" s="3">
        <v>45689</v>
      </c>
      <c r="E552" s="3">
        <v>45693</v>
      </c>
      <c r="F552" s="4"/>
      <c r="G552" s="2" t="s">
        <v>17</v>
      </c>
      <c r="H552" s="2" t="s">
        <v>37</v>
      </c>
      <c r="I552" s="2" t="s">
        <v>90</v>
      </c>
      <c r="J552" s="2" t="s">
        <v>107</v>
      </c>
      <c r="K552" s="2">
        <v>2696.78</v>
      </c>
      <c r="L552" s="2" t="str">
        <f t="shared" si="48"/>
        <v>February</v>
      </c>
      <c r="M552" s="2" t="str">
        <f t="shared" si="49"/>
        <v>February</v>
      </c>
      <c r="N552" t="str">
        <f t="shared" si="50"/>
        <v>Delivered</v>
      </c>
      <c r="O552">
        <f t="shared" si="51"/>
        <v>4</v>
      </c>
      <c r="P552" t="str">
        <f t="shared" si="52"/>
        <v>Completed</v>
      </c>
      <c r="Q552" t="str">
        <f t="shared" si="53"/>
        <v>Slow</v>
      </c>
      <c r="R552" t="str">
        <f>_xlfn.XLOOKUP(B552,CustomerMaster!$A$2:$A$287,CustomerMaster!$B$2:$B$287)</f>
        <v>Customer_82</v>
      </c>
      <c r="S552" t="str">
        <f>_xlfn.XLOOKUP(C552,ProductMaster!$A$2:$A$51,ProductMaster!$B$2:$B$51)</f>
        <v>Product_35</v>
      </c>
      <c r="T552" t="str">
        <f>_xlfn.XLOOKUP(G552,RegionMaster!$A$2:$A$5,RegionMaster!$B$2:$B$5)</f>
        <v>B</v>
      </c>
    </row>
    <row r="553" spans="1:20" ht="15.75" customHeight="1">
      <c r="A553" s="2" t="s">
        <v>1263</v>
      </c>
      <c r="B553" s="2" t="s">
        <v>636</v>
      </c>
      <c r="C553" s="2" t="s">
        <v>68</v>
      </c>
      <c r="D553" s="3">
        <v>45664</v>
      </c>
      <c r="E553" s="3">
        <v>45668</v>
      </c>
      <c r="F553" s="4"/>
      <c r="G553" s="2" t="s">
        <v>7</v>
      </c>
      <c r="H553" s="2" t="s">
        <v>59</v>
      </c>
      <c r="I553" s="2" t="s">
        <v>90</v>
      </c>
      <c r="J553" s="2" t="s">
        <v>107</v>
      </c>
      <c r="K553" s="2">
        <v>4290.47</v>
      </c>
      <c r="L553" s="2" t="str">
        <f t="shared" si="48"/>
        <v>January</v>
      </c>
      <c r="M553" s="2" t="str">
        <f t="shared" si="49"/>
        <v>January</v>
      </c>
      <c r="N553" t="str">
        <f t="shared" si="50"/>
        <v>Delivered</v>
      </c>
      <c r="O553">
        <f t="shared" si="51"/>
        <v>4</v>
      </c>
      <c r="P553" t="str">
        <f t="shared" si="52"/>
        <v>Completed</v>
      </c>
      <c r="Q553" t="str">
        <f t="shared" si="53"/>
        <v>Slow</v>
      </c>
      <c r="R553" t="str">
        <f>_xlfn.XLOOKUP(B553,CustomerMaster!$A$2:$A$287,CustomerMaster!$B$2:$B$287)</f>
        <v>Customer_223</v>
      </c>
      <c r="S553" t="str">
        <f>_xlfn.XLOOKUP(C553,ProductMaster!$A$2:$A$51,ProductMaster!$B$2:$B$51)</f>
        <v>Product_13</v>
      </c>
      <c r="T553" t="str">
        <f>_xlfn.XLOOKUP(G553,RegionMaster!$A$2:$A$5,RegionMaster!$B$2:$B$5)</f>
        <v>A</v>
      </c>
    </row>
    <row r="554" spans="1:20" ht="15.75" customHeight="1">
      <c r="A554" s="2" t="s">
        <v>1264</v>
      </c>
      <c r="B554" s="2" t="s">
        <v>186</v>
      </c>
      <c r="C554" s="2" t="s">
        <v>9</v>
      </c>
      <c r="D554" s="3">
        <v>45722</v>
      </c>
      <c r="E554" s="3">
        <v>45726</v>
      </c>
      <c r="F554" s="4"/>
      <c r="G554" s="2" t="s">
        <v>45</v>
      </c>
      <c r="H554" s="2" t="s">
        <v>16</v>
      </c>
      <c r="I554" s="2" t="s">
        <v>106</v>
      </c>
      <c r="J554" s="2" t="s">
        <v>94</v>
      </c>
      <c r="K554" s="2">
        <v>2849.15</v>
      </c>
      <c r="L554" s="2" t="str">
        <f t="shared" si="48"/>
        <v>March</v>
      </c>
      <c r="M554" s="2" t="str">
        <f t="shared" si="49"/>
        <v>March</v>
      </c>
      <c r="N554" t="str">
        <f t="shared" si="50"/>
        <v>Delivered</v>
      </c>
      <c r="O554">
        <f t="shared" si="51"/>
        <v>4</v>
      </c>
      <c r="P554" t="str">
        <f t="shared" si="52"/>
        <v>Completed</v>
      </c>
      <c r="Q554" t="str">
        <f t="shared" si="53"/>
        <v>Slow</v>
      </c>
      <c r="R554" t="str">
        <f>_xlfn.XLOOKUP(B554,CustomerMaster!$A$2:$A$287,CustomerMaster!$B$2:$B$287)</f>
        <v>Customer_24</v>
      </c>
      <c r="S554" t="str">
        <f>_xlfn.XLOOKUP(C554,ProductMaster!$A$2:$A$51,ProductMaster!$B$2:$B$51)</f>
        <v>Product_0</v>
      </c>
      <c r="T554" t="str">
        <f>_xlfn.XLOOKUP(G554,RegionMaster!$A$2:$A$5,RegionMaster!$B$2:$B$5)</f>
        <v>D</v>
      </c>
    </row>
    <row r="555" spans="1:20" ht="15.75" customHeight="1">
      <c r="A555" s="2" t="s">
        <v>1265</v>
      </c>
      <c r="B555" s="2" t="s">
        <v>565</v>
      </c>
      <c r="C555" s="2" t="s">
        <v>164</v>
      </c>
      <c r="D555" s="3">
        <v>45751</v>
      </c>
      <c r="E555" s="3">
        <v>45757</v>
      </c>
      <c r="F555" s="4"/>
      <c r="G555" s="2" t="s">
        <v>45</v>
      </c>
      <c r="H555" s="2" t="s">
        <v>16</v>
      </c>
      <c r="I555" s="2" t="s">
        <v>90</v>
      </c>
      <c r="J555" s="2" t="s">
        <v>107</v>
      </c>
      <c r="K555" s="2">
        <v>2892.5</v>
      </c>
      <c r="L555" s="2" t="str">
        <f t="shared" si="48"/>
        <v>April</v>
      </c>
      <c r="M555" s="2" t="str">
        <f t="shared" si="49"/>
        <v>April</v>
      </c>
      <c r="N555" t="str">
        <f t="shared" si="50"/>
        <v>Delivered</v>
      </c>
      <c r="O555">
        <f t="shared" si="51"/>
        <v>6</v>
      </c>
      <c r="P555" t="str">
        <f t="shared" si="52"/>
        <v>Completed</v>
      </c>
      <c r="Q555" t="str">
        <f t="shared" si="53"/>
        <v>Slow</v>
      </c>
      <c r="R555" t="str">
        <f>_xlfn.XLOOKUP(B555,CustomerMaster!$A$2:$A$287,CustomerMaster!$B$2:$B$287)</f>
        <v>Customer_173</v>
      </c>
      <c r="S555" t="str">
        <f>_xlfn.XLOOKUP(C555,ProductMaster!$A$2:$A$51,ProductMaster!$B$2:$B$51)</f>
        <v>Product_36</v>
      </c>
      <c r="T555" t="str">
        <f>_xlfn.XLOOKUP(G555,RegionMaster!$A$2:$A$5,RegionMaster!$B$2:$B$5)</f>
        <v>D</v>
      </c>
    </row>
    <row r="556" spans="1:20" ht="15.75" customHeight="1">
      <c r="A556" s="2" t="s">
        <v>1266</v>
      </c>
      <c r="B556" s="2" t="s">
        <v>649</v>
      </c>
      <c r="C556" s="2" t="s">
        <v>95</v>
      </c>
      <c r="D556" s="3">
        <v>45747</v>
      </c>
      <c r="E556" s="3">
        <v>45753</v>
      </c>
      <c r="F556" s="4"/>
      <c r="G556" s="2" t="s">
        <v>17</v>
      </c>
      <c r="H556" s="2" t="s">
        <v>27</v>
      </c>
      <c r="I556" s="2" t="s">
        <v>106</v>
      </c>
      <c r="J556" s="2" t="s">
        <v>94</v>
      </c>
      <c r="K556" s="2">
        <v>4407.9399999999996</v>
      </c>
      <c r="L556" s="2" t="str">
        <f t="shared" si="48"/>
        <v>March</v>
      </c>
      <c r="M556" s="2" t="str">
        <f t="shared" si="49"/>
        <v>April</v>
      </c>
      <c r="N556" t="str">
        <f t="shared" si="50"/>
        <v>Delivered</v>
      </c>
      <c r="O556">
        <f t="shared" si="51"/>
        <v>6</v>
      </c>
      <c r="P556" t="str">
        <f t="shared" si="52"/>
        <v>Completed</v>
      </c>
      <c r="Q556" t="str">
        <f t="shared" si="53"/>
        <v>Slow</v>
      </c>
      <c r="R556" t="str">
        <f>_xlfn.XLOOKUP(B556,CustomerMaster!$A$2:$A$287,CustomerMaster!$B$2:$B$287)</f>
        <v>Customer_257</v>
      </c>
      <c r="S556" t="str">
        <f>_xlfn.XLOOKUP(C556,ProductMaster!$A$2:$A$51,ProductMaster!$B$2:$B$51)</f>
        <v>Product_17</v>
      </c>
      <c r="T556" t="str">
        <f>_xlfn.XLOOKUP(G556,RegionMaster!$A$2:$A$5,RegionMaster!$B$2:$B$5)</f>
        <v>B</v>
      </c>
    </row>
    <row r="557" spans="1:20" ht="15.75" customHeight="1">
      <c r="A557" s="2" t="s">
        <v>1267</v>
      </c>
      <c r="B557" s="2" t="s">
        <v>601</v>
      </c>
      <c r="C557" s="2" t="s">
        <v>95</v>
      </c>
      <c r="D557" s="3">
        <v>45701</v>
      </c>
      <c r="E557" s="3">
        <v>45705</v>
      </c>
      <c r="F557" s="4"/>
      <c r="G557" s="2" t="s">
        <v>7</v>
      </c>
      <c r="H557" s="2" t="s">
        <v>59</v>
      </c>
      <c r="I557" s="2" t="s">
        <v>106</v>
      </c>
      <c r="J557" s="2" t="s">
        <v>133</v>
      </c>
      <c r="K557" s="2">
        <v>2136.7199999999998</v>
      </c>
      <c r="L557" s="2" t="str">
        <f t="shared" si="48"/>
        <v>February</v>
      </c>
      <c r="M557" s="2" t="str">
        <f t="shared" si="49"/>
        <v>February</v>
      </c>
      <c r="N557" t="str">
        <f t="shared" si="50"/>
        <v>Delivered</v>
      </c>
      <c r="O557">
        <f t="shared" si="51"/>
        <v>4</v>
      </c>
      <c r="P557" t="str">
        <f t="shared" si="52"/>
        <v>Completed</v>
      </c>
      <c r="Q557" t="str">
        <f t="shared" si="53"/>
        <v>Slow</v>
      </c>
      <c r="R557" t="str">
        <f>_xlfn.XLOOKUP(B557,CustomerMaster!$A$2:$A$287,CustomerMaster!$B$2:$B$287)</f>
        <v>Customer_187</v>
      </c>
      <c r="S557" t="str">
        <f>_xlfn.XLOOKUP(C557,ProductMaster!$A$2:$A$51,ProductMaster!$B$2:$B$51)</f>
        <v>Product_17</v>
      </c>
      <c r="T557" t="str">
        <f>_xlfn.XLOOKUP(G557,RegionMaster!$A$2:$A$5,RegionMaster!$B$2:$B$5)</f>
        <v>A</v>
      </c>
    </row>
    <row r="558" spans="1:20" ht="15.75" customHeight="1">
      <c r="A558" s="2" t="s">
        <v>1268</v>
      </c>
      <c r="B558" s="2" t="s">
        <v>781</v>
      </c>
      <c r="C558" s="2" t="s">
        <v>164</v>
      </c>
      <c r="D558" s="3">
        <v>45706</v>
      </c>
      <c r="E558" s="3">
        <v>45708</v>
      </c>
      <c r="F558" s="4"/>
      <c r="G558" s="2" t="s">
        <v>7</v>
      </c>
      <c r="H558" s="2" t="s">
        <v>37</v>
      </c>
      <c r="I558" s="2" t="s">
        <v>195</v>
      </c>
      <c r="J558" s="2" t="s">
        <v>133</v>
      </c>
      <c r="K558" s="2">
        <v>843.27</v>
      </c>
      <c r="L558" s="2" t="str">
        <f t="shared" si="48"/>
        <v>February</v>
      </c>
      <c r="M558" s="2" t="str">
        <f t="shared" si="49"/>
        <v>February</v>
      </c>
      <c r="N558" t="str">
        <f t="shared" si="50"/>
        <v>Delivered</v>
      </c>
      <c r="O558">
        <f t="shared" si="51"/>
        <v>2</v>
      </c>
      <c r="P558" t="str">
        <f t="shared" si="52"/>
        <v>Completed</v>
      </c>
      <c r="Q558" t="str">
        <f t="shared" si="53"/>
        <v>Fast</v>
      </c>
      <c r="R558" t="str">
        <f>_xlfn.XLOOKUP(B558,CustomerMaster!$A$2:$A$287,CustomerMaster!$B$2:$B$287)</f>
        <v>Customer_273</v>
      </c>
      <c r="S558" t="str">
        <f>_xlfn.XLOOKUP(C558,ProductMaster!$A$2:$A$51,ProductMaster!$B$2:$B$51)</f>
        <v>Product_36</v>
      </c>
      <c r="T558" t="str">
        <f>_xlfn.XLOOKUP(G558,RegionMaster!$A$2:$A$5,RegionMaster!$B$2:$B$5)</f>
        <v>A</v>
      </c>
    </row>
    <row r="559" spans="1:20" ht="15.75" customHeight="1">
      <c r="A559" s="2" t="s">
        <v>1269</v>
      </c>
      <c r="B559" s="2" t="s">
        <v>223</v>
      </c>
      <c r="C559" s="2" t="s">
        <v>68</v>
      </c>
      <c r="D559" s="3">
        <v>45754</v>
      </c>
      <c r="E559" s="3">
        <v>45759</v>
      </c>
      <c r="F559" s="4"/>
      <c r="G559" s="2" t="s">
        <v>7</v>
      </c>
      <c r="H559" s="2" t="s">
        <v>54</v>
      </c>
      <c r="I559" s="2" t="s">
        <v>195</v>
      </c>
      <c r="J559" s="2" t="s">
        <v>133</v>
      </c>
      <c r="K559" s="2">
        <v>338.16</v>
      </c>
      <c r="L559" s="2" t="str">
        <f t="shared" si="48"/>
        <v>April</v>
      </c>
      <c r="M559" s="2" t="str">
        <f t="shared" si="49"/>
        <v>April</v>
      </c>
      <c r="N559" t="str">
        <f t="shared" si="50"/>
        <v>Delivered</v>
      </c>
      <c r="O559">
        <f t="shared" si="51"/>
        <v>5</v>
      </c>
      <c r="P559" t="str">
        <f t="shared" si="52"/>
        <v>Completed</v>
      </c>
      <c r="Q559" t="str">
        <f t="shared" si="53"/>
        <v>Slow</v>
      </c>
      <c r="R559" t="str">
        <f>_xlfn.XLOOKUP(B559,CustomerMaster!$A$2:$A$287,CustomerMaster!$B$2:$B$287)</f>
        <v>Customer_44</v>
      </c>
      <c r="S559" t="str">
        <f>_xlfn.XLOOKUP(C559,ProductMaster!$A$2:$A$51,ProductMaster!$B$2:$B$51)</f>
        <v>Product_13</v>
      </c>
      <c r="T559" t="str">
        <f>_xlfn.XLOOKUP(G559,RegionMaster!$A$2:$A$5,RegionMaster!$B$2:$B$5)</f>
        <v>A</v>
      </c>
    </row>
    <row r="560" spans="1:20" ht="15.75" customHeight="1">
      <c r="A560" s="2" t="s">
        <v>1270</v>
      </c>
      <c r="B560" s="2" t="s">
        <v>346</v>
      </c>
      <c r="C560" s="2" t="s">
        <v>91</v>
      </c>
      <c r="D560" s="3">
        <v>45714</v>
      </c>
      <c r="E560" s="3">
        <v>45718</v>
      </c>
      <c r="F560" s="4"/>
      <c r="G560" s="2" t="s">
        <v>7</v>
      </c>
      <c r="H560" s="2" t="s">
        <v>54</v>
      </c>
      <c r="I560" s="2" t="s">
        <v>195</v>
      </c>
      <c r="J560" s="2" t="s">
        <v>94</v>
      </c>
      <c r="K560" s="2">
        <v>3824.66</v>
      </c>
      <c r="L560" s="2" t="str">
        <f t="shared" si="48"/>
        <v>February</v>
      </c>
      <c r="M560" s="2" t="str">
        <f t="shared" si="49"/>
        <v>March</v>
      </c>
      <c r="N560" t="str">
        <f t="shared" si="50"/>
        <v>Delivered</v>
      </c>
      <c r="O560">
        <f t="shared" si="51"/>
        <v>4</v>
      </c>
      <c r="P560" t="str">
        <f t="shared" si="52"/>
        <v>Completed</v>
      </c>
      <c r="Q560" t="str">
        <f t="shared" si="53"/>
        <v>Slow</v>
      </c>
      <c r="R560" t="str">
        <f>_xlfn.XLOOKUP(B560,CustomerMaster!$A$2:$A$287,CustomerMaster!$B$2:$B$287)</f>
        <v>Customer_81</v>
      </c>
      <c r="S560" t="str">
        <f>_xlfn.XLOOKUP(C560,ProductMaster!$A$2:$A$51,ProductMaster!$B$2:$B$51)</f>
        <v>Product_16</v>
      </c>
      <c r="T560" t="str">
        <f>_xlfn.XLOOKUP(G560,RegionMaster!$A$2:$A$5,RegionMaster!$B$2:$B$5)</f>
        <v>A</v>
      </c>
    </row>
    <row r="561" spans="1:20" ht="15.75" customHeight="1">
      <c r="A561" s="2" t="s">
        <v>1271</v>
      </c>
      <c r="B561" s="2" t="s">
        <v>601</v>
      </c>
      <c r="C561" s="2" t="s">
        <v>199</v>
      </c>
      <c r="D561" s="3">
        <v>45662</v>
      </c>
      <c r="E561" s="3">
        <v>45664</v>
      </c>
      <c r="F561" s="4"/>
      <c r="G561" s="2" t="s">
        <v>45</v>
      </c>
      <c r="H561" s="2" t="s">
        <v>16</v>
      </c>
      <c r="I561" s="2" t="s">
        <v>195</v>
      </c>
      <c r="J561" s="2" t="s">
        <v>133</v>
      </c>
      <c r="K561" s="2">
        <v>3177.49</v>
      </c>
      <c r="L561" s="2" t="str">
        <f t="shared" si="48"/>
        <v>January</v>
      </c>
      <c r="M561" s="2" t="str">
        <f t="shared" si="49"/>
        <v>January</v>
      </c>
      <c r="N561" t="str">
        <f t="shared" si="50"/>
        <v>Delivered</v>
      </c>
      <c r="O561">
        <f t="shared" si="51"/>
        <v>2</v>
      </c>
      <c r="P561" t="str">
        <f t="shared" si="52"/>
        <v>Completed</v>
      </c>
      <c r="Q561" t="str">
        <f t="shared" si="53"/>
        <v>Fast</v>
      </c>
      <c r="R561" t="str">
        <f>_xlfn.XLOOKUP(B561,CustomerMaster!$A$2:$A$287,CustomerMaster!$B$2:$B$287)</f>
        <v>Customer_187</v>
      </c>
      <c r="S561" t="str">
        <f>_xlfn.XLOOKUP(C561,ProductMaster!$A$2:$A$51,ProductMaster!$B$2:$B$51)</f>
        <v>Product_45</v>
      </c>
      <c r="T561" t="str">
        <f>_xlfn.XLOOKUP(G561,RegionMaster!$A$2:$A$5,RegionMaster!$B$2:$B$5)</f>
        <v>D</v>
      </c>
    </row>
    <row r="562" spans="1:20" ht="15.75" customHeight="1">
      <c r="A562" s="2" t="s">
        <v>1272</v>
      </c>
      <c r="B562" s="2" t="s">
        <v>438</v>
      </c>
      <c r="C562" s="2" t="s">
        <v>172</v>
      </c>
      <c r="D562" s="3">
        <v>45722</v>
      </c>
      <c r="E562" s="4"/>
      <c r="F562" s="3">
        <v>45724</v>
      </c>
      <c r="G562" s="2" t="s">
        <v>22</v>
      </c>
      <c r="H562" s="2" t="s">
        <v>59</v>
      </c>
      <c r="I562" s="2" t="s">
        <v>121</v>
      </c>
      <c r="J562" s="2" t="s">
        <v>107</v>
      </c>
      <c r="K562" s="2">
        <v>3579.58</v>
      </c>
      <c r="L562" s="2" t="str">
        <f t="shared" si="48"/>
        <v>March</v>
      </c>
      <c r="M562" s="2" t="str">
        <f t="shared" si="49"/>
        <v>Cancelled</v>
      </c>
      <c r="N562" t="str">
        <f t="shared" si="50"/>
        <v>Cancelled</v>
      </c>
      <c r="O562" t="str">
        <f t="shared" si="51"/>
        <v>Order Cancelled</v>
      </c>
      <c r="P562" t="str">
        <f t="shared" si="52"/>
        <v>Cancelled</v>
      </c>
      <c r="Q562" t="str">
        <f t="shared" si="53"/>
        <v>Cancelled</v>
      </c>
      <c r="R562" t="str">
        <f>_xlfn.XLOOKUP(B562,CustomerMaster!$A$2:$A$287,CustomerMaster!$B$2:$B$287)</f>
        <v>Customer_121</v>
      </c>
      <c r="S562" t="str">
        <f>_xlfn.XLOOKUP(C562,ProductMaster!$A$2:$A$51,ProductMaster!$B$2:$B$51)</f>
        <v>Product_39</v>
      </c>
      <c r="T562" t="str">
        <f>_xlfn.XLOOKUP(G562,RegionMaster!$A$2:$A$5,RegionMaster!$B$2:$B$5)</f>
        <v>C</v>
      </c>
    </row>
    <row r="563" spans="1:20" ht="15.75" customHeight="1">
      <c r="A563" s="2" t="s">
        <v>1273</v>
      </c>
      <c r="B563" s="2" t="s">
        <v>583</v>
      </c>
      <c r="C563" s="2" t="s">
        <v>173</v>
      </c>
      <c r="D563" s="3">
        <v>45673</v>
      </c>
      <c r="E563" s="3">
        <v>45675</v>
      </c>
      <c r="F563" s="4"/>
      <c r="G563" s="2" t="s">
        <v>7</v>
      </c>
      <c r="H563" s="2" t="s">
        <v>27</v>
      </c>
      <c r="I563" s="2" t="s">
        <v>121</v>
      </c>
      <c r="J563" s="2" t="s">
        <v>94</v>
      </c>
      <c r="K563" s="2">
        <v>1222.23</v>
      </c>
      <c r="L563" s="2" t="str">
        <f t="shared" si="48"/>
        <v>January</v>
      </c>
      <c r="M563" s="2" t="str">
        <f t="shared" si="49"/>
        <v>January</v>
      </c>
      <c r="N563" t="str">
        <f t="shared" si="50"/>
        <v>Delivered</v>
      </c>
      <c r="O563">
        <f t="shared" si="51"/>
        <v>2</v>
      </c>
      <c r="P563" t="str">
        <f t="shared" si="52"/>
        <v>Completed</v>
      </c>
      <c r="Q563" t="str">
        <f t="shared" si="53"/>
        <v>Fast</v>
      </c>
      <c r="R563" t="str">
        <f>_xlfn.XLOOKUP(B563,CustomerMaster!$A$2:$A$287,CustomerMaster!$B$2:$B$287)</f>
        <v>Customer_180</v>
      </c>
      <c r="S563" t="str">
        <f>_xlfn.XLOOKUP(C563,ProductMaster!$A$2:$A$51,ProductMaster!$B$2:$B$51)</f>
        <v>Product_38</v>
      </c>
      <c r="T563" t="str">
        <f>_xlfn.XLOOKUP(G563,RegionMaster!$A$2:$A$5,RegionMaster!$B$2:$B$5)</f>
        <v>A</v>
      </c>
    </row>
    <row r="564" spans="1:20" ht="15.75" customHeight="1">
      <c r="A564" s="2" t="s">
        <v>1274</v>
      </c>
      <c r="B564" s="2" t="s">
        <v>224</v>
      </c>
      <c r="C564" s="2" t="s">
        <v>162</v>
      </c>
      <c r="D564" s="3">
        <v>45738</v>
      </c>
      <c r="E564" s="3">
        <v>45742</v>
      </c>
      <c r="F564" s="4"/>
      <c r="G564" s="2" t="s">
        <v>7</v>
      </c>
      <c r="H564" s="2" t="s">
        <v>27</v>
      </c>
      <c r="I564" s="2" t="s">
        <v>90</v>
      </c>
      <c r="J564" s="2" t="s">
        <v>94</v>
      </c>
      <c r="K564" s="2">
        <v>854.58</v>
      </c>
      <c r="L564" s="2" t="str">
        <f t="shared" si="48"/>
        <v>March</v>
      </c>
      <c r="M564" s="2" t="str">
        <f t="shared" si="49"/>
        <v>March</v>
      </c>
      <c r="N564" t="str">
        <f t="shared" si="50"/>
        <v>Delivered</v>
      </c>
      <c r="O564">
        <f t="shared" si="51"/>
        <v>4</v>
      </c>
      <c r="P564" t="str">
        <f t="shared" si="52"/>
        <v>Completed</v>
      </c>
      <c r="Q564" t="str">
        <f t="shared" si="53"/>
        <v>Slow</v>
      </c>
      <c r="R564" t="str">
        <f>_xlfn.XLOOKUP(B564,CustomerMaster!$A$2:$A$287,CustomerMaster!$B$2:$B$287)</f>
        <v>Customer_31</v>
      </c>
      <c r="S564" t="str">
        <f>_xlfn.XLOOKUP(C564,ProductMaster!$A$2:$A$51,ProductMaster!$B$2:$B$51)</f>
        <v>Product_35</v>
      </c>
      <c r="T564" t="str">
        <f>_xlfn.XLOOKUP(G564,RegionMaster!$A$2:$A$5,RegionMaster!$B$2:$B$5)</f>
        <v>A</v>
      </c>
    </row>
    <row r="565" spans="1:20" ht="15.75" customHeight="1">
      <c r="A565" s="2" t="s">
        <v>1275</v>
      </c>
      <c r="B565" s="2" t="s">
        <v>255</v>
      </c>
      <c r="C565" s="2" t="s">
        <v>43</v>
      </c>
      <c r="D565" s="3">
        <v>45666</v>
      </c>
      <c r="E565" s="3">
        <v>45671</v>
      </c>
      <c r="F565" s="4"/>
      <c r="G565" s="2" t="s">
        <v>45</v>
      </c>
      <c r="H565" s="2" t="s">
        <v>54</v>
      </c>
      <c r="I565" s="2" t="s">
        <v>106</v>
      </c>
      <c r="J565" s="2" t="s">
        <v>94</v>
      </c>
      <c r="K565" s="2">
        <v>269.81</v>
      </c>
      <c r="L565" s="2" t="str">
        <f t="shared" si="48"/>
        <v>January</v>
      </c>
      <c r="M565" s="2" t="str">
        <f t="shared" si="49"/>
        <v>January</v>
      </c>
      <c r="N565" t="str">
        <f t="shared" si="50"/>
        <v>Delivered</v>
      </c>
      <c r="O565">
        <f t="shared" si="51"/>
        <v>5</v>
      </c>
      <c r="P565" t="str">
        <f t="shared" si="52"/>
        <v>Completed</v>
      </c>
      <c r="Q565" t="str">
        <f t="shared" si="53"/>
        <v>Slow</v>
      </c>
      <c r="R565" t="str">
        <f>_xlfn.XLOOKUP(B565,CustomerMaster!$A$2:$A$287,CustomerMaster!$B$2:$B$287)</f>
        <v>Customer_43</v>
      </c>
      <c r="S565" t="str">
        <f>_xlfn.XLOOKUP(C565,ProductMaster!$A$2:$A$51,ProductMaster!$B$2:$B$51)</f>
        <v>Product_5</v>
      </c>
      <c r="T565" t="str">
        <f>_xlfn.XLOOKUP(G565,RegionMaster!$A$2:$A$5,RegionMaster!$B$2:$B$5)</f>
        <v>D</v>
      </c>
    </row>
    <row r="566" spans="1:20" ht="15.75" customHeight="1">
      <c r="A566" s="2" t="s">
        <v>1276</v>
      </c>
      <c r="B566" s="2" t="s">
        <v>734</v>
      </c>
      <c r="C566" s="2" t="s">
        <v>79</v>
      </c>
      <c r="D566" s="3">
        <v>45704</v>
      </c>
      <c r="E566" s="3">
        <v>45707</v>
      </c>
      <c r="F566" s="4"/>
      <c r="G566" s="2" t="s">
        <v>45</v>
      </c>
      <c r="H566" s="2" t="s">
        <v>27</v>
      </c>
      <c r="I566" s="2" t="s">
        <v>178</v>
      </c>
      <c r="J566" s="2" t="s">
        <v>107</v>
      </c>
      <c r="K566" s="2">
        <v>1882.82</v>
      </c>
      <c r="L566" s="2" t="str">
        <f t="shared" si="48"/>
        <v>February</v>
      </c>
      <c r="M566" s="2" t="str">
        <f t="shared" si="49"/>
        <v>February</v>
      </c>
      <c r="N566" t="str">
        <f t="shared" si="50"/>
        <v>Delivered</v>
      </c>
      <c r="O566">
        <f t="shared" si="51"/>
        <v>3</v>
      </c>
      <c r="P566" t="str">
        <f t="shared" si="52"/>
        <v>Completed</v>
      </c>
      <c r="Q566" t="str">
        <f t="shared" si="53"/>
        <v>Slow</v>
      </c>
      <c r="R566" t="str">
        <f>_xlfn.XLOOKUP(B566,CustomerMaster!$A$2:$A$287,CustomerMaster!$B$2:$B$287)</f>
        <v>Customer_247</v>
      </c>
      <c r="S566" t="str">
        <f>_xlfn.XLOOKUP(C566,ProductMaster!$A$2:$A$51,ProductMaster!$B$2:$B$51)</f>
        <v>Product_12</v>
      </c>
      <c r="T566" t="str">
        <f>_xlfn.XLOOKUP(G566,RegionMaster!$A$2:$A$5,RegionMaster!$B$2:$B$5)</f>
        <v>D</v>
      </c>
    </row>
    <row r="567" spans="1:20" ht="15.75" customHeight="1">
      <c r="A567" s="2" t="s">
        <v>1277</v>
      </c>
      <c r="B567" s="2" t="s">
        <v>255</v>
      </c>
      <c r="C567" s="2" t="s">
        <v>79</v>
      </c>
      <c r="D567" s="3">
        <v>45680</v>
      </c>
      <c r="E567" s="4"/>
      <c r="F567" s="3">
        <v>45680</v>
      </c>
      <c r="G567" s="2" t="s">
        <v>17</v>
      </c>
      <c r="H567" s="2" t="s">
        <v>54</v>
      </c>
      <c r="I567" s="2" t="s">
        <v>195</v>
      </c>
      <c r="J567" s="2" t="s">
        <v>107</v>
      </c>
      <c r="K567" s="2">
        <v>3031.6</v>
      </c>
      <c r="L567" s="2" t="str">
        <f t="shared" si="48"/>
        <v>January</v>
      </c>
      <c r="M567" s="2" t="str">
        <f t="shared" si="49"/>
        <v>Cancelled</v>
      </c>
      <c r="N567" t="str">
        <f t="shared" si="50"/>
        <v>Cancelled</v>
      </c>
      <c r="O567" t="str">
        <f t="shared" si="51"/>
        <v>Order Cancelled</v>
      </c>
      <c r="P567" t="str">
        <f t="shared" si="52"/>
        <v>Cancelled</v>
      </c>
      <c r="Q567" t="str">
        <f t="shared" si="53"/>
        <v>Cancelled</v>
      </c>
      <c r="R567" t="str">
        <f>_xlfn.XLOOKUP(B567,CustomerMaster!$A$2:$A$287,CustomerMaster!$B$2:$B$287)</f>
        <v>Customer_43</v>
      </c>
      <c r="S567" t="str">
        <f>_xlfn.XLOOKUP(C567,ProductMaster!$A$2:$A$51,ProductMaster!$B$2:$B$51)</f>
        <v>Product_12</v>
      </c>
      <c r="T567" t="str">
        <f>_xlfn.XLOOKUP(G567,RegionMaster!$A$2:$A$5,RegionMaster!$B$2:$B$5)</f>
        <v>B</v>
      </c>
    </row>
    <row r="568" spans="1:20" ht="15.75" customHeight="1">
      <c r="A568" s="2" t="s">
        <v>1278</v>
      </c>
      <c r="B568" s="2" t="s">
        <v>515</v>
      </c>
      <c r="C568" s="2" t="s">
        <v>114</v>
      </c>
      <c r="D568" s="3">
        <v>45768</v>
      </c>
      <c r="E568" s="4"/>
      <c r="F568" s="3">
        <v>45768</v>
      </c>
      <c r="G568" s="2" t="s">
        <v>22</v>
      </c>
      <c r="H568" s="2" t="s">
        <v>27</v>
      </c>
      <c r="I568" s="2" t="s">
        <v>195</v>
      </c>
      <c r="J568" s="2" t="s">
        <v>94</v>
      </c>
      <c r="K568" s="2">
        <v>2082.77</v>
      </c>
      <c r="L568" s="2" t="str">
        <f t="shared" si="48"/>
        <v>April</v>
      </c>
      <c r="M568" s="2" t="str">
        <f t="shared" si="49"/>
        <v>Cancelled</v>
      </c>
      <c r="N568" t="str">
        <f t="shared" si="50"/>
        <v>Cancelled</v>
      </c>
      <c r="O568" t="str">
        <f t="shared" si="51"/>
        <v>Order Cancelled</v>
      </c>
      <c r="P568" t="str">
        <f t="shared" si="52"/>
        <v>Cancelled</v>
      </c>
      <c r="Q568" t="str">
        <f t="shared" si="53"/>
        <v>Cancelled</v>
      </c>
      <c r="R568" t="str">
        <f>_xlfn.XLOOKUP(B568,CustomerMaster!$A$2:$A$287,CustomerMaster!$B$2:$B$287)</f>
        <v>Customer_152</v>
      </c>
      <c r="S568" t="str">
        <f>_xlfn.XLOOKUP(C568,ProductMaster!$A$2:$A$51,ProductMaster!$B$2:$B$51)</f>
        <v>Product_21</v>
      </c>
      <c r="T568" t="str">
        <f>_xlfn.XLOOKUP(G568,RegionMaster!$A$2:$A$5,RegionMaster!$B$2:$B$5)</f>
        <v>C</v>
      </c>
    </row>
    <row r="569" spans="1:20" ht="15.75" customHeight="1">
      <c r="A569" s="2" t="s">
        <v>1279</v>
      </c>
      <c r="B569" s="2" t="s">
        <v>380</v>
      </c>
      <c r="C569" s="2" t="s">
        <v>138</v>
      </c>
      <c r="D569" s="3">
        <v>45746</v>
      </c>
      <c r="E569" s="3">
        <v>45748</v>
      </c>
      <c r="F569" s="4"/>
      <c r="G569" s="2" t="s">
        <v>45</v>
      </c>
      <c r="H569" s="2" t="s">
        <v>27</v>
      </c>
      <c r="I569" s="2" t="s">
        <v>121</v>
      </c>
      <c r="J569" s="2" t="s">
        <v>133</v>
      </c>
      <c r="K569" s="2">
        <v>2299.88</v>
      </c>
      <c r="L569" s="2" t="str">
        <f t="shared" si="48"/>
        <v>March</v>
      </c>
      <c r="M569" s="2" t="str">
        <f t="shared" si="49"/>
        <v>April</v>
      </c>
      <c r="N569" t="str">
        <f t="shared" si="50"/>
        <v>Delivered</v>
      </c>
      <c r="O569">
        <f t="shared" si="51"/>
        <v>2</v>
      </c>
      <c r="P569" t="str">
        <f t="shared" si="52"/>
        <v>Completed</v>
      </c>
      <c r="Q569" t="str">
        <f t="shared" si="53"/>
        <v>Fast</v>
      </c>
      <c r="R569" t="str">
        <f>_xlfn.XLOOKUP(B569,CustomerMaster!$A$2:$A$287,CustomerMaster!$B$2:$B$287)</f>
        <v>Customer_97</v>
      </c>
      <c r="S569" t="str">
        <f>_xlfn.XLOOKUP(C569,ProductMaster!$A$2:$A$51,ProductMaster!$B$2:$B$51)</f>
        <v>Product_28</v>
      </c>
      <c r="T569" t="str">
        <f>_xlfn.XLOOKUP(G569,RegionMaster!$A$2:$A$5,RegionMaster!$B$2:$B$5)</f>
        <v>D</v>
      </c>
    </row>
    <row r="570" spans="1:20" ht="15.75" customHeight="1">
      <c r="A570" s="2" t="s">
        <v>1280</v>
      </c>
      <c r="B570" s="2" t="s">
        <v>278</v>
      </c>
      <c r="C570" s="2" t="s">
        <v>204</v>
      </c>
      <c r="D570" s="3">
        <v>45683</v>
      </c>
      <c r="E570" s="3">
        <v>45686</v>
      </c>
      <c r="F570" s="4"/>
      <c r="G570" s="2" t="s">
        <v>45</v>
      </c>
      <c r="H570" s="2" t="s">
        <v>27</v>
      </c>
      <c r="I570" s="2" t="s">
        <v>178</v>
      </c>
      <c r="J570" s="2" t="s">
        <v>94</v>
      </c>
      <c r="K570" s="2">
        <v>4539.96</v>
      </c>
      <c r="L570" s="2" t="str">
        <f t="shared" si="48"/>
        <v>January</v>
      </c>
      <c r="M570" s="2" t="str">
        <f t="shared" si="49"/>
        <v>January</v>
      </c>
      <c r="N570" t="str">
        <f t="shared" si="50"/>
        <v>Delivered</v>
      </c>
      <c r="O570">
        <f t="shared" si="51"/>
        <v>3</v>
      </c>
      <c r="P570" t="str">
        <f t="shared" si="52"/>
        <v>Completed</v>
      </c>
      <c r="Q570" t="str">
        <f t="shared" si="53"/>
        <v>Slow</v>
      </c>
      <c r="R570" t="str">
        <f>_xlfn.XLOOKUP(B570,CustomerMaster!$A$2:$A$287,CustomerMaster!$B$2:$B$287)</f>
        <v>Customer_52</v>
      </c>
      <c r="S570" t="str">
        <f>_xlfn.XLOOKUP(C570,ProductMaster!$A$2:$A$51,ProductMaster!$B$2:$B$51)</f>
        <v>Product_46</v>
      </c>
      <c r="T570" t="str">
        <f>_xlfn.XLOOKUP(G570,RegionMaster!$A$2:$A$5,RegionMaster!$B$2:$B$5)</f>
        <v>D</v>
      </c>
    </row>
    <row r="571" spans="1:20" ht="15.75" customHeight="1">
      <c r="A571" s="2" t="s">
        <v>1281</v>
      </c>
      <c r="B571" s="2" t="s">
        <v>533</v>
      </c>
      <c r="C571" s="2" t="s">
        <v>213</v>
      </c>
      <c r="D571" s="3">
        <v>45713</v>
      </c>
      <c r="E571" s="3">
        <v>45716</v>
      </c>
      <c r="F571" s="4"/>
      <c r="G571" s="2" t="s">
        <v>7</v>
      </c>
      <c r="H571" s="2" t="s">
        <v>54</v>
      </c>
      <c r="I571" s="2" t="s">
        <v>106</v>
      </c>
      <c r="J571" s="2" t="s">
        <v>107</v>
      </c>
      <c r="K571" s="2">
        <v>1871.63</v>
      </c>
      <c r="L571" s="2" t="str">
        <f t="shared" si="48"/>
        <v>February</v>
      </c>
      <c r="M571" s="2" t="str">
        <f t="shared" si="49"/>
        <v>February</v>
      </c>
      <c r="N571" t="str">
        <f t="shared" si="50"/>
        <v>Delivered</v>
      </c>
      <c r="O571">
        <f t="shared" si="51"/>
        <v>3</v>
      </c>
      <c r="P571" t="str">
        <f t="shared" si="52"/>
        <v>Completed</v>
      </c>
      <c r="Q571" t="str">
        <f t="shared" si="53"/>
        <v>Slow</v>
      </c>
      <c r="R571" t="str">
        <f>_xlfn.XLOOKUP(B571,CustomerMaster!$A$2:$A$287,CustomerMaster!$B$2:$B$287)</f>
        <v>Customer_262</v>
      </c>
      <c r="S571" t="str">
        <f>_xlfn.XLOOKUP(C571,ProductMaster!$A$2:$A$51,ProductMaster!$B$2:$B$51)</f>
        <v>Product_49</v>
      </c>
      <c r="T571" t="str">
        <f>_xlfn.XLOOKUP(G571,RegionMaster!$A$2:$A$5,RegionMaster!$B$2:$B$5)</f>
        <v>A</v>
      </c>
    </row>
    <row r="572" spans="1:20" ht="15.75" customHeight="1">
      <c r="A572" s="2" t="s">
        <v>1282</v>
      </c>
      <c r="B572" s="2" t="s">
        <v>706</v>
      </c>
      <c r="C572" s="2" t="s">
        <v>104</v>
      </c>
      <c r="D572" s="3">
        <v>45684</v>
      </c>
      <c r="E572" s="3">
        <v>45687</v>
      </c>
      <c r="F572" s="4"/>
      <c r="G572" s="2" t="s">
        <v>45</v>
      </c>
      <c r="H572" s="2" t="s">
        <v>16</v>
      </c>
      <c r="I572" s="2" t="s">
        <v>195</v>
      </c>
      <c r="J572" s="2" t="s">
        <v>107</v>
      </c>
      <c r="K572" s="2">
        <v>2667.15</v>
      </c>
      <c r="L572" s="2" t="str">
        <f t="shared" si="48"/>
        <v>January</v>
      </c>
      <c r="M572" s="2" t="str">
        <f t="shared" si="49"/>
        <v>January</v>
      </c>
      <c r="N572" t="str">
        <f t="shared" si="50"/>
        <v>Delivered</v>
      </c>
      <c r="O572">
        <f t="shared" si="51"/>
        <v>3</v>
      </c>
      <c r="P572" t="str">
        <f t="shared" si="52"/>
        <v>Completed</v>
      </c>
      <c r="Q572" t="str">
        <f t="shared" si="53"/>
        <v>Slow</v>
      </c>
      <c r="R572" t="str">
        <f>_xlfn.XLOOKUP(B572,CustomerMaster!$A$2:$A$287,CustomerMaster!$B$2:$B$287)</f>
        <v>Customer_234</v>
      </c>
      <c r="S572" t="str">
        <f>_xlfn.XLOOKUP(C572,ProductMaster!$A$2:$A$51,ProductMaster!$B$2:$B$51)</f>
        <v>Product_19</v>
      </c>
      <c r="T572" t="str">
        <f>_xlfn.XLOOKUP(G572,RegionMaster!$A$2:$A$5,RegionMaster!$B$2:$B$5)</f>
        <v>D</v>
      </c>
    </row>
    <row r="573" spans="1:20" ht="15.75" customHeight="1">
      <c r="A573" s="2" t="s">
        <v>1283</v>
      </c>
      <c r="B573" s="2" t="s">
        <v>466</v>
      </c>
      <c r="C573" s="2" t="s">
        <v>104</v>
      </c>
      <c r="D573" s="3">
        <v>45731</v>
      </c>
      <c r="E573" s="4"/>
      <c r="F573" s="3">
        <v>45732</v>
      </c>
      <c r="G573" s="2" t="s">
        <v>17</v>
      </c>
      <c r="H573" s="2" t="s">
        <v>37</v>
      </c>
      <c r="I573" s="2" t="s">
        <v>195</v>
      </c>
      <c r="J573" s="2" t="s">
        <v>107</v>
      </c>
      <c r="K573" s="2">
        <v>3961.53</v>
      </c>
      <c r="L573" s="2" t="str">
        <f t="shared" si="48"/>
        <v>March</v>
      </c>
      <c r="M573" s="2" t="str">
        <f t="shared" si="49"/>
        <v>Cancelled</v>
      </c>
      <c r="N573" t="str">
        <f t="shared" si="50"/>
        <v>Cancelled</v>
      </c>
      <c r="O573" t="str">
        <f t="shared" si="51"/>
        <v>Order Cancelled</v>
      </c>
      <c r="P573" t="str">
        <f t="shared" si="52"/>
        <v>Cancelled</v>
      </c>
      <c r="Q573" t="str">
        <f t="shared" si="53"/>
        <v>Cancelled</v>
      </c>
      <c r="R573" t="str">
        <f>_xlfn.XLOOKUP(B573,CustomerMaster!$A$2:$A$287,CustomerMaster!$B$2:$B$287)</f>
        <v>Customer_132</v>
      </c>
      <c r="S573" t="str">
        <f>_xlfn.XLOOKUP(C573,ProductMaster!$A$2:$A$51,ProductMaster!$B$2:$B$51)</f>
        <v>Product_19</v>
      </c>
      <c r="T573" t="str">
        <f>_xlfn.XLOOKUP(G573,RegionMaster!$A$2:$A$5,RegionMaster!$B$2:$B$5)</f>
        <v>B</v>
      </c>
    </row>
    <row r="574" spans="1:20" ht="15.75" customHeight="1">
      <c r="A574" s="2" t="s">
        <v>1284</v>
      </c>
      <c r="B574" s="2" t="s">
        <v>441</v>
      </c>
      <c r="C574" s="2" t="s">
        <v>118</v>
      </c>
      <c r="D574" s="3">
        <v>45763</v>
      </c>
      <c r="E574" s="3">
        <v>45764</v>
      </c>
      <c r="F574" s="4"/>
      <c r="G574" s="2" t="s">
        <v>22</v>
      </c>
      <c r="H574" s="2" t="s">
        <v>16</v>
      </c>
      <c r="I574" s="2" t="s">
        <v>121</v>
      </c>
      <c r="J574" s="2" t="s">
        <v>133</v>
      </c>
      <c r="K574" s="2">
        <v>2103.41</v>
      </c>
      <c r="L574" s="2" t="str">
        <f t="shared" si="48"/>
        <v>April</v>
      </c>
      <c r="M574" s="2" t="str">
        <f t="shared" si="49"/>
        <v>April</v>
      </c>
      <c r="N574" t="str">
        <f t="shared" si="50"/>
        <v>Delivered</v>
      </c>
      <c r="O574">
        <f t="shared" si="51"/>
        <v>1</v>
      </c>
      <c r="P574" t="str">
        <f t="shared" si="52"/>
        <v>Completed</v>
      </c>
      <c r="Q574" t="str">
        <f t="shared" si="53"/>
        <v>Fast</v>
      </c>
      <c r="R574" t="str">
        <f>_xlfn.XLOOKUP(B574,CustomerMaster!$A$2:$A$287,CustomerMaster!$B$2:$B$287)</f>
        <v>Customer_122</v>
      </c>
      <c r="S574" t="str">
        <f>_xlfn.XLOOKUP(C574,ProductMaster!$A$2:$A$51,ProductMaster!$B$2:$B$51)</f>
        <v>Product_22</v>
      </c>
      <c r="T574" t="str">
        <f>_xlfn.XLOOKUP(G574,RegionMaster!$A$2:$A$5,RegionMaster!$B$2:$B$5)</f>
        <v>C</v>
      </c>
    </row>
    <row r="575" spans="1:20" ht="15.75" customHeight="1">
      <c r="A575" s="2" t="s">
        <v>1285</v>
      </c>
      <c r="B575" s="2" t="s">
        <v>645</v>
      </c>
      <c r="C575" s="2" t="s">
        <v>50</v>
      </c>
      <c r="D575" s="3">
        <v>45759</v>
      </c>
      <c r="E575" s="3">
        <v>45764</v>
      </c>
      <c r="F575" s="4"/>
      <c r="G575" s="2" t="s">
        <v>7</v>
      </c>
      <c r="H575" s="2" t="s">
        <v>59</v>
      </c>
      <c r="I575" s="2" t="s">
        <v>106</v>
      </c>
      <c r="J575" s="2" t="s">
        <v>94</v>
      </c>
      <c r="K575" s="2">
        <v>3186.02</v>
      </c>
      <c r="L575" s="2" t="str">
        <f t="shared" si="48"/>
        <v>April</v>
      </c>
      <c r="M575" s="2" t="str">
        <f t="shared" si="49"/>
        <v>April</v>
      </c>
      <c r="N575" t="str">
        <f t="shared" si="50"/>
        <v>Delivered</v>
      </c>
      <c r="O575">
        <f t="shared" si="51"/>
        <v>5</v>
      </c>
      <c r="P575" t="str">
        <f t="shared" si="52"/>
        <v>Completed</v>
      </c>
      <c r="Q575" t="str">
        <f t="shared" si="53"/>
        <v>Slow</v>
      </c>
      <c r="R575" t="str">
        <f>_xlfn.XLOOKUP(B575,CustomerMaster!$A$2:$A$287,CustomerMaster!$B$2:$B$287)</f>
        <v>Customer_207</v>
      </c>
      <c r="S575" t="str">
        <f>_xlfn.XLOOKUP(C575,ProductMaster!$A$2:$A$51,ProductMaster!$B$2:$B$51)</f>
        <v>Product_6</v>
      </c>
      <c r="T575" t="str">
        <f>_xlfn.XLOOKUP(G575,RegionMaster!$A$2:$A$5,RegionMaster!$B$2:$B$5)</f>
        <v>A</v>
      </c>
    </row>
    <row r="576" spans="1:20" ht="15.75" customHeight="1">
      <c r="A576" s="2" t="s">
        <v>1286</v>
      </c>
      <c r="B576" s="2" t="s">
        <v>297</v>
      </c>
      <c r="C576" s="2" t="s">
        <v>125</v>
      </c>
      <c r="D576" s="3">
        <v>45682</v>
      </c>
      <c r="E576" s="4"/>
      <c r="F576" s="3">
        <v>45684</v>
      </c>
      <c r="G576" s="2" t="s">
        <v>45</v>
      </c>
      <c r="H576" s="2" t="s">
        <v>59</v>
      </c>
      <c r="I576" s="2" t="s">
        <v>90</v>
      </c>
      <c r="J576" s="2" t="s">
        <v>107</v>
      </c>
      <c r="K576" s="2">
        <v>4339.3500000000004</v>
      </c>
      <c r="L576" s="2" t="str">
        <f t="shared" si="48"/>
        <v>January</v>
      </c>
      <c r="M576" s="2" t="str">
        <f t="shared" si="49"/>
        <v>Cancelled</v>
      </c>
      <c r="N576" t="str">
        <f t="shared" si="50"/>
        <v>Cancelled</v>
      </c>
      <c r="O576" t="str">
        <f t="shared" si="51"/>
        <v>Order Cancelled</v>
      </c>
      <c r="P576" t="str">
        <f t="shared" si="52"/>
        <v>Cancelled</v>
      </c>
      <c r="Q576" t="str">
        <f t="shared" si="53"/>
        <v>Cancelled</v>
      </c>
      <c r="R576" t="str">
        <f>_xlfn.XLOOKUP(B576,CustomerMaster!$A$2:$A$287,CustomerMaster!$B$2:$B$287)</f>
        <v>Customer_59</v>
      </c>
      <c r="S576" t="str">
        <f>_xlfn.XLOOKUP(C576,ProductMaster!$A$2:$A$51,ProductMaster!$B$2:$B$51)</f>
        <v>Product_24</v>
      </c>
      <c r="T576" t="str">
        <f>_xlfn.XLOOKUP(G576,RegionMaster!$A$2:$A$5,RegionMaster!$B$2:$B$5)</f>
        <v>D</v>
      </c>
    </row>
    <row r="577" spans="1:20" ht="15.75" customHeight="1">
      <c r="A577" s="2" t="s">
        <v>1287</v>
      </c>
      <c r="B577" s="2" t="s">
        <v>507</v>
      </c>
      <c r="C577" s="2" t="s">
        <v>68</v>
      </c>
      <c r="D577" s="3">
        <v>45696</v>
      </c>
      <c r="E577" s="4"/>
      <c r="F577" s="3">
        <v>45697</v>
      </c>
      <c r="G577" s="2" t="s">
        <v>22</v>
      </c>
      <c r="H577" s="2" t="s">
        <v>16</v>
      </c>
      <c r="I577" s="2" t="s">
        <v>121</v>
      </c>
      <c r="J577" s="2" t="s">
        <v>107</v>
      </c>
      <c r="K577" s="2">
        <v>4757.7</v>
      </c>
      <c r="L577" s="2" t="str">
        <f t="shared" si="48"/>
        <v>February</v>
      </c>
      <c r="M577" s="2" t="str">
        <f t="shared" si="49"/>
        <v>Cancelled</v>
      </c>
      <c r="N577" t="str">
        <f t="shared" si="50"/>
        <v>Cancelled</v>
      </c>
      <c r="O577" t="str">
        <f t="shared" si="51"/>
        <v>Order Cancelled</v>
      </c>
      <c r="P577" t="str">
        <f t="shared" si="52"/>
        <v>Cancelled</v>
      </c>
      <c r="Q577" t="str">
        <f t="shared" si="53"/>
        <v>Cancelled</v>
      </c>
      <c r="R577" t="str">
        <f>_xlfn.XLOOKUP(B577,CustomerMaster!$A$2:$A$287,CustomerMaster!$B$2:$B$287)</f>
        <v>Customer_269</v>
      </c>
      <c r="S577" t="str">
        <f>_xlfn.XLOOKUP(C577,ProductMaster!$A$2:$A$51,ProductMaster!$B$2:$B$51)</f>
        <v>Product_13</v>
      </c>
      <c r="T577" t="str">
        <f>_xlfn.XLOOKUP(G577,RegionMaster!$A$2:$A$5,RegionMaster!$B$2:$B$5)</f>
        <v>C</v>
      </c>
    </row>
    <row r="578" spans="1:20" ht="15.75" customHeight="1">
      <c r="A578" s="2" t="s">
        <v>1288</v>
      </c>
      <c r="B578" s="2" t="s">
        <v>580</v>
      </c>
      <c r="C578" s="2" t="s">
        <v>63</v>
      </c>
      <c r="D578" s="3">
        <v>45743</v>
      </c>
      <c r="E578" s="4"/>
      <c r="F578" s="3">
        <v>45743</v>
      </c>
      <c r="G578" s="2" t="s">
        <v>17</v>
      </c>
      <c r="H578" s="2" t="s">
        <v>16</v>
      </c>
      <c r="I578" s="2" t="s">
        <v>195</v>
      </c>
      <c r="J578" s="2" t="s">
        <v>107</v>
      </c>
      <c r="K578" s="2">
        <v>905.95</v>
      </c>
      <c r="L578" s="2" t="str">
        <f t="shared" si="48"/>
        <v>March</v>
      </c>
      <c r="M578" s="2" t="str">
        <f t="shared" si="49"/>
        <v>Cancelled</v>
      </c>
      <c r="N578" t="str">
        <f t="shared" si="50"/>
        <v>Cancelled</v>
      </c>
      <c r="O578" t="str">
        <f t="shared" si="51"/>
        <v>Order Cancelled</v>
      </c>
      <c r="P578" t="str">
        <f t="shared" si="52"/>
        <v>Cancelled</v>
      </c>
      <c r="Q578" t="str">
        <f t="shared" si="53"/>
        <v>Cancelled</v>
      </c>
      <c r="R578" t="str">
        <f>_xlfn.XLOOKUP(B578,CustomerMaster!$A$2:$A$287,CustomerMaster!$B$2:$B$287)</f>
        <v>Customer_224</v>
      </c>
      <c r="S578" t="str">
        <f>_xlfn.XLOOKUP(C578,ProductMaster!$A$2:$A$51,ProductMaster!$B$2:$B$51)</f>
        <v>Product_8</v>
      </c>
      <c r="T578" t="str">
        <f>_xlfn.XLOOKUP(G578,RegionMaster!$A$2:$A$5,RegionMaster!$B$2:$B$5)</f>
        <v>B</v>
      </c>
    </row>
    <row r="579" spans="1:20" ht="15.75" customHeight="1">
      <c r="A579" s="2" t="s">
        <v>1289</v>
      </c>
      <c r="B579" s="2" t="s">
        <v>662</v>
      </c>
      <c r="C579" s="2" t="s">
        <v>153</v>
      </c>
      <c r="D579" s="3">
        <v>45736</v>
      </c>
      <c r="E579" s="3">
        <v>45741</v>
      </c>
      <c r="F579" s="4"/>
      <c r="G579" s="2" t="s">
        <v>17</v>
      </c>
      <c r="H579" s="2" t="s">
        <v>59</v>
      </c>
      <c r="I579" s="2" t="s">
        <v>121</v>
      </c>
      <c r="J579" s="2" t="s">
        <v>94</v>
      </c>
      <c r="K579" s="2">
        <v>4647.62</v>
      </c>
      <c r="L579" s="2" t="str">
        <f t="shared" ref="L579:L642" si="54">TEXT(D579,"MMMM")</f>
        <v>March</v>
      </c>
      <c r="M579" s="2" t="str">
        <f t="shared" ref="M579:M642" si="55">IF(NOT(ISBLANK(E579)),TEXT(E579,"MMMM"),"Cancelled")</f>
        <v>March</v>
      </c>
      <c r="N579" t="str">
        <f t="shared" ref="N579:N642" si="56">IF(F579="","Delivered","Cancelled")</f>
        <v>Delivered</v>
      </c>
      <c r="O579">
        <f t="shared" ref="O579:O642" si="57">IF(E579="","Order Cancelled",_xlfn.DAYS(E579,D579))</f>
        <v>5</v>
      </c>
      <c r="P579" t="str">
        <f t="shared" ref="P579:P642" si="58">IF(F579="","Completed","Cancelled")</f>
        <v>Completed</v>
      </c>
      <c r="Q579" t="str">
        <f t="shared" ref="Q579:Q642" si="59">IF(O579="Order Cancelled","Cancelled",IF(O579&lt;=2,"Fast","Slow"))</f>
        <v>Slow</v>
      </c>
      <c r="R579" t="str">
        <f>_xlfn.XLOOKUP(B579,CustomerMaster!$A$2:$A$287,CustomerMaster!$B$2:$B$287)</f>
        <v>Customer_213</v>
      </c>
      <c r="S579" t="str">
        <f>_xlfn.XLOOKUP(C579,ProductMaster!$A$2:$A$51,ProductMaster!$B$2:$B$51)</f>
        <v>Product_32</v>
      </c>
      <c r="T579" t="str">
        <f>_xlfn.XLOOKUP(G579,RegionMaster!$A$2:$A$5,RegionMaster!$B$2:$B$5)</f>
        <v>B</v>
      </c>
    </row>
    <row r="580" spans="1:20" ht="15.75" customHeight="1">
      <c r="A580" s="2" t="s">
        <v>1290</v>
      </c>
      <c r="B580" s="2" t="s">
        <v>502</v>
      </c>
      <c r="C580" s="2" t="s">
        <v>63</v>
      </c>
      <c r="D580" s="3">
        <v>45722</v>
      </c>
      <c r="E580" s="4"/>
      <c r="F580" s="3">
        <v>45722</v>
      </c>
      <c r="G580" s="2" t="s">
        <v>7</v>
      </c>
      <c r="H580" s="2" t="s">
        <v>27</v>
      </c>
      <c r="I580" s="2" t="s">
        <v>90</v>
      </c>
      <c r="J580" s="2" t="s">
        <v>107</v>
      </c>
      <c r="K580" s="2">
        <v>2562.16</v>
      </c>
      <c r="L580" s="2" t="str">
        <f t="shared" si="54"/>
        <v>March</v>
      </c>
      <c r="M580" s="2" t="str">
        <f t="shared" si="55"/>
        <v>Cancelled</v>
      </c>
      <c r="N580" t="str">
        <f t="shared" si="56"/>
        <v>Cancelled</v>
      </c>
      <c r="O580" t="str">
        <f t="shared" si="57"/>
        <v>Order Cancelled</v>
      </c>
      <c r="P580" t="str">
        <f t="shared" si="58"/>
        <v>Cancelled</v>
      </c>
      <c r="Q580" t="str">
        <f t="shared" si="59"/>
        <v>Cancelled</v>
      </c>
      <c r="R580" t="str">
        <f>_xlfn.XLOOKUP(B580,CustomerMaster!$A$2:$A$287,CustomerMaster!$B$2:$B$287)</f>
        <v>Customer_147</v>
      </c>
      <c r="S580" t="str">
        <f>_xlfn.XLOOKUP(C580,ProductMaster!$A$2:$A$51,ProductMaster!$B$2:$B$51)</f>
        <v>Product_8</v>
      </c>
      <c r="T580" t="str">
        <f>_xlfn.XLOOKUP(G580,RegionMaster!$A$2:$A$5,RegionMaster!$B$2:$B$5)</f>
        <v>A</v>
      </c>
    </row>
    <row r="581" spans="1:20" ht="15.75" customHeight="1">
      <c r="A581" s="2" t="s">
        <v>1291</v>
      </c>
      <c r="B581" s="2" t="s">
        <v>97</v>
      </c>
      <c r="C581" s="2" t="s">
        <v>72</v>
      </c>
      <c r="D581" s="3">
        <v>45670</v>
      </c>
      <c r="E581" s="3">
        <v>45675</v>
      </c>
      <c r="F581" s="4"/>
      <c r="G581" s="2" t="s">
        <v>22</v>
      </c>
      <c r="H581" s="2" t="s">
        <v>59</v>
      </c>
      <c r="I581" s="2" t="s">
        <v>90</v>
      </c>
      <c r="J581" s="2" t="s">
        <v>94</v>
      </c>
      <c r="K581" s="2">
        <v>1439.57</v>
      </c>
      <c r="L581" s="2" t="str">
        <f t="shared" si="54"/>
        <v>January</v>
      </c>
      <c r="M581" s="2" t="str">
        <f t="shared" si="55"/>
        <v>January</v>
      </c>
      <c r="N581" t="str">
        <f t="shared" si="56"/>
        <v>Delivered</v>
      </c>
      <c r="O581">
        <f t="shared" si="57"/>
        <v>5</v>
      </c>
      <c r="P581" t="str">
        <f t="shared" si="58"/>
        <v>Completed</v>
      </c>
      <c r="Q581" t="str">
        <f t="shared" si="59"/>
        <v>Slow</v>
      </c>
      <c r="R581" t="str">
        <f>_xlfn.XLOOKUP(B581,CustomerMaster!$A$2:$A$287,CustomerMaster!$B$2:$B$287)</f>
        <v>Customer_13</v>
      </c>
      <c r="S581" t="str">
        <f>_xlfn.XLOOKUP(C581,ProductMaster!$A$2:$A$51,ProductMaster!$B$2:$B$51)</f>
        <v>Product_10</v>
      </c>
      <c r="T581" t="str">
        <f>_xlfn.XLOOKUP(G581,RegionMaster!$A$2:$A$5,RegionMaster!$B$2:$B$5)</f>
        <v>C</v>
      </c>
    </row>
    <row r="582" spans="1:20" ht="15.75" customHeight="1">
      <c r="A582" s="2" t="s">
        <v>1292</v>
      </c>
      <c r="B582" s="2" t="s">
        <v>597</v>
      </c>
      <c r="C582" s="2" t="s">
        <v>104</v>
      </c>
      <c r="D582" s="3">
        <v>45761</v>
      </c>
      <c r="E582" s="4"/>
      <c r="F582" s="3">
        <v>45763</v>
      </c>
      <c r="G582" s="2" t="s">
        <v>45</v>
      </c>
      <c r="H582" s="2" t="s">
        <v>27</v>
      </c>
      <c r="I582" s="2" t="s">
        <v>178</v>
      </c>
      <c r="J582" s="2" t="s">
        <v>107</v>
      </c>
      <c r="K582" s="2">
        <v>2403.85</v>
      </c>
      <c r="L582" s="2" t="str">
        <f t="shared" si="54"/>
        <v>April</v>
      </c>
      <c r="M582" s="2" t="str">
        <f t="shared" si="55"/>
        <v>Cancelled</v>
      </c>
      <c r="N582" t="str">
        <f t="shared" si="56"/>
        <v>Cancelled</v>
      </c>
      <c r="O582" t="str">
        <f t="shared" si="57"/>
        <v>Order Cancelled</v>
      </c>
      <c r="P582" t="str">
        <f t="shared" si="58"/>
        <v>Cancelled</v>
      </c>
      <c r="Q582" t="str">
        <f t="shared" si="59"/>
        <v>Cancelled</v>
      </c>
      <c r="R582" t="str">
        <f>_xlfn.XLOOKUP(B582,CustomerMaster!$A$2:$A$287,CustomerMaster!$B$2:$B$287)</f>
        <v>Customer_186</v>
      </c>
      <c r="S582" t="str">
        <f>_xlfn.XLOOKUP(C582,ProductMaster!$A$2:$A$51,ProductMaster!$B$2:$B$51)</f>
        <v>Product_19</v>
      </c>
      <c r="T582" t="str">
        <f>_xlfn.XLOOKUP(G582,RegionMaster!$A$2:$A$5,RegionMaster!$B$2:$B$5)</f>
        <v>D</v>
      </c>
    </row>
    <row r="583" spans="1:20" ht="15.75" customHeight="1">
      <c r="A583" s="2" t="s">
        <v>1293</v>
      </c>
      <c r="B583" s="2" t="s">
        <v>386</v>
      </c>
      <c r="C583" s="2" t="s">
        <v>87</v>
      </c>
      <c r="D583" s="3">
        <v>45696</v>
      </c>
      <c r="E583" s="4"/>
      <c r="F583" s="3">
        <v>45698</v>
      </c>
      <c r="G583" s="2" t="s">
        <v>22</v>
      </c>
      <c r="H583" s="2" t="s">
        <v>54</v>
      </c>
      <c r="I583" s="2" t="s">
        <v>90</v>
      </c>
      <c r="J583" s="2" t="s">
        <v>107</v>
      </c>
      <c r="K583" s="2">
        <v>4904.16</v>
      </c>
      <c r="L583" s="2" t="str">
        <f t="shared" si="54"/>
        <v>February</v>
      </c>
      <c r="M583" s="2" t="str">
        <f t="shared" si="55"/>
        <v>Cancelled</v>
      </c>
      <c r="N583" t="str">
        <f t="shared" si="56"/>
        <v>Cancelled</v>
      </c>
      <c r="O583" t="str">
        <f t="shared" si="57"/>
        <v>Order Cancelled</v>
      </c>
      <c r="P583" t="str">
        <f t="shared" si="58"/>
        <v>Cancelled</v>
      </c>
      <c r="Q583" t="str">
        <f t="shared" si="59"/>
        <v>Cancelled</v>
      </c>
      <c r="R583" t="str">
        <f>_xlfn.XLOOKUP(B583,CustomerMaster!$A$2:$A$287,CustomerMaster!$B$2:$B$287)</f>
        <v>Customer_99</v>
      </c>
      <c r="S583" t="str">
        <f>_xlfn.XLOOKUP(C583,ProductMaster!$A$2:$A$51,ProductMaster!$B$2:$B$51)</f>
        <v>Product_15</v>
      </c>
      <c r="T583" t="str">
        <f>_xlfn.XLOOKUP(G583,RegionMaster!$A$2:$A$5,RegionMaster!$B$2:$B$5)</f>
        <v>C</v>
      </c>
    </row>
    <row r="584" spans="1:20" ht="15.75" customHeight="1">
      <c r="A584" s="2" t="s">
        <v>1294</v>
      </c>
      <c r="B584" s="2" t="s">
        <v>233</v>
      </c>
      <c r="C584" s="2" t="s">
        <v>32</v>
      </c>
      <c r="D584" s="3">
        <v>45708</v>
      </c>
      <c r="E584" s="3">
        <v>45714</v>
      </c>
      <c r="F584" s="4"/>
      <c r="G584" s="2" t="s">
        <v>17</v>
      </c>
      <c r="H584" s="2" t="s">
        <v>27</v>
      </c>
      <c r="I584" s="2" t="s">
        <v>106</v>
      </c>
      <c r="J584" s="2" t="s">
        <v>107</v>
      </c>
      <c r="K584" s="2">
        <v>2564.5700000000002</v>
      </c>
      <c r="L584" s="2" t="str">
        <f t="shared" si="54"/>
        <v>February</v>
      </c>
      <c r="M584" s="2" t="str">
        <f t="shared" si="55"/>
        <v>February</v>
      </c>
      <c r="N584" t="str">
        <f t="shared" si="56"/>
        <v>Delivered</v>
      </c>
      <c r="O584">
        <f t="shared" si="57"/>
        <v>6</v>
      </c>
      <c r="P584" t="str">
        <f t="shared" si="58"/>
        <v>Completed</v>
      </c>
      <c r="Q584" t="str">
        <f t="shared" si="59"/>
        <v>Slow</v>
      </c>
      <c r="R584" t="str">
        <f>_xlfn.XLOOKUP(B584,CustomerMaster!$A$2:$A$287,CustomerMaster!$B$2:$B$287)</f>
        <v>Customer_35</v>
      </c>
      <c r="S584" t="str">
        <f>_xlfn.XLOOKUP(C584,ProductMaster!$A$2:$A$51,ProductMaster!$B$2:$B$51)</f>
        <v>Product_3</v>
      </c>
      <c r="T584" t="str">
        <f>_xlfn.XLOOKUP(G584,RegionMaster!$A$2:$A$5,RegionMaster!$B$2:$B$5)</f>
        <v>B</v>
      </c>
    </row>
    <row r="585" spans="1:20" ht="15.75" customHeight="1">
      <c r="A585" s="2" t="s">
        <v>1295</v>
      </c>
      <c r="B585" s="2" t="s">
        <v>768</v>
      </c>
      <c r="C585" s="2" t="s">
        <v>114</v>
      </c>
      <c r="D585" s="3">
        <v>45737</v>
      </c>
      <c r="E585" s="4"/>
      <c r="F585" s="3">
        <v>45738</v>
      </c>
      <c r="G585" s="2" t="s">
        <v>22</v>
      </c>
      <c r="H585" s="2" t="s">
        <v>27</v>
      </c>
      <c r="I585" s="2" t="s">
        <v>178</v>
      </c>
      <c r="J585" s="2" t="s">
        <v>107</v>
      </c>
      <c r="K585" s="2">
        <v>1778.01</v>
      </c>
      <c r="L585" s="2" t="str">
        <f t="shared" si="54"/>
        <v>March</v>
      </c>
      <c r="M585" s="2" t="str">
        <f t="shared" si="55"/>
        <v>Cancelled</v>
      </c>
      <c r="N585" t="str">
        <f t="shared" si="56"/>
        <v>Cancelled</v>
      </c>
      <c r="O585" t="str">
        <f t="shared" si="57"/>
        <v>Order Cancelled</v>
      </c>
      <c r="P585" t="str">
        <f t="shared" si="58"/>
        <v>Cancelled</v>
      </c>
      <c r="Q585" t="str">
        <f t="shared" si="59"/>
        <v>Cancelled</v>
      </c>
      <c r="R585" t="str">
        <f>_xlfn.XLOOKUP(B585,CustomerMaster!$A$2:$A$287,CustomerMaster!$B$2:$B$287)</f>
        <v>Customer_264</v>
      </c>
      <c r="S585" t="str">
        <f>_xlfn.XLOOKUP(C585,ProductMaster!$A$2:$A$51,ProductMaster!$B$2:$B$51)</f>
        <v>Product_21</v>
      </c>
      <c r="T585" t="str">
        <f>_xlfn.XLOOKUP(G585,RegionMaster!$A$2:$A$5,RegionMaster!$B$2:$B$5)</f>
        <v>C</v>
      </c>
    </row>
    <row r="586" spans="1:20" ht="15.75" customHeight="1">
      <c r="A586" s="2" t="s">
        <v>1296</v>
      </c>
      <c r="B586" s="2" t="s">
        <v>454</v>
      </c>
      <c r="C586" s="2" t="s">
        <v>191</v>
      </c>
      <c r="D586" s="3">
        <v>45746</v>
      </c>
      <c r="E586" s="3">
        <v>45751</v>
      </c>
      <c r="F586" s="4"/>
      <c r="G586" s="2" t="s">
        <v>7</v>
      </c>
      <c r="H586" s="2" t="s">
        <v>16</v>
      </c>
      <c r="I586" s="2" t="s">
        <v>106</v>
      </c>
      <c r="J586" s="2" t="s">
        <v>94</v>
      </c>
      <c r="K586" s="2">
        <v>3240.32</v>
      </c>
      <c r="L586" s="2" t="str">
        <f t="shared" si="54"/>
        <v>March</v>
      </c>
      <c r="M586" s="2" t="str">
        <f t="shared" si="55"/>
        <v>April</v>
      </c>
      <c r="N586" t="str">
        <f t="shared" si="56"/>
        <v>Delivered</v>
      </c>
      <c r="O586">
        <f t="shared" si="57"/>
        <v>5</v>
      </c>
      <c r="P586" t="str">
        <f t="shared" si="58"/>
        <v>Completed</v>
      </c>
      <c r="Q586" t="str">
        <f t="shared" si="59"/>
        <v>Slow</v>
      </c>
      <c r="R586" t="str">
        <f>_xlfn.XLOOKUP(B586,CustomerMaster!$A$2:$A$287,CustomerMaster!$B$2:$B$287)</f>
        <v>Customer_197</v>
      </c>
      <c r="S586" t="str">
        <f>_xlfn.XLOOKUP(C586,ProductMaster!$A$2:$A$51,ProductMaster!$B$2:$B$51)</f>
        <v>Product_43</v>
      </c>
      <c r="T586" t="str">
        <f>_xlfn.XLOOKUP(G586,RegionMaster!$A$2:$A$5,RegionMaster!$B$2:$B$5)</f>
        <v>A</v>
      </c>
    </row>
    <row r="587" spans="1:20" ht="15.75" customHeight="1">
      <c r="A587" s="2" t="s">
        <v>1297</v>
      </c>
      <c r="B587" s="2" t="s">
        <v>443</v>
      </c>
      <c r="C587" s="2" t="s">
        <v>160</v>
      </c>
      <c r="D587" s="3">
        <v>45739</v>
      </c>
      <c r="E587" s="3">
        <v>45744</v>
      </c>
      <c r="F587" s="4"/>
      <c r="G587" s="2" t="s">
        <v>17</v>
      </c>
      <c r="H587" s="2" t="s">
        <v>54</v>
      </c>
      <c r="I587" s="2" t="s">
        <v>90</v>
      </c>
      <c r="J587" s="2" t="s">
        <v>94</v>
      </c>
      <c r="K587" s="2">
        <v>1352.7</v>
      </c>
      <c r="L587" s="2" t="str">
        <f t="shared" si="54"/>
        <v>March</v>
      </c>
      <c r="M587" s="2" t="str">
        <f t="shared" si="55"/>
        <v>March</v>
      </c>
      <c r="N587" t="str">
        <f t="shared" si="56"/>
        <v>Delivered</v>
      </c>
      <c r="O587">
        <f t="shared" si="57"/>
        <v>5</v>
      </c>
      <c r="P587" t="str">
        <f t="shared" si="58"/>
        <v>Completed</v>
      </c>
      <c r="Q587" t="str">
        <f t="shared" si="59"/>
        <v>Slow</v>
      </c>
      <c r="R587" t="str">
        <f>_xlfn.XLOOKUP(B587,CustomerMaster!$A$2:$A$287,CustomerMaster!$B$2:$B$287)</f>
        <v>Customer_123</v>
      </c>
      <c r="S587" t="str">
        <f>_xlfn.XLOOKUP(C587,ProductMaster!$A$2:$A$51,ProductMaster!$B$2:$B$51)</f>
        <v>Product_34</v>
      </c>
      <c r="T587" t="str">
        <f>_xlfn.XLOOKUP(G587,RegionMaster!$A$2:$A$5,RegionMaster!$B$2:$B$5)</f>
        <v>B</v>
      </c>
    </row>
    <row r="588" spans="1:20" ht="15.75" customHeight="1">
      <c r="A588" s="2" t="s">
        <v>1298</v>
      </c>
      <c r="B588" s="2" t="s">
        <v>466</v>
      </c>
      <c r="C588" s="2" t="s">
        <v>138</v>
      </c>
      <c r="D588" s="3">
        <v>45774</v>
      </c>
      <c r="E588" s="3">
        <v>45779</v>
      </c>
      <c r="F588" s="4"/>
      <c r="G588" s="2" t="s">
        <v>7</v>
      </c>
      <c r="H588" s="2" t="s">
        <v>27</v>
      </c>
      <c r="I588" s="2" t="s">
        <v>178</v>
      </c>
      <c r="J588" s="2" t="s">
        <v>107</v>
      </c>
      <c r="K588" s="2">
        <v>564.14</v>
      </c>
      <c r="L588" s="2" t="str">
        <f t="shared" si="54"/>
        <v>April</v>
      </c>
      <c r="M588" s="2" t="str">
        <f t="shared" si="55"/>
        <v>May</v>
      </c>
      <c r="N588" t="str">
        <f t="shared" si="56"/>
        <v>Delivered</v>
      </c>
      <c r="O588">
        <f t="shared" si="57"/>
        <v>5</v>
      </c>
      <c r="P588" t="str">
        <f t="shared" si="58"/>
        <v>Completed</v>
      </c>
      <c r="Q588" t="str">
        <f t="shared" si="59"/>
        <v>Slow</v>
      </c>
      <c r="R588" t="str">
        <f>_xlfn.XLOOKUP(B588,CustomerMaster!$A$2:$A$287,CustomerMaster!$B$2:$B$287)</f>
        <v>Customer_132</v>
      </c>
      <c r="S588" t="str">
        <f>_xlfn.XLOOKUP(C588,ProductMaster!$A$2:$A$51,ProductMaster!$B$2:$B$51)</f>
        <v>Product_28</v>
      </c>
      <c r="T588" t="str">
        <f>_xlfn.XLOOKUP(G588,RegionMaster!$A$2:$A$5,RegionMaster!$B$2:$B$5)</f>
        <v>A</v>
      </c>
    </row>
    <row r="589" spans="1:20" ht="15.75" customHeight="1">
      <c r="A589" s="2" t="s">
        <v>1299</v>
      </c>
      <c r="B589" s="2" t="s">
        <v>581</v>
      </c>
      <c r="C589" s="2" t="s">
        <v>141</v>
      </c>
      <c r="D589" s="3">
        <v>45706</v>
      </c>
      <c r="E589" s="4"/>
      <c r="F589" s="3">
        <v>45708</v>
      </c>
      <c r="G589" s="2" t="s">
        <v>45</v>
      </c>
      <c r="H589" s="2" t="s">
        <v>54</v>
      </c>
      <c r="I589" s="2" t="s">
        <v>90</v>
      </c>
      <c r="J589" s="2" t="s">
        <v>107</v>
      </c>
      <c r="K589" s="2">
        <v>818.62</v>
      </c>
      <c r="L589" s="2" t="str">
        <f t="shared" si="54"/>
        <v>February</v>
      </c>
      <c r="M589" s="2" t="str">
        <f t="shared" si="55"/>
        <v>Cancelled</v>
      </c>
      <c r="N589" t="str">
        <f t="shared" si="56"/>
        <v>Cancelled</v>
      </c>
      <c r="O589" t="str">
        <f t="shared" si="57"/>
        <v>Order Cancelled</v>
      </c>
      <c r="P589" t="str">
        <f t="shared" si="58"/>
        <v>Cancelled</v>
      </c>
      <c r="Q589" t="str">
        <f t="shared" si="59"/>
        <v>Cancelled</v>
      </c>
      <c r="R589" t="str">
        <f>_xlfn.XLOOKUP(B589,CustomerMaster!$A$2:$A$287,CustomerMaster!$B$2:$B$287)</f>
        <v>Customer_179</v>
      </c>
      <c r="S589" t="str">
        <f>_xlfn.XLOOKUP(C589,ProductMaster!$A$2:$A$51,ProductMaster!$B$2:$B$51)</f>
        <v>Product_42</v>
      </c>
      <c r="T589" t="str">
        <f>_xlfn.XLOOKUP(G589,RegionMaster!$A$2:$A$5,RegionMaster!$B$2:$B$5)</f>
        <v>D</v>
      </c>
    </row>
    <row r="590" spans="1:20" ht="15.75" customHeight="1">
      <c r="A590" s="2" t="s">
        <v>1300</v>
      </c>
      <c r="B590" s="2" t="s">
        <v>771</v>
      </c>
      <c r="C590" s="2" t="s">
        <v>95</v>
      </c>
      <c r="D590" s="3">
        <v>45680</v>
      </c>
      <c r="E590" s="3">
        <v>45686</v>
      </c>
      <c r="F590" s="4"/>
      <c r="G590" s="2" t="s">
        <v>45</v>
      </c>
      <c r="H590" s="2" t="s">
        <v>27</v>
      </c>
      <c r="I590" s="2" t="s">
        <v>195</v>
      </c>
      <c r="J590" s="2" t="s">
        <v>94</v>
      </c>
      <c r="K590" s="2">
        <v>814.62</v>
      </c>
      <c r="L590" s="2" t="str">
        <f t="shared" si="54"/>
        <v>January</v>
      </c>
      <c r="M590" s="2" t="str">
        <f t="shared" si="55"/>
        <v>January</v>
      </c>
      <c r="N590" t="str">
        <f t="shared" si="56"/>
        <v>Delivered</v>
      </c>
      <c r="O590">
        <f t="shared" si="57"/>
        <v>6</v>
      </c>
      <c r="P590" t="str">
        <f t="shared" si="58"/>
        <v>Completed</v>
      </c>
      <c r="Q590" t="str">
        <f t="shared" si="59"/>
        <v>Slow</v>
      </c>
      <c r="R590" t="str">
        <f>_xlfn.XLOOKUP(B590,CustomerMaster!$A$2:$A$287,CustomerMaster!$B$2:$B$287)</f>
        <v>Customer_266</v>
      </c>
      <c r="S590" t="str">
        <f>_xlfn.XLOOKUP(C590,ProductMaster!$A$2:$A$51,ProductMaster!$B$2:$B$51)</f>
        <v>Product_17</v>
      </c>
      <c r="T590" t="str">
        <f>_xlfn.XLOOKUP(G590,RegionMaster!$A$2:$A$5,RegionMaster!$B$2:$B$5)</f>
        <v>D</v>
      </c>
    </row>
    <row r="591" spans="1:20" ht="15.75" customHeight="1">
      <c r="A591" s="2" t="s">
        <v>1301</v>
      </c>
      <c r="B591" s="2" t="s">
        <v>85</v>
      </c>
      <c r="C591" s="2" t="s">
        <v>79</v>
      </c>
      <c r="D591" s="3">
        <v>45668</v>
      </c>
      <c r="E591" s="4"/>
      <c r="F591" s="3">
        <v>45668</v>
      </c>
      <c r="G591" s="2" t="s">
        <v>7</v>
      </c>
      <c r="H591" s="2" t="s">
        <v>37</v>
      </c>
      <c r="I591" s="2" t="s">
        <v>195</v>
      </c>
      <c r="J591" s="2" t="s">
        <v>133</v>
      </c>
      <c r="K591" s="2">
        <v>929.13</v>
      </c>
      <c r="L591" s="2" t="str">
        <f t="shared" si="54"/>
        <v>January</v>
      </c>
      <c r="M591" s="2" t="str">
        <f t="shared" si="55"/>
        <v>Cancelled</v>
      </c>
      <c r="N591" t="str">
        <f t="shared" si="56"/>
        <v>Cancelled</v>
      </c>
      <c r="O591" t="str">
        <f t="shared" si="57"/>
        <v>Order Cancelled</v>
      </c>
      <c r="P591" t="str">
        <f t="shared" si="58"/>
        <v>Cancelled</v>
      </c>
      <c r="Q591" t="str">
        <f t="shared" si="59"/>
        <v>Cancelled</v>
      </c>
      <c r="R591" t="str">
        <f>_xlfn.XLOOKUP(B591,CustomerMaster!$A$2:$A$287,CustomerMaster!$B$2:$B$287)</f>
        <v>Customer_11</v>
      </c>
      <c r="S591" t="str">
        <f>_xlfn.XLOOKUP(C591,ProductMaster!$A$2:$A$51,ProductMaster!$B$2:$B$51)</f>
        <v>Product_12</v>
      </c>
      <c r="T591" t="str">
        <f>_xlfn.XLOOKUP(G591,RegionMaster!$A$2:$A$5,RegionMaster!$B$2:$B$5)</f>
        <v>A</v>
      </c>
    </row>
    <row r="592" spans="1:20" ht="15.75" customHeight="1">
      <c r="A592" s="2" t="s">
        <v>1302</v>
      </c>
      <c r="B592" s="2" t="s">
        <v>334</v>
      </c>
      <c r="C592" s="2" t="s">
        <v>172</v>
      </c>
      <c r="D592" s="3">
        <v>45774</v>
      </c>
      <c r="E592" s="3">
        <v>45779</v>
      </c>
      <c r="F592" s="4"/>
      <c r="G592" s="2" t="s">
        <v>45</v>
      </c>
      <c r="H592" s="2" t="s">
        <v>37</v>
      </c>
      <c r="I592" s="2" t="s">
        <v>90</v>
      </c>
      <c r="J592" s="2" t="s">
        <v>94</v>
      </c>
      <c r="K592" s="2">
        <v>866.37</v>
      </c>
      <c r="L592" s="2" t="str">
        <f t="shared" si="54"/>
        <v>April</v>
      </c>
      <c r="M592" s="2" t="str">
        <f t="shared" si="55"/>
        <v>May</v>
      </c>
      <c r="N592" t="str">
        <f t="shared" si="56"/>
        <v>Delivered</v>
      </c>
      <c r="O592">
        <f t="shared" si="57"/>
        <v>5</v>
      </c>
      <c r="P592" t="str">
        <f t="shared" si="58"/>
        <v>Completed</v>
      </c>
      <c r="Q592" t="str">
        <f t="shared" si="59"/>
        <v>Slow</v>
      </c>
      <c r="R592" t="str">
        <f>_xlfn.XLOOKUP(B592,CustomerMaster!$A$2:$A$287,CustomerMaster!$B$2:$B$287)</f>
        <v>Customer_76</v>
      </c>
      <c r="S592" t="str">
        <f>_xlfn.XLOOKUP(C592,ProductMaster!$A$2:$A$51,ProductMaster!$B$2:$B$51)</f>
        <v>Product_39</v>
      </c>
      <c r="T592" t="str">
        <f>_xlfn.XLOOKUP(G592,RegionMaster!$A$2:$A$5,RegionMaster!$B$2:$B$5)</f>
        <v>D</v>
      </c>
    </row>
    <row r="593" spans="1:20" ht="15.75" customHeight="1">
      <c r="A593" s="2" t="s">
        <v>1303</v>
      </c>
      <c r="B593" s="2" t="s">
        <v>338</v>
      </c>
      <c r="C593" s="2" t="s">
        <v>122</v>
      </c>
      <c r="D593" s="3">
        <v>45680</v>
      </c>
      <c r="E593" s="4"/>
      <c r="F593" s="3">
        <v>45681</v>
      </c>
      <c r="G593" s="2" t="s">
        <v>7</v>
      </c>
      <c r="H593" s="2" t="s">
        <v>59</v>
      </c>
      <c r="I593" s="2" t="s">
        <v>195</v>
      </c>
      <c r="J593" s="2" t="s">
        <v>133</v>
      </c>
      <c r="K593" s="2">
        <v>3276.2</v>
      </c>
      <c r="L593" s="2" t="str">
        <f t="shared" si="54"/>
        <v>January</v>
      </c>
      <c r="M593" s="2" t="str">
        <f t="shared" si="55"/>
        <v>Cancelled</v>
      </c>
      <c r="N593" t="str">
        <f t="shared" si="56"/>
        <v>Cancelled</v>
      </c>
      <c r="O593" t="str">
        <f t="shared" si="57"/>
        <v>Order Cancelled</v>
      </c>
      <c r="P593" t="str">
        <f t="shared" si="58"/>
        <v>Cancelled</v>
      </c>
      <c r="Q593" t="str">
        <f t="shared" si="59"/>
        <v>Cancelled</v>
      </c>
      <c r="R593" t="str">
        <f>_xlfn.XLOOKUP(B593,CustomerMaster!$A$2:$A$287,CustomerMaster!$B$2:$B$287)</f>
        <v>Customer_77</v>
      </c>
      <c r="S593" t="str">
        <f>_xlfn.XLOOKUP(C593,ProductMaster!$A$2:$A$51,ProductMaster!$B$2:$B$51)</f>
        <v>Product_23</v>
      </c>
      <c r="T593" t="str">
        <f>_xlfn.XLOOKUP(G593,RegionMaster!$A$2:$A$5,RegionMaster!$B$2:$B$5)</f>
        <v>A</v>
      </c>
    </row>
    <row r="594" spans="1:20" ht="15.75" customHeight="1">
      <c r="A594" s="2" t="s">
        <v>1304</v>
      </c>
      <c r="B594" s="2" t="s">
        <v>434</v>
      </c>
      <c r="C594" s="2" t="s">
        <v>164</v>
      </c>
      <c r="D594" s="3">
        <v>45684</v>
      </c>
      <c r="E594" s="4"/>
      <c r="F594" s="3">
        <v>45686</v>
      </c>
      <c r="G594" s="2" t="s">
        <v>22</v>
      </c>
      <c r="H594" s="2" t="s">
        <v>27</v>
      </c>
      <c r="I594" s="2" t="s">
        <v>106</v>
      </c>
      <c r="J594" s="2" t="s">
        <v>94</v>
      </c>
      <c r="K594" s="2">
        <v>1073.02</v>
      </c>
      <c r="L594" s="2" t="str">
        <f t="shared" si="54"/>
        <v>January</v>
      </c>
      <c r="M594" s="2" t="str">
        <f t="shared" si="55"/>
        <v>Cancelled</v>
      </c>
      <c r="N594" t="str">
        <f t="shared" si="56"/>
        <v>Cancelled</v>
      </c>
      <c r="O594" t="str">
        <f t="shared" si="57"/>
        <v>Order Cancelled</v>
      </c>
      <c r="P594" t="str">
        <f t="shared" si="58"/>
        <v>Cancelled</v>
      </c>
      <c r="Q594" t="str">
        <f t="shared" si="59"/>
        <v>Cancelled</v>
      </c>
      <c r="R594" t="str">
        <f>_xlfn.XLOOKUP(B594,CustomerMaster!$A$2:$A$287,CustomerMaster!$B$2:$B$287)</f>
        <v>Customer_119</v>
      </c>
      <c r="S594" t="str">
        <f>_xlfn.XLOOKUP(C594,ProductMaster!$A$2:$A$51,ProductMaster!$B$2:$B$51)</f>
        <v>Product_36</v>
      </c>
      <c r="T594" t="str">
        <f>_xlfn.XLOOKUP(G594,RegionMaster!$A$2:$A$5,RegionMaster!$B$2:$B$5)</f>
        <v>C</v>
      </c>
    </row>
    <row r="595" spans="1:20" ht="15.75" customHeight="1">
      <c r="A595" s="2" t="s">
        <v>1305</v>
      </c>
      <c r="B595" s="2" t="s">
        <v>326</v>
      </c>
      <c r="C595" s="2" t="s">
        <v>146</v>
      </c>
      <c r="D595" s="3">
        <v>45766</v>
      </c>
      <c r="E595" s="4"/>
      <c r="F595" s="3">
        <v>45767</v>
      </c>
      <c r="G595" s="2" t="s">
        <v>7</v>
      </c>
      <c r="H595" s="2" t="s">
        <v>37</v>
      </c>
      <c r="I595" s="2" t="s">
        <v>178</v>
      </c>
      <c r="J595" s="2" t="s">
        <v>133</v>
      </c>
      <c r="K595" s="2">
        <v>1859.2</v>
      </c>
      <c r="L595" s="2" t="str">
        <f t="shared" si="54"/>
        <v>April</v>
      </c>
      <c r="M595" s="2" t="str">
        <f t="shared" si="55"/>
        <v>Cancelled</v>
      </c>
      <c r="N595" t="str">
        <f t="shared" si="56"/>
        <v>Cancelled</v>
      </c>
      <c r="O595" t="str">
        <f t="shared" si="57"/>
        <v>Order Cancelled</v>
      </c>
      <c r="P595" t="str">
        <f t="shared" si="58"/>
        <v>Cancelled</v>
      </c>
      <c r="Q595" t="str">
        <f t="shared" si="59"/>
        <v>Cancelled</v>
      </c>
      <c r="R595" t="str">
        <f>_xlfn.XLOOKUP(B595,CustomerMaster!$A$2:$A$287,CustomerMaster!$B$2:$B$287)</f>
        <v>Customer_72</v>
      </c>
      <c r="S595" t="str">
        <f>_xlfn.XLOOKUP(C595,ProductMaster!$A$2:$A$51,ProductMaster!$B$2:$B$51)</f>
        <v>Product_30</v>
      </c>
      <c r="T595" t="str">
        <f>_xlfn.XLOOKUP(G595,RegionMaster!$A$2:$A$5,RegionMaster!$B$2:$B$5)</f>
        <v>A</v>
      </c>
    </row>
    <row r="596" spans="1:20" ht="15.75" customHeight="1">
      <c r="A596" s="2" t="s">
        <v>1306</v>
      </c>
      <c r="B596" s="2" t="s">
        <v>378</v>
      </c>
      <c r="C596" s="2" t="s">
        <v>29</v>
      </c>
      <c r="D596" s="3">
        <v>45671</v>
      </c>
      <c r="E596" s="3">
        <v>45674</v>
      </c>
      <c r="F596" s="4"/>
      <c r="G596" s="2" t="s">
        <v>17</v>
      </c>
      <c r="H596" s="2" t="s">
        <v>16</v>
      </c>
      <c r="I596" s="2" t="s">
        <v>178</v>
      </c>
      <c r="J596" s="2" t="s">
        <v>107</v>
      </c>
      <c r="K596" s="2">
        <v>4504.58</v>
      </c>
      <c r="L596" s="2" t="str">
        <f t="shared" si="54"/>
        <v>January</v>
      </c>
      <c r="M596" s="2" t="str">
        <f t="shared" si="55"/>
        <v>January</v>
      </c>
      <c r="N596" t="str">
        <f t="shared" si="56"/>
        <v>Delivered</v>
      </c>
      <c r="O596">
        <f t="shared" si="57"/>
        <v>3</v>
      </c>
      <c r="P596" t="str">
        <f t="shared" si="58"/>
        <v>Completed</v>
      </c>
      <c r="Q596" t="str">
        <f t="shared" si="59"/>
        <v>Slow</v>
      </c>
      <c r="R596" t="str">
        <f>_xlfn.XLOOKUP(B596,CustomerMaster!$A$2:$A$287,CustomerMaster!$B$2:$B$287)</f>
        <v>Customer_96</v>
      </c>
      <c r="S596" t="str">
        <f>_xlfn.XLOOKUP(C596,ProductMaster!$A$2:$A$51,ProductMaster!$B$2:$B$51)</f>
        <v>Product_2</v>
      </c>
      <c r="T596" t="str">
        <f>_xlfn.XLOOKUP(G596,RegionMaster!$A$2:$A$5,RegionMaster!$B$2:$B$5)</f>
        <v>B</v>
      </c>
    </row>
    <row r="597" spans="1:20" ht="15.75" customHeight="1">
      <c r="A597" s="2" t="s">
        <v>1307</v>
      </c>
      <c r="B597" s="2" t="s">
        <v>530</v>
      </c>
      <c r="C597" s="2" t="s">
        <v>160</v>
      </c>
      <c r="D597" s="3">
        <v>45674</v>
      </c>
      <c r="E597" s="3">
        <v>45677</v>
      </c>
      <c r="F597" s="4"/>
      <c r="G597" s="2" t="s">
        <v>22</v>
      </c>
      <c r="H597" s="2" t="s">
        <v>27</v>
      </c>
      <c r="I597" s="2" t="s">
        <v>195</v>
      </c>
      <c r="J597" s="2" t="s">
        <v>107</v>
      </c>
      <c r="K597" s="2">
        <v>2475.02</v>
      </c>
      <c r="L597" s="2" t="str">
        <f t="shared" si="54"/>
        <v>January</v>
      </c>
      <c r="M597" s="2" t="str">
        <f t="shared" si="55"/>
        <v>January</v>
      </c>
      <c r="N597" t="str">
        <f t="shared" si="56"/>
        <v>Delivered</v>
      </c>
      <c r="O597">
        <f t="shared" si="57"/>
        <v>3</v>
      </c>
      <c r="P597" t="str">
        <f t="shared" si="58"/>
        <v>Completed</v>
      </c>
      <c r="Q597" t="str">
        <f t="shared" si="59"/>
        <v>Slow</v>
      </c>
      <c r="R597" t="str">
        <f>_xlfn.XLOOKUP(B597,CustomerMaster!$A$2:$A$287,CustomerMaster!$B$2:$B$287)</f>
        <v>Customer_158</v>
      </c>
      <c r="S597" t="str">
        <f>_xlfn.XLOOKUP(C597,ProductMaster!$A$2:$A$51,ProductMaster!$B$2:$B$51)</f>
        <v>Product_34</v>
      </c>
      <c r="T597" t="str">
        <f>_xlfn.XLOOKUP(G597,RegionMaster!$A$2:$A$5,RegionMaster!$B$2:$B$5)</f>
        <v>C</v>
      </c>
    </row>
    <row r="598" spans="1:20" ht="15.75" customHeight="1">
      <c r="A598" s="2" t="s">
        <v>1308</v>
      </c>
      <c r="B598" s="2" t="s">
        <v>613</v>
      </c>
      <c r="C598" s="2" t="s">
        <v>162</v>
      </c>
      <c r="D598" s="3">
        <v>45710</v>
      </c>
      <c r="E598" s="3">
        <v>45714</v>
      </c>
      <c r="F598" s="4"/>
      <c r="G598" s="2" t="s">
        <v>45</v>
      </c>
      <c r="H598" s="2" t="s">
        <v>59</v>
      </c>
      <c r="I598" s="2" t="s">
        <v>106</v>
      </c>
      <c r="J598" s="2" t="s">
        <v>94</v>
      </c>
      <c r="K598" s="2">
        <v>3404.28</v>
      </c>
      <c r="L598" s="2" t="str">
        <f t="shared" si="54"/>
        <v>February</v>
      </c>
      <c r="M598" s="2" t="str">
        <f t="shared" si="55"/>
        <v>February</v>
      </c>
      <c r="N598" t="str">
        <f t="shared" si="56"/>
        <v>Delivered</v>
      </c>
      <c r="O598">
        <f t="shared" si="57"/>
        <v>4</v>
      </c>
      <c r="P598" t="str">
        <f t="shared" si="58"/>
        <v>Completed</v>
      </c>
      <c r="Q598" t="str">
        <f t="shared" si="59"/>
        <v>Slow</v>
      </c>
      <c r="R598" t="str">
        <f>_xlfn.XLOOKUP(B598,CustomerMaster!$A$2:$A$287,CustomerMaster!$B$2:$B$287)</f>
        <v>Customer_192</v>
      </c>
      <c r="S598" t="str">
        <f>_xlfn.XLOOKUP(C598,ProductMaster!$A$2:$A$51,ProductMaster!$B$2:$B$51)</f>
        <v>Product_35</v>
      </c>
      <c r="T598" t="str">
        <f>_xlfn.XLOOKUP(G598,RegionMaster!$A$2:$A$5,RegionMaster!$B$2:$B$5)</f>
        <v>D</v>
      </c>
    </row>
    <row r="599" spans="1:20" ht="15.75" customHeight="1">
      <c r="A599" s="2" t="s">
        <v>1309</v>
      </c>
      <c r="B599" s="2" t="s">
        <v>51</v>
      </c>
      <c r="C599" s="2" t="s">
        <v>20</v>
      </c>
      <c r="D599" s="3">
        <v>45745</v>
      </c>
      <c r="E599" s="4"/>
      <c r="F599" s="3">
        <v>45745</v>
      </c>
      <c r="G599" s="2" t="s">
        <v>7</v>
      </c>
      <c r="H599" s="2" t="s">
        <v>37</v>
      </c>
      <c r="I599" s="2" t="s">
        <v>121</v>
      </c>
      <c r="J599" s="2" t="s">
        <v>133</v>
      </c>
      <c r="K599" s="2">
        <v>1027.1400000000001</v>
      </c>
      <c r="L599" s="2" t="str">
        <f t="shared" si="54"/>
        <v>March</v>
      </c>
      <c r="M599" s="2" t="str">
        <f t="shared" si="55"/>
        <v>Cancelled</v>
      </c>
      <c r="N599" t="str">
        <f t="shared" si="56"/>
        <v>Cancelled</v>
      </c>
      <c r="O599" t="str">
        <f t="shared" si="57"/>
        <v>Order Cancelled</v>
      </c>
      <c r="P599" t="str">
        <f t="shared" si="58"/>
        <v>Cancelled</v>
      </c>
      <c r="Q599" t="str">
        <f t="shared" si="59"/>
        <v>Cancelled</v>
      </c>
      <c r="R599" t="str">
        <f>_xlfn.XLOOKUP(B599,CustomerMaster!$A$2:$A$287,CustomerMaster!$B$2:$B$287)</f>
        <v>Customer_5</v>
      </c>
      <c r="S599" t="str">
        <f>_xlfn.XLOOKUP(C599,ProductMaster!$A$2:$A$51,ProductMaster!$B$2:$B$51)</f>
        <v>Product_1</v>
      </c>
      <c r="T599" t="str">
        <f>_xlfn.XLOOKUP(G599,RegionMaster!$A$2:$A$5,RegionMaster!$B$2:$B$5)</f>
        <v>A</v>
      </c>
    </row>
    <row r="600" spans="1:20" ht="15.75" customHeight="1">
      <c r="A600" s="2" t="s">
        <v>1310</v>
      </c>
      <c r="B600" s="2" t="s">
        <v>576</v>
      </c>
      <c r="C600" s="2" t="s">
        <v>153</v>
      </c>
      <c r="D600" s="3">
        <v>45745</v>
      </c>
      <c r="E600" s="4"/>
      <c r="F600" s="3">
        <v>45745</v>
      </c>
      <c r="G600" s="2" t="s">
        <v>17</v>
      </c>
      <c r="H600" s="2" t="s">
        <v>37</v>
      </c>
      <c r="I600" s="2" t="s">
        <v>178</v>
      </c>
      <c r="J600" s="2" t="s">
        <v>107</v>
      </c>
      <c r="K600" s="2">
        <v>1122.99</v>
      </c>
      <c r="L600" s="2" t="str">
        <f t="shared" si="54"/>
        <v>March</v>
      </c>
      <c r="M600" s="2" t="str">
        <f t="shared" si="55"/>
        <v>Cancelled</v>
      </c>
      <c r="N600" t="str">
        <f t="shared" si="56"/>
        <v>Cancelled</v>
      </c>
      <c r="O600" t="str">
        <f t="shared" si="57"/>
        <v>Order Cancelled</v>
      </c>
      <c r="P600" t="str">
        <f t="shared" si="58"/>
        <v>Cancelled</v>
      </c>
      <c r="Q600" t="str">
        <f t="shared" si="59"/>
        <v>Cancelled</v>
      </c>
      <c r="R600" t="str">
        <f>_xlfn.XLOOKUP(B600,CustomerMaster!$A$2:$A$287,CustomerMaster!$B$2:$B$287)</f>
        <v>Customer_177</v>
      </c>
      <c r="S600" t="str">
        <f>_xlfn.XLOOKUP(C600,ProductMaster!$A$2:$A$51,ProductMaster!$B$2:$B$51)</f>
        <v>Product_32</v>
      </c>
      <c r="T600" t="str">
        <f>_xlfn.XLOOKUP(G600,RegionMaster!$A$2:$A$5,RegionMaster!$B$2:$B$5)</f>
        <v>B</v>
      </c>
    </row>
    <row r="601" spans="1:20" ht="15.75" customHeight="1">
      <c r="A601" s="2" t="s">
        <v>1311</v>
      </c>
      <c r="B601" s="2" t="s">
        <v>523</v>
      </c>
      <c r="C601" s="2" t="s">
        <v>101</v>
      </c>
      <c r="D601" s="3">
        <v>45715</v>
      </c>
      <c r="E601" s="4"/>
      <c r="F601" s="3">
        <v>45716</v>
      </c>
      <c r="G601" s="2" t="s">
        <v>45</v>
      </c>
      <c r="H601" s="2" t="s">
        <v>59</v>
      </c>
      <c r="I601" s="2" t="s">
        <v>106</v>
      </c>
      <c r="J601" s="2" t="s">
        <v>94</v>
      </c>
      <c r="K601" s="2">
        <v>396.17</v>
      </c>
      <c r="L601" s="2" t="str">
        <f t="shared" si="54"/>
        <v>February</v>
      </c>
      <c r="M601" s="2" t="str">
        <f t="shared" si="55"/>
        <v>Cancelled</v>
      </c>
      <c r="N601" t="str">
        <f t="shared" si="56"/>
        <v>Cancelled</v>
      </c>
      <c r="O601" t="str">
        <f t="shared" si="57"/>
        <v>Order Cancelled</v>
      </c>
      <c r="P601" t="str">
        <f t="shared" si="58"/>
        <v>Cancelled</v>
      </c>
      <c r="Q601" t="str">
        <f t="shared" si="59"/>
        <v>Cancelled</v>
      </c>
      <c r="R601" t="str">
        <f>_xlfn.XLOOKUP(B601,CustomerMaster!$A$2:$A$287,CustomerMaster!$B$2:$B$287)</f>
        <v>Customer_229</v>
      </c>
      <c r="S601" t="str">
        <f>_xlfn.XLOOKUP(C601,ProductMaster!$A$2:$A$51,ProductMaster!$B$2:$B$51)</f>
        <v>Product_27</v>
      </c>
      <c r="T601" t="str">
        <f>_xlfn.XLOOKUP(G601,RegionMaster!$A$2:$A$5,RegionMaster!$B$2:$B$5)</f>
        <v>D</v>
      </c>
    </row>
    <row r="602" spans="1:20" ht="15.75" customHeight="1">
      <c r="A602" s="2" t="s">
        <v>1312</v>
      </c>
      <c r="B602" s="2" t="s">
        <v>651</v>
      </c>
      <c r="C602" s="2" t="s">
        <v>128</v>
      </c>
      <c r="D602" s="3">
        <v>45674</v>
      </c>
      <c r="E602" s="4"/>
      <c r="F602" s="3">
        <v>45676</v>
      </c>
      <c r="G602" s="2" t="s">
        <v>45</v>
      </c>
      <c r="H602" s="2" t="s">
        <v>27</v>
      </c>
      <c r="I602" s="2" t="s">
        <v>121</v>
      </c>
      <c r="J602" s="2" t="s">
        <v>94</v>
      </c>
      <c r="K602" s="2">
        <v>1010.89</v>
      </c>
      <c r="L602" s="2" t="str">
        <f t="shared" si="54"/>
        <v>January</v>
      </c>
      <c r="M602" s="2" t="str">
        <f t="shared" si="55"/>
        <v>Cancelled</v>
      </c>
      <c r="N602" t="str">
        <f t="shared" si="56"/>
        <v>Cancelled</v>
      </c>
      <c r="O602" t="str">
        <f t="shared" si="57"/>
        <v>Order Cancelled</v>
      </c>
      <c r="P602" t="str">
        <f t="shared" si="58"/>
        <v>Cancelled</v>
      </c>
      <c r="Q602" t="str">
        <f t="shared" si="59"/>
        <v>Cancelled</v>
      </c>
      <c r="R602" t="str">
        <f>_xlfn.XLOOKUP(B602,CustomerMaster!$A$2:$A$287,CustomerMaster!$B$2:$B$287)</f>
        <v>Customer_209</v>
      </c>
      <c r="S602" t="str">
        <f>_xlfn.XLOOKUP(C602,ProductMaster!$A$2:$A$51,ProductMaster!$B$2:$B$51)</f>
        <v>Product_25</v>
      </c>
      <c r="T602" t="str">
        <f>_xlfn.XLOOKUP(G602,RegionMaster!$A$2:$A$5,RegionMaster!$B$2:$B$5)</f>
        <v>D</v>
      </c>
    </row>
    <row r="603" spans="1:20" ht="15.75" customHeight="1">
      <c r="A603" s="2" t="s">
        <v>1313</v>
      </c>
      <c r="B603" s="2" t="s">
        <v>766</v>
      </c>
      <c r="C603" s="2" t="s">
        <v>118</v>
      </c>
      <c r="D603" s="3">
        <v>45777</v>
      </c>
      <c r="E603" s="4"/>
      <c r="F603" s="3">
        <v>45777</v>
      </c>
      <c r="G603" s="2" t="s">
        <v>7</v>
      </c>
      <c r="H603" s="2" t="s">
        <v>37</v>
      </c>
      <c r="I603" s="2" t="s">
        <v>178</v>
      </c>
      <c r="J603" s="2" t="s">
        <v>94</v>
      </c>
      <c r="K603" s="2">
        <v>1537.23</v>
      </c>
      <c r="L603" s="2" t="str">
        <f t="shared" si="54"/>
        <v>April</v>
      </c>
      <c r="M603" s="2" t="str">
        <f t="shared" si="55"/>
        <v>Cancelled</v>
      </c>
      <c r="N603" t="str">
        <f t="shared" si="56"/>
        <v>Cancelled</v>
      </c>
      <c r="O603" t="str">
        <f t="shared" si="57"/>
        <v>Order Cancelled</v>
      </c>
      <c r="P603" t="str">
        <f t="shared" si="58"/>
        <v>Cancelled</v>
      </c>
      <c r="Q603" t="str">
        <f t="shared" si="59"/>
        <v>Cancelled</v>
      </c>
      <c r="R603" t="str">
        <f>_xlfn.XLOOKUP(B603,CustomerMaster!$A$2:$A$287,CustomerMaster!$B$2:$B$287)</f>
        <v>Customer_263</v>
      </c>
      <c r="S603" t="str">
        <f>_xlfn.XLOOKUP(C603,ProductMaster!$A$2:$A$51,ProductMaster!$B$2:$B$51)</f>
        <v>Product_22</v>
      </c>
      <c r="T603" t="str">
        <f>_xlfn.XLOOKUP(G603,RegionMaster!$A$2:$A$5,RegionMaster!$B$2:$B$5)</f>
        <v>A</v>
      </c>
    </row>
    <row r="604" spans="1:20" ht="15.75" customHeight="1">
      <c r="A604" s="2" t="s">
        <v>1314</v>
      </c>
      <c r="B604" s="2" t="s">
        <v>388</v>
      </c>
      <c r="C604" s="2" t="s">
        <v>118</v>
      </c>
      <c r="D604" s="3">
        <v>45759</v>
      </c>
      <c r="E604" s="3">
        <v>45765</v>
      </c>
      <c r="F604" s="4"/>
      <c r="G604" s="2" t="s">
        <v>17</v>
      </c>
      <c r="H604" s="2" t="s">
        <v>16</v>
      </c>
      <c r="I604" s="2" t="s">
        <v>121</v>
      </c>
      <c r="J604" s="2" t="s">
        <v>107</v>
      </c>
      <c r="K604" s="2">
        <v>1049.6500000000001</v>
      </c>
      <c r="L604" s="2" t="str">
        <f t="shared" si="54"/>
        <v>April</v>
      </c>
      <c r="M604" s="2" t="str">
        <f t="shared" si="55"/>
        <v>April</v>
      </c>
      <c r="N604" t="str">
        <f t="shared" si="56"/>
        <v>Delivered</v>
      </c>
      <c r="O604">
        <f t="shared" si="57"/>
        <v>6</v>
      </c>
      <c r="P604" t="str">
        <f t="shared" si="58"/>
        <v>Completed</v>
      </c>
      <c r="Q604" t="str">
        <f t="shared" si="59"/>
        <v>Slow</v>
      </c>
      <c r="R604" t="str">
        <f>_xlfn.XLOOKUP(B604,CustomerMaster!$A$2:$A$287,CustomerMaster!$B$2:$B$287)</f>
        <v>Customer_100</v>
      </c>
      <c r="S604" t="str">
        <f>_xlfn.XLOOKUP(C604,ProductMaster!$A$2:$A$51,ProductMaster!$B$2:$B$51)</f>
        <v>Product_22</v>
      </c>
      <c r="T604" t="str">
        <f>_xlfn.XLOOKUP(G604,RegionMaster!$A$2:$A$5,RegionMaster!$B$2:$B$5)</f>
        <v>B</v>
      </c>
    </row>
    <row r="605" spans="1:20" ht="15.75" customHeight="1">
      <c r="A605" s="2" t="s">
        <v>1315</v>
      </c>
      <c r="B605" s="2" t="s">
        <v>179</v>
      </c>
      <c r="C605" s="2" t="s">
        <v>69</v>
      </c>
      <c r="D605" s="3">
        <v>45685</v>
      </c>
      <c r="E605" s="4"/>
      <c r="F605" s="3">
        <v>45685</v>
      </c>
      <c r="G605" s="2" t="s">
        <v>7</v>
      </c>
      <c r="H605" s="2" t="s">
        <v>27</v>
      </c>
      <c r="I605" s="2" t="s">
        <v>195</v>
      </c>
      <c r="J605" s="2" t="s">
        <v>133</v>
      </c>
      <c r="K605" s="2">
        <v>625.77</v>
      </c>
      <c r="L605" s="2" t="str">
        <f t="shared" si="54"/>
        <v>January</v>
      </c>
      <c r="M605" s="2" t="str">
        <f t="shared" si="55"/>
        <v>Cancelled</v>
      </c>
      <c r="N605" t="str">
        <f t="shared" si="56"/>
        <v>Cancelled</v>
      </c>
      <c r="O605" t="str">
        <f t="shared" si="57"/>
        <v>Order Cancelled</v>
      </c>
      <c r="P605" t="str">
        <f t="shared" si="58"/>
        <v>Cancelled</v>
      </c>
      <c r="Q605" t="str">
        <f t="shared" si="59"/>
        <v>Cancelled</v>
      </c>
      <c r="R605" t="str">
        <f>_xlfn.XLOOKUP(B605,CustomerMaster!$A$2:$A$287,CustomerMaster!$B$2:$B$287)</f>
        <v>Customer_23</v>
      </c>
      <c r="S605" t="str">
        <f>_xlfn.XLOOKUP(C605,ProductMaster!$A$2:$A$51,ProductMaster!$B$2:$B$51)</f>
        <v>Product_9</v>
      </c>
      <c r="T605" t="str">
        <f>_xlfn.XLOOKUP(G605,RegionMaster!$A$2:$A$5,RegionMaster!$B$2:$B$5)</f>
        <v>A</v>
      </c>
    </row>
    <row r="606" spans="1:20" ht="15.75" customHeight="1">
      <c r="A606" s="2" t="s">
        <v>1316</v>
      </c>
      <c r="B606" s="2" t="s">
        <v>563</v>
      </c>
      <c r="C606" s="2" t="s">
        <v>75</v>
      </c>
      <c r="D606" s="3">
        <v>45664</v>
      </c>
      <c r="E606" s="3">
        <v>45665</v>
      </c>
      <c r="F606" s="4"/>
      <c r="G606" s="2" t="s">
        <v>17</v>
      </c>
      <c r="H606" s="2" t="s">
        <v>59</v>
      </c>
      <c r="I606" s="2" t="s">
        <v>121</v>
      </c>
      <c r="J606" s="2" t="s">
        <v>133</v>
      </c>
      <c r="K606" s="2">
        <v>779.05</v>
      </c>
      <c r="L606" s="2" t="str">
        <f t="shared" si="54"/>
        <v>January</v>
      </c>
      <c r="M606" s="2" t="str">
        <f t="shared" si="55"/>
        <v>January</v>
      </c>
      <c r="N606" t="str">
        <f t="shared" si="56"/>
        <v>Delivered</v>
      </c>
      <c r="O606">
        <f t="shared" si="57"/>
        <v>1</v>
      </c>
      <c r="P606" t="str">
        <f t="shared" si="58"/>
        <v>Completed</v>
      </c>
      <c r="Q606" t="str">
        <f t="shared" si="59"/>
        <v>Fast</v>
      </c>
      <c r="R606" t="str">
        <f>_xlfn.XLOOKUP(B606,CustomerMaster!$A$2:$A$287,CustomerMaster!$B$2:$B$287)</f>
        <v>Customer_172</v>
      </c>
      <c r="S606" t="str">
        <f>_xlfn.XLOOKUP(C606,ProductMaster!$A$2:$A$51,ProductMaster!$B$2:$B$51)</f>
        <v>Product_11</v>
      </c>
      <c r="T606" t="str">
        <f>_xlfn.XLOOKUP(G606,RegionMaster!$A$2:$A$5,RegionMaster!$B$2:$B$5)</f>
        <v>B</v>
      </c>
    </row>
    <row r="607" spans="1:20" ht="15.75" customHeight="1">
      <c r="A607" s="2" t="s">
        <v>1317</v>
      </c>
      <c r="B607" s="2" t="s">
        <v>246</v>
      </c>
      <c r="C607" s="2" t="s">
        <v>153</v>
      </c>
      <c r="D607" s="3">
        <v>45683</v>
      </c>
      <c r="E607" s="3">
        <v>45689</v>
      </c>
      <c r="F607" s="4"/>
      <c r="G607" s="2" t="s">
        <v>7</v>
      </c>
      <c r="H607" s="2" t="s">
        <v>27</v>
      </c>
      <c r="I607" s="2" t="s">
        <v>90</v>
      </c>
      <c r="J607" s="2" t="s">
        <v>107</v>
      </c>
      <c r="K607" s="2">
        <v>2411.7399999999998</v>
      </c>
      <c r="L607" s="2" t="str">
        <f t="shared" si="54"/>
        <v>January</v>
      </c>
      <c r="M607" s="2" t="str">
        <f t="shared" si="55"/>
        <v>February</v>
      </c>
      <c r="N607" t="str">
        <f t="shared" si="56"/>
        <v>Delivered</v>
      </c>
      <c r="O607">
        <f t="shared" si="57"/>
        <v>6</v>
      </c>
      <c r="P607" t="str">
        <f t="shared" si="58"/>
        <v>Completed</v>
      </c>
      <c r="Q607" t="str">
        <f t="shared" si="59"/>
        <v>Slow</v>
      </c>
      <c r="R607" t="str">
        <f>_xlfn.XLOOKUP(B607,CustomerMaster!$A$2:$A$287,CustomerMaster!$B$2:$B$287)</f>
        <v>Customer_61</v>
      </c>
      <c r="S607" t="str">
        <f>_xlfn.XLOOKUP(C607,ProductMaster!$A$2:$A$51,ProductMaster!$B$2:$B$51)</f>
        <v>Product_32</v>
      </c>
      <c r="T607" t="str">
        <f>_xlfn.XLOOKUP(G607,RegionMaster!$A$2:$A$5,RegionMaster!$B$2:$B$5)</f>
        <v>A</v>
      </c>
    </row>
    <row r="608" spans="1:20" ht="15.75" customHeight="1">
      <c r="A608" s="2" t="s">
        <v>1318</v>
      </c>
      <c r="B608" s="2" t="s">
        <v>708</v>
      </c>
      <c r="C608" s="2" t="s">
        <v>101</v>
      </c>
      <c r="D608" s="3">
        <v>45670</v>
      </c>
      <c r="E608" s="4"/>
      <c r="F608" s="3">
        <v>45670</v>
      </c>
      <c r="G608" s="2" t="s">
        <v>17</v>
      </c>
      <c r="H608" s="2" t="s">
        <v>59</v>
      </c>
      <c r="I608" s="2" t="s">
        <v>195</v>
      </c>
      <c r="J608" s="2" t="s">
        <v>133</v>
      </c>
      <c r="K608" s="2">
        <v>1190.4000000000001</v>
      </c>
      <c r="L608" s="2" t="str">
        <f t="shared" si="54"/>
        <v>January</v>
      </c>
      <c r="M608" s="2" t="str">
        <f t="shared" si="55"/>
        <v>Cancelled</v>
      </c>
      <c r="N608" t="str">
        <f t="shared" si="56"/>
        <v>Cancelled</v>
      </c>
      <c r="O608" t="str">
        <f t="shared" si="57"/>
        <v>Order Cancelled</v>
      </c>
      <c r="P608" t="str">
        <f t="shared" si="58"/>
        <v>Cancelled</v>
      </c>
      <c r="Q608" t="str">
        <f t="shared" si="59"/>
        <v>Cancelled</v>
      </c>
      <c r="R608" t="str">
        <f>_xlfn.XLOOKUP(B608,CustomerMaster!$A$2:$A$287,CustomerMaster!$B$2:$B$287)</f>
        <v>Customer_235</v>
      </c>
      <c r="S608" t="str">
        <f>_xlfn.XLOOKUP(C608,ProductMaster!$A$2:$A$51,ProductMaster!$B$2:$B$51)</f>
        <v>Product_27</v>
      </c>
      <c r="T608" t="str">
        <f>_xlfn.XLOOKUP(G608,RegionMaster!$A$2:$A$5,RegionMaster!$B$2:$B$5)</f>
        <v>B</v>
      </c>
    </row>
    <row r="609" spans="1:20" ht="15.75" customHeight="1">
      <c r="A609" s="2" t="s">
        <v>1319</v>
      </c>
      <c r="B609" s="2" t="s">
        <v>693</v>
      </c>
      <c r="C609" s="2" t="s">
        <v>69</v>
      </c>
      <c r="D609" s="3">
        <v>45660</v>
      </c>
      <c r="E609" s="3">
        <v>45662</v>
      </c>
      <c r="F609" s="4"/>
      <c r="G609" s="2" t="s">
        <v>7</v>
      </c>
      <c r="H609" s="2" t="s">
        <v>59</v>
      </c>
      <c r="I609" s="2" t="s">
        <v>178</v>
      </c>
      <c r="J609" s="2" t="s">
        <v>133</v>
      </c>
      <c r="K609" s="2">
        <v>1948.5</v>
      </c>
      <c r="L609" s="2" t="str">
        <f t="shared" si="54"/>
        <v>January</v>
      </c>
      <c r="M609" s="2" t="str">
        <f t="shared" si="55"/>
        <v>January</v>
      </c>
      <c r="N609" t="str">
        <f t="shared" si="56"/>
        <v>Delivered</v>
      </c>
      <c r="O609">
        <f t="shared" si="57"/>
        <v>2</v>
      </c>
      <c r="P609" t="str">
        <f t="shared" si="58"/>
        <v>Completed</v>
      </c>
      <c r="Q609" t="str">
        <f t="shared" si="59"/>
        <v>Fast</v>
      </c>
      <c r="R609" t="str">
        <f>_xlfn.XLOOKUP(B609,CustomerMaster!$A$2:$A$287,CustomerMaster!$B$2:$B$287)</f>
        <v>Customer_245</v>
      </c>
      <c r="S609" t="str">
        <f>_xlfn.XLOOKUP(C609,ProductMaster!$A$2:$A$51,ProductMaster!$B$2:$B$51)</f>
        <v>Product_9</v>
      </c>
      <c r="T609" t="str">
        <f>_xlfn.XLOOKUP(G609,RegionMaster!$A$2:$A$5,RegionMaster!$B$2:$B$5)</f>
        <v>A</v>
      </c>
    </row>
    <row r="610" spans="1:20" ht="15.75" customHeight="1">
      <c r="A610" s="2" t="s">
        <v>1320</v>
      </c>
      <c r="B610" s="2" t="s">
        <v>673</v>
      </c>
      <c r="C610" s="2" t="s">
        <v>9</v>
      </c>
      <c r="D610" s="3">
        <v>45663</v>
      </c>
      <c r="E610" s="3">
        <v>45665</v>
      </c>
      <c r="F610" s="4"/>
      <c r="G610" s="2" t="s">
        <v>22</v>
      </c>
      <c r="H610" s="2" t="s">
        <v>37</v>
      </c>
      <c r="I610" s="2" t="s">
        <v>178</v>
      </c>
      <c r="J610" s="2" t="s">
        <v>133</v>
      </c>
      <c r="K610" s="2">
        <v>2616.4</v>
      </c>
      <c r="L610" s="2" t="str">
        <f t="shared" si="54"/>
        <v>January</v>
      </c>
      <c r="M610" s="2" t="str">
        <f t="shared" si="55"/>
        <v>January</v>
      </c>
      <c r="N610" t="str">
        <f t="shared" si="56"/>
        <v>Delivered</v>
      </c>
      <c r="O610">
        <f t="shared" si="57"/>
        <v>2</v>
      </c>
      <c r="P610" t="str">
        <f t="shared" si="58"/>
        <v>Completed</v>
      </c>
      <c r="Q610" t="str">
        <f t="shared" si="59"/>
        <v>Fast</v>
      </c>
      <c r="R610" t="str">
        <f>_xlfn.XLOOKUP(B610,CustomerMaster!$A$2:$A$287,CustomerMaster!$B$2:$B$287)</f>
        <v>Customer_219</v>
      </c>
      <c r="S610" t="str">
        <f>_xlfn.XLOOKUP(C610,ProductMaster!$A$2:$A$51,ProductMaster!$B$2:$B$51)</f>
        <v>Product_0</v>
      </c>
      <c r="T610" t="str">
        <f>_xlfn.XLOOKUP(G610,RegionMaster!$A$2:$A$5,RegionMaster!$B$2:$B$5)</f>
        <v>C</v>
      </c>
    </row>
    <row r="611" spans="1:20" ht="15.75" customHeight="1">
      <c r="A611" s="2" t="s">
        <v>1321</v>
      </c>
      <c r="B611" s="2" t="s">
        <v>459</v>
      </c>
      <c r="C611" s="2" t="s">
        <v>63</v>
      </c>
      <c r="D611" s="3">
        <v>45719</v>
      </c>
      <c r="E611" s="3">
        <v>45723</v>
      </c>
      <c r="F611" s="4"/>
      <c r="G611" s="2" t="s">
        <v>22</v>
      </c>
      <c r="H611" s="2" t="s">
        <v>59</v>
      </c>
      <c r="I611" s="2" t="s">
        <v>195</v>
      </c>
      <c r="J611" s="2" t="s">
        <v>133</v>
      </c>
      <c r="K611" s="2">
        <v>3513.9</v>
      </c>
      <c r="L611" s="2" t="str">
        <f t="shared" si="54"/>
        <v>March</v>
      </c>
      <c r="M611" s="2" t="str">
        <f t="shared" si="55"/>
        <v>March</v>
      </c>
      <c r="N611" t="str">
        <f t="shared" si="56"/>
        <v>Delivered</v>
      </c>
      <c r="O611">
        <f t="shared" si="57"/>
        <v>4</v>
      </c>
      <c r="P611" t="str">
        <f t="shared" si="58"/>
        <v>Completed</v>
      </c>
      <c r="Q611" t="str">
        <f t="shared" si="59"/>
        <v>Slow</v>
      </c>
      <c r="R611" t="str">
        <f>_xlfn.XLOOKUP(B611,CustomerMaster!$A$2:$A$287,CustomerMaster!$B$2:$B$287)</f>
        <v>Customer_129</v>
      </c>
      <c r="S611" t="str">
        <f>_xlfn.XLOOKUP(C611,ProductMaster!$A$2:$A$51,ProductMaster!$B$2:$B$51)</f>
        <v>Product_8</v>
      </c>
      <c r="T611" t="str">
        <f>_xlfn.XLOOKUP(G611,RegionMaster!$A$2:$A$5,RegionMaster!$B$2:$B$5)</f>
        <v>C</v>
      </c>
    </row>
    <row r="612" spans="1:20" ht="15.75" customHeight="1">
      <c r="A612" s="2" t="s">
        <v>1322</v>
      </c>
      <c r="B612" s="2" t="s">
        <v>608</v>
      </c>
      <c r="C612" s="2" t="s">
        <v>138</v>
      </c>
      <c r="D612" s="3">
        <v>45669</v>
      </c>
      <c r="E612" s="3">
        <v>45671</v>
      </c>
      <c r="F612" s="4"/>
      <c r="G612" s="2" t="s">
        <v>17</v>
      </c>
      <c r="H612" s="2" t="s">
        <v>59</v>
      </c>
      <c r="I612" s="2" t="s">
        <v>106</v>
      </c>
      <c r="J612" s="2" t="s">
        <v>107</v>
      </c>
      <c r="K612" s="2">
        <v>388.7</v>
      </c>
      <c r="L612" s="2" t="str">
        <f t="shared" si="54"/>
        <v>January</v>
      </c>
      <c r="M612" s="2" t="str">
        <f t="shared" si="55"/>
        <v>January</v>
      </c>
      <c r="N612" t="str">
        <f t="shared" si="56"/>
        <v>Delivered</v>
      </c>
      <c r="O612">
        <f t="shared" si="57"/>
        <v>2</v>
      </c>
      <c r="P612" t="str">
        <f t="shared" si="58"/>
        <v>Completed</v>
      </c>
      <c r="Q612" t="str">
        <f t="shared" si="59"/>
        <v>Fast</v>
      </c>
      <c r="R612" t="str">
        <f>_xlfn.XLOOKUP(B612,CustomerMaster!$A$2:$A$287,CustomerMaster!$B$2:$B$287)</f>
        <v>Customer_190</v>
      </c>
      <c r="S612" t="str">
        <f>_xlfn.XLOOKUP(C612,ProductMaster!$A$2:$A$51,ProductMaster!$B$2:$B$51)</f>
        <v>Product_28</v>
      </c>
      <c r="T612" t="str">
        <f>_xlfn.XLOOKUP(G612,RegionMaster!$A$2:$A$5,RegionMaster!$B$2:$B$5)</f>
        <v>B</v>
      </c>
    </row>
    <row r="613" spans="1:20" ht="15.75" customHeight="1">
      <c r="A613" s="2" t="s">
        <v>1323</v>
      </c>
      <c r="B613" s="2" t="s">
        <v>231</v>
      </c>
      <c r="C613" s="2" t="s">
        <v>87</v>
      </c>
      <c r="D613" s="3">
        <v>45711</v>
      </c>
      <c r="E613" s="4"/>
      <c r="F613" s="3">
        <v>45711</v>
      </c>
      <c r="G613" s="2" t="s">
        <v>22</v>
      </c>
      <c r="H613" s="2" t="s">
        <v>59</v>
      </c>
      <c r="I613" s="2" t="s">
        <v>195</v>
      </c>
      <c r="J613" s="2" t="s">
        <v>133</v>
      </c>
      <c r="K613" s="2">
        <v>4037.17</v>
      </c>
      <c r="L613" s="2" t="str">
        <f t="shared" si="54"/>
        <v>February</v>
      </c>
      <c r="M613" s="2" t="str">
        <f t="shared" si="55"/>
        <v>Cancelled</v>
      </c>
      <c r="N613" t="str">
        <f t="shared" si="56"/>
        <v>Cancelled</v>
      </c>
      <c r="O613" t="str">
        <f t="shared" si="57"/>
        <v>Order Cancelled</v>
      </c>
      <c r="P613" t="str">
        <f t="shared" si="58"/>
        <v>Cancelled</v>
      </c>
      <c r="Q613" t="str">
        <f t="shared" si="59"/>
        <v>Cancelled</v>
      </c>
      <c r="R613" t="str">
        <f>_xlfn.XLOOKUP(B613,CustomerMaster!$A$2:$A$287,CustomerMaster!$B$2:$B$287)</f>
        <v>Customer_34</v>
      </c>
      <c r="S613" t="str">
        <f>_xlfn.XLOOKUP(C613,ProductMaster!$A$2:$A$51,ProductMaster!$B$2:$B$51)</f>
        <v>Product_15</v>
      </c>
      <c r="T613" t="str">
        <f>_xlfn.XLOOKUP(G613,RegionMaster!$A$2:$A$5,RegionMaster!$B$2:$B$5)</f>
        <v>C</v>
      </c>
    </row>
    <row r="614" spans="1:20" ht="15.75" customHeight="1">
      <c r="A614" s="2" t="s">
        <v>1324</v>
      </c>
      <c r="B614" s="2" t="s">
        <v>428</v>
      </c>
      <c r="C614" s="2" t="s">
        <v>91</v>
      </c>
      <c r="D614" s="3">
        <v>45755</v>
      </c>
      <c r="E614" s="4"/>
      <c r="F614" s="3">
        <v>45755</v>
      </c>
      <c r="G614" s="2" t="s">
        <v>22</v>
      </c>
      <c r="H614" s="2" t="s">
        <v>59</v>
      </c>
      <c r="I614" s="2" t="s">
        <v>121</v>
      </c>
      <c r="J614" s="2" t="s">
        <v>133</v>
      </c>
      <c r="K614" s="2">
        <v>3213.92</v>
      </c>
      <c r="L614" s="2" t="str">
        <f t="shared" si="54"/>
        <v>April</v>
      </c>
      <c r="M614" s="2" t="str">
        <f t="shared" si="55"/>
        <v>Cancelled</v>
      </c>
      <c r="N614" t="str">
        <f t="shared" si="56"/>
        <v>Cancelled</v>
      </c>
      <c r="O614" t="str">
        <f t="shared" si="57"/>
        <v>Order Cancelled</v>
      </c>
      <c r="P614" t="str">
        <f t="shared" si="58"/>
        <v>Cancelled</v>
      </c>
      <c r="Q614" t="str">
        <f t="shared" si="59"/>
        <v>Cancelled</v>
      </c>
      <c r="R614" t="str">
        <f>_xlfn.XLOOKUP(B614,CustomerMaster!$A$2:$A$287,CustomerMaster!$B$2:$B$287)</f>
        <v>Customer_117</v>
      </c>
      <c r="S614" t="str">
        <f>_xlfn.XLOOKUP(C614,ProductMaster!$A$2:$A$51,ProductMaster!$B$2:$B$51)</f>
        <v>Product_16</v>
      </c>
      <c r="T614" t="str">
        <f>_xlfn.XLOOKUP(G614,RegionMaster!$A$2:$A$5,RegionMaster!$B$2:$B$5)</f>
        <v>C</v>
      </c>
    </row>
    <row r="615" spans="1:20" ht="15.75" customHeight="1">
      <c r="A615" s="2" t="s">
        <v>1325</v>
      </c>
      <c r="B615" s="2" t="s">
        <v>281</v>
      </c>
      <c r="C615" s="2" t="s">
        <v>191</v>
      </c>
      <c r="D615" s="3">
        <v>45704</v>
      </c>
      <c r="E615" s="3">
        <v>45705</v>
      </c>
      <c r="F615" s="4"/>
      <c r="G615" s="2" t="s">
        <v>7</v>
      </c>
      <c r="H615" s="2" t="s">
        <v>37</v>
      </c>
      <c r="I615" s="2" t="s">
        <v>178</v>
      </c>
      <c r="J615" s="2" t="s">
        <v>94</v>
      </c>
      <c r="K615" s="2">
        <v>592.44000000000005</v>
      </c>
      <c r="L615" s="2" t="str">
        <f t="shared" si="54"/>
        <v>February</v>
      </c>
      <c r="M615" s="2" t="str">
        <f t="shared" si="55"/>
        <v>February</v>
      </c>
      <c r="N615" t="str">
        <f t="shared" si="56"/>
        <v>Delivered</v>
      </c>
      <c r="O615">
        <f t="shared" si="57"/>
        <v>1</v>
      </c>
      <c r="P615" t="str">
        <f t="shared" si="58"/>
        <v>Completed</v>
      </c>
      <c r="Q615" t="str">
        <f t="shared" si="59"/>
        <v>Fast</v>
      </c>
      <c r="R615" t="str">
        <f>_xlfn.XLOOKUP(B615,CustomerMaster!$A$2:$A$287,CustomerMaster!$B$2:$B$287)</f>
        <v>Customer_53</v>
      </c>
      <c r="S615" t="str">
        <f>_xlfn.XLOOKUP(C615,ProductMaster!$A$2:$A$51,ProductMaster!$B$2:$B$51)</f>
        <v>Product_43</v>
      </c>
      <c r="T615" t="str">
        <f>_xlfn.XLOOKUP(G615,RegionMaster!$A$2:$A$5,RegionMaster!$B$2:$B$5)</f>
        <v>A</v>
      </c>
    </row>
    <row r="616" spans="1:20" ht="15.75" customHeight="1">
      <c r="A616" s="2" t="s">
        <v>1326</v>
      </c>
      <c r="B616" s="2" t="s">
        <v>396</v>
      </c>
      <c r="C616" s="2" t="s">
        <v>153</v>
      </c>
      <c r="D616" s="3">
        <v>45763</v>
      </c>
      <c r="E616" s="3">
        <v>45768</v>
      </c>
      <c r="F616" s="4"/>
      <c r="G616" s="2" t="s">
        <v>22</v>
      </c>
      <c r="H616" s="2" t="s">
        <v>16</v>
      </c>
      <c r="I616" s="2" t="s">
        <v>106</v>
      </c>
      <c r="J616" s="2" t="s">
        <v>94</v>
      </c>
      <c r="K616" s="2">
        <v>4393.18</v>
      </c>
      <c r="L616" s="2" t="str">
        <f t="shared" si="54"/>
        <v>April</v>
      </c>
      <c r="M616" s="2" t="str">
        <f t="shared" si="55"/>
        <v>April</v>
      </c>
      <c r="N616" t="str">
        <f t="shared" si="56"/>
        <v>Delivered</v>
      </c>
      <c r="O616">
        <f t="shared" si="57"/>
        <v>5</v>
      </c>
      <c r="P616" t="str">
        <f t="shared" si="58"/>
        <v>Completed</v>
      </c>
      <c r="Q616" t="str">
        <f t="shared" si="59"/>
        <v>Slow</v>
      </c>
      <c r="R616" t="str">
        <f>_xlfn.XLOOKUP(B616,CustomerMaster!$A$2:$A$287,CustomerMaster!$B$2:$B$287)</f>
        <v>Customer_103</v>
      </c>
      <c r="S616" t="str">
        <f>_xlfn.XLOOKUP(C616,ProductMaster!$A$2:$A$51,ProductMaster!$B$2:$B$51)</f>
        <v>Product_32</v>
      </c>
      <c r="T616" t="str">
        <f>_xlfn.XLOOKUP(G616,RegionMaster!$A$2:$A$5,RegionMaster!$B$2:$B$5)</f>
        <v>C</v>
      </c>
    </row>
    <row r="617" spans="1:20" ht="15.75" customHeight="1">
      <c r="A617" s="2" t="s">
        <v>1327</v>
      </c>
      <c r="B617" s="2" t="s">
        <v>718</v>
      </c>
      <c r="C617" s="2" t="s">
        <v>194</v>
      </c>
      <c r="D617" s="3">
        <v>45710</v>
      </c>
      <c r="E617" s="3">
        <v>45715</v>
      </c>
      <c r="F617" s="4"/>
      <c r="G617" s="2" t="s">
        <v>7</v>
      </c>
      <c r="H617" s="2" t="s">
        <v>16</v>
      </c>
      <c r="I617" s="2" t="s">
        <v>90</v>
      </c>
      <c r="J617" s="2" t="s">
        <v>107</v>
      </c>
      <c r="K617" s="2">
        <v>4620.1899999999996</v>
      </c>
      <c r="L617" s="2" t="str">
        <f t="shared" si="54"/>
        <v>February</v>
      </c>
      <c r="M617" s="2" t="str">
        <f t="shared" si="55"/>
        <v>February</v>
      </c>
      <c r="N617" t="str">
        <f t="shared" si="56"/>
        <v>Delivered</v>
      </c>
      <c r="O617">
        <f t="shared" si="57"/>
        <v>5</v>
      </c>
      <c r="P617" t="str">
        <f t="shared" si="58"/>
        <v>Completed</v>
      </c>
      <c r="Q617" t="str">
        <f t="shared" si="59"/>
        <v>Slow</v>
      </c>
      <c r="R617" t="str">
        <f>_xlfn.XLOOKUP(B617,CustomerMaster!$A$2:$A$287,CustomerMaster!$B$2:$B$287)</f>
        <v>Customer_239</v>
      </c>
      <c r="S617" t="str">
        <f>_xlfn.XLOOKUP(C617,ProductMaster!$A$2:$A$51,ProductMaster!$B$2:$B$51)</f>
        <v>Product_44</v>
      </c>
      <c r="T617" t="str">
        <f>_xlfn.XLOOKUP(G617,RegionMaster!$A$2:$A$5,RegionMaster!$B$2:$B$5)</f>
        <v>A</v>
      </c>
    </row>
    <row r="618" spans="1:20" ht="15.75" customHeight="1">
      <c r="A618" s="2" t="s">
        <v>1328</v>
      </c>
      <c r="B618" s="2" t="s">
        <v>115</v>
      </c>
      <c r="C618" s="2" t="s">
        <v>157</v>
      </c>
      <c r="D618" s="3">
        <v>45689</v>
      </c>
      <c r="E618" s="4"/>
      <c r="F618" s="3">
        <v>45689</v>
      </c>
      <c r="G618" s="2" t="s">
        <v>7</v>
      </c>
      <c r="H618" s="2" t="s">
        <v>54</v>
      </c>
      <c r="I618" s="2" t="s">
        <v>90</v>
      </c>
      <c r="J618" s="2" t="s">
        <v>94</v>
      </c>
      <c r="K618" s="2">
        <v>493.17</v>
      </c>
      <c r="L618" s="2" t="str">
        <f t="shared" si="54"/>
        <v>February</v>
      </c>
      <c r="M618" s="2" t="str">
        <f t="shared" si="55"/>
        <v>Cancelled</v>
      </c>
      <c r="N618" t="str">
        <f t="shared" si="56"/>
        <v>Cancelled</v>
      </c>
      <c r="O618" t="str">
        <f t="shared" si="57"/>
        <v>Order Cancelled</v>
      </c>
      <c r="P618" t="str">
        <f t="shared" si="58"/>
        <v>Cancelled</v>
      </c>
      <c r="Q618" t="str">
        <f t="shared" si="59"/>
        <v>Cancelled</v>
      </c>
      <c r="R618" t="str">
        <f>_xlfn.XLOOKUP(B618,CustomerMaster!$A$2:$A$287,CustomerMaster!$B$2:$B$287)</f>
        <v>Customer_15</v>
      </c>
      <c r="S618" t="str">
        <f>_xlfn.XLOOKUP(C618,ProductMaster!$A$2:$A$51,ProductMaster!$B$2:$B$51)</f>
        <v>Product_33</v>
      </c>
      <c r="T618" t="str">
        <f>_xlfn.XLOOKUP(G618,RegionMaster!$A$2:$A$5,RegionMaster!$B$2:$B$5)</f>
        <v>A</v>
      </c>
    </row>
    <row r="619" spans="1:20" ht="15.75" customHeight="1">
      <c r="A619" s="2" t="s">
        <v>1329</v>
      </c>
      <c r="B619" s="2" t="s">
        <v>353</v>
      </c>
      <c r="C619" s="2" t="s">
        <v>130</v>
      </c>
      <c r="D619" s="3">
        <v>45660</v>
      </c>
      <c r="E619" s="3">
        <v>45664</v>
      </c>
      <c r="F619" s="4"/>
      <c r="G619" s="2" t="s">
        <v>22</v>
      </c>
      <c r="H619" s="2" t="s">
        <v>16</v>
      </c>
      <c r="I619" s="2" t="s">
        <v>195</v>
      </c>
      <c r="J619" s="2" t="s">
        <v>133</v>
      </c>
      <c r="K619" s="2">
        <v>1529.01</v>
      </c>
      <c r="L619" s="2" t="str">
        <f t="shared" si="54"/>
        <v>January</v>
      </c>
      <c r="M619" s="2" t="str">
        <f t="shared" si="55"/>
        <v>January</v>
      </c>
      <c r="N619" t="str">
        <f t="shared" si="56"/>
        <v>Delivered</v>
      </c>
      <c r="O619">
        <f t="shared" si="57"/>
        <v>4</v>
      </c>
      <c r="P619" t="str">
        <f t="shared" si="58"/>
        <v>Completed</v>
      </c>
      <c r="Q619" t="str">
        <f t="shared" si="59"/>
        <v>Slow</v>
      </c>
      <c r="R619" t="str">
        <f>_xlfn.XLOOKUP(B619,CustomerMaster!$A$2:$A$287,CustomerMaster!$B$2:$B$287)</f>
        <v>Customer_84</v>
      </c>
      <c r="S619" t="str">
        <f>_xlfn.XLOOKUP(C619,ProductMaster!$A$2:$A$51,ProductMaster!$B$2:$B$51)</f>
        <v>Product_26</v>
      </c>
      <c r="T619" t="str">
        <f>_xlfn.XLOOKUP(G619,RegionMaster!$A$2:$A$5,RegionMaster!$B$2:$B$5)</f>
        <v>C</v>
      </c>
    </row>
    <row r="620" spans="1:20" ht="15.75" customHeight="1">
      <c r="A620" s="2" t="s">
        <v>1330</v>
      </c>
      <c r="B620" s="2" t="s">
        <v>613</v>
      </c>
      <c r="C620" s="2" t="s">
        <v>160</v>
      </c>
      <c r="D620" s="3">
        <v>45763</v>
      </c>
      <c r="E620" s="3">
        <v>45767</v>
      </c>
      <c r="F620" s="4"/>
      <c r="G620" s="2" t="s">
        <v>7</v>
      </c>
      <c r="H620" s="2" t="s">
        <v>37</v>
      </c>
      <c r="I620" s="2" t="s">
        <v>178</v>
      </c>
      <c r="J620" s="2" t="s">
        <v>133</v>
      </c>
      <c r="K620" s="2">
        <v>4069.77</v>
      </c>
      <c r="L620" s="2" t="str">
        <f t="shared" si="54"/>
        <v>April</v>
      </c>
      <c r="M620" s="2" t="str">
        <f t="shared" si="55"/>
        <v>April</v>
      </c>
      <c r="N620" t="str">
        <f t="shared" si="56"/>
        <v>Delivered</v>
      </c>
      <c r="O620">
        <f t="shared" si="57"/>
        <v>4</v>
      </c>
      <c r="P620" t="str">
        <f t="shared" si="58"/>
        <v>Completed</v>
      </c>
      <c r="Q620" t="str">
        <f t="shared" si="59"/>
        <v>Slow</v>
      </c>
      <c r="R620" t="str">
        <f>_xlfn.XLOOKUP(B620,CustomerMaster!$A$2:$A$287,CustomerMaster!$B$2:$B$287)</f>
        <v>Customer_192</v>
      </c>
      <c r="S620" t="str">
        <f>_xlfn.XLOOKUP(C620,ProductMaster!$A$2:$A$51,ProductMaster!$B$2:$B$51)</f>
        <v>Product_34</v>
      </c>
      <c r="T620" t="str">
        <f>_xlfn.XLOOKUP(G620,RegionMaster!$A$2:$A$5,RegionMaster!$B$2:$B$5)</f>
        <v>A</v>
      </c>
    </row>
    <row r="621" spans="1:20" ht="15.75" customHeight="1">
      <c r="A621" s="2" t="s">
        <v>1331</v>
      </c>
      <c r="B621" s="2" t="s">
        <v>203</v>
      </c>
      <c r="C621" s="2" t="s">
        <v>39</v>
      </c>
      <c r="D621" s="3">
        <v>45774</v>
      </c>
      <c r="E621" s="4"/>
      <c r="F621" s="3">
        <v>45774</v>
      </c>
      <c r="G621" s="2" t="s">
        <v>45</v>
      </c>
      <c r="H621" s="2" t="s">
        <v>27</v>
      </c>
      <c r="I621" s="2" t="s">
        <v>106</v>
      </c>
      <c r="J621" s="2" t="s">
        <v>133</v>
      </c>
      <c r="K621" s="2">
        <v>3791.65</v>
      </c>
      <c r="L621" s="2" t="str">
        <f t="shared" si="54"/>
        <v>April</v>
      </c>
      <c r="M621" s="2" t="str">
        <f t="shared" si="55"/>
        <v>Cancelled</v>
      </c>
      <c r="N621" t="str">
        <f t="shared" si="56"/>
        <v>Cancelled</v>
      </c>
      <c r="O621" t="str">
        <f t="shared" si="57"/>
        <v>Order Cancelled</v>
      </c>
      <c r="P621" t="str">
        <f t="shared" si="58"/>
        <v>Cancelled</v>
      </c>
      <c r="Q621" t="str">
        <f t="shared" si="59"/>
        <v>Cancelled</v>
      </c>
      <c r="R621" t="str">
        <f>_xlfn.XLOOKUP(B621,CustomerMaster!$A$2:$A$287,CustomerMaster!$B$2:$B$287)</f>
        <v>Customer_91</v>
      </c>
      <c r="S621" t="str">
        <f>_xlfn.XLOOKUP(C621,ProductMaster!$A$2:$A$51,ProductMaster!$B$2:$B$51)</f>
        <v>Product_4</v>
      </c>
      <c r="T621" t="str">
        <f>_xlfn.XLOOKUP(G621,RegionMaster!$A$2:$A$5,RegionMaster!$B$2:$B$5)</f>
        <v>D</v>
      </c>
    </row>
    <row r="622" spans="1:20" ht="15.75" customHeight="1">
      <c r="A622" s="2" t="s">
        <v>1332</v>
      </c>
      <c r="B622" s="2" t="s">
        <v>428</v>
      </c>
      <c r="C622" s="2" t="s">
        <v>43</v>
      </c>
      <c r="D622" s="3">
        <v>45761</v>
      </c>
      <c r="E622" s="4"/>
      <c r="F622" s="3">
        <v>45763</v>
      </c>
      <c r="G622" s="2" t="s">
        <v>17</v>
      </c>
      <c r="H622" s="2" t="s">
        <v>16</v>
      </c>
      <c r="I622" s="2" t="s">
        <v>90</v>
      </c>
      <c r="J622" s="2" t="s">
        <v>133</v>
      </c>
      <c r="K622" s="2">
        <v>1085.7</v>
      </c>
      <c r="L622" s="2" t="str">
        <f t="shared" si="54"/>
        <v>April</v>
      </c>
      <c r="M622" s="2" t="str">
        <f t="shared" si="55"/>
        <v>Cancelled</v>
      </c>
      <c r="N622" t="str">
        <f t="shared" si="56"/>
        <v>Cancelled</v>
      </c>
      <c r="O622" t="str">
        <f t="shared" si="57"/>
        <v>Order Cancelled</v>
      </c>
      <c r="P622" t="str">
        <f t="shared" si="58"/>
        <v>Cancelled</v>
      </c>
      <c r="Q622" t="str">
        <f t="shared" si="59"/>
        <v>Cancelled</v>
      </c>
      <c r="R622" t="str">
        <f>_xlfn.XLOOKUP(B622,CustomerMaster!$A$2:$A$287,CustomerMaster!$B$2:$B$287)</f>
        <v>Customer_117</v>
      </c>
      <c r="S622" t="str">
        <f>_xlfn.XLOOKUP(C622,ProductMaster!$A$2:$A$51,ProductMaster!$B$2:$B$51)</f>
        <v>Product_5</v>
      </c>
      <c r="T622" t="str">
        <f>_xlfn.XLOOKUP(G622,RegionMaster!$A$2:$A$5,RegionMaster!$B$2:$B$5)</f>
        <v>B</v>
      </c>
    </row>
    <row r="623" spans="1:20" ht="15.75" customHeight="1">
      <c r="A623" s="2" t="s">
        <v>1333</v>
      </c>
      <c r="B623" s="2" t="s">
        <v>700</v>
      </c>
      <c r="C623" s="2" t="s">
        <v>210</v>
      </c>
      <c r="D623" s="3">
        <v>45688</v>
      </c>
      <c r="E623" s="4"/>
      <c r="F623" s="3">
        <v>45690</v>
      </c>
      <c r="G623" s="2" t="s">
        <v>7</v>
      </c>
      <c r="H623" s="2" t="s">
        <v>54</v>
      </c>
      <c r="I623" s="2" t="s">
        <v>195</v>
      </c>
      <c r="J623" s="2" t="s">
        <v>107</v>
      </c>
      <c r="K623" s="2">
        <v>1204.8800000000001</v>
      </c>
      <c r="L623" s="2" t="str">
        <f t="shared" si="54"/>
        <v>January</v>
      </c>
      <c r="M623" s="2" t="str">
        <f t="shared" si="55"/>
        <v>Cancelled</v>
      </c>
      <c r="N623" t="str">
        <f t="shared" si="56"/>
        <v>Cancelled</v>
      </c>
      <c r="O623" t="str">
        <f t="shared" si="57"/>
        <v>Order Cancelled</v>
      </c>
      <c r="P623" t="str">
        <f t="shared" si="58"/>
        <v>Cancelled</v>
      </c>
      <c r="Q623" t="str">
        <f t="shared" si="59"/>
        <v>Cancelled</v>
      </c>
      <c r="R623" t="str">
        <f>_xlfn.XLOOKUP(B623,CustomerMaster!$A$2:$A$287,CustomerMaster!$B$2:$B$287)</f>
        <v>Customer_231</v>
      </c>
      <c r="S623" t="str">
        <f>_xlfn.XLOOKUP(C623,ProductMaster!$A$2:$A$51,ProductMaster!$B$2:$B$51)</f>
        <v>Product_48</v>
      </c>
      <c r="T623" t="str">
        <f>_xlfn.XLOOKUP(G623,RegionMaster!$A$2:$A$5,RegionMaster!$B$2:$B$5)</f>
        <v>A</v>
      </c>
    </row>
    <row r="624" spans="1:20" ht="15.75" customHeight="1">
      <c r="A624" s="2" t="s">
        <v>1334</v>
      </c>
      <c r="B624" s="2" t="s">
        <v>99</v>
      </c>
      <c r="C624" s="2" t="s">
        <v>141</v>
      </c>
      <c r="D624" s="3">
        <v>45670</v>
      </c>
      <c r="E624" s="3">
        <v>45673</v>
      </c>
      <c r="F624" s="4"/>
      <c r="G624" s="2" t="s">
        <v>45</v>
      </c>
      <c r="H624" s="2" t="s">
        <v>54</v>
      </c>
      <c r="I624" s="2" t="s">
        <v>195</v>
      </c>
      <c r="J624" s="2" t="s">
        <v>133</v>
      </c>
      <c r="K624" s="2">
        <v>1978.27</v>
      </c>
      <c r="L624" s="2" t="str">
        <f t="shared" si="54"/>
        <v>January</v>
      </c>
      <c r="M624" s="2" t="str">
        <f t="shared" si="55"/>
        <v>January</v>
      </c>
      <c r="N624" t="str">
        <f t="shared" si="56"/>
        <v>Delivered</v>
      </c>
      <c r="O624">
        <f t="shared" si="57"/>
        <v>3</v>
      </c>
      <c r="P624" t="str">
        <f t="shared" si="58"/>
        <v>Completed</v>
      </c>
      <c r="Q624" t="str">
        <f t="shared" si="59"/>
        <v>Slow</v>
      </c>
      <c r="R624" t="str">
        <f>_xlfn.XLOOKUP(B624,CustomerMaster!$A$2:$A$287,CustomerMaster!$B$2:$B$287)</f>
        <v>Customer_140</v>
      </c>
      <c r="S624" t="str">
        <f>_xlfn.XLOOKUP(C624,ProductMaster!$A$2:$A$51,ProductMaster!$B$2:$B$51)</f>
        <v>Product_42</v>
      </c>
      <c r="T624" t="str">
        <f>_xlfn.XLOOKUP(G624,RegionMaster!$A$2:$A$5,RegionMaster!$B$2:$B$5)</f>
        <v>D</v>
      </c>
    </row>
    <row r="625" spans="1:20" ht="15.75" customHeight="1">
      <c r="A625" s="2" t="s">
        <v>1335</v>
      </c>
      <c r="B625" s="2" t="s">
        <v>399</v>
      </c>
      <c r="C625" s="2" t="s">
        <v>141</v>
      </c>
      <c r="D625" s="3">
        <v>45685</v>
      </c>
      <c r="E625" s="4"/>
      <c r="F625" s="3">
        <v>45685</v>
      </c>
      <c r="G625" s="2" t="s">
        <v>17</v>
      </c>
      <c r="H625" s="2" t="s">
        <v>27</v>
      </c>
      <c r="I625" s="2" t="s">
        <v>195</v>
      </c>
      <c r="J625" s="2" t="s">
        <v>107</v>
      </c>
      <c r="K625" s="2">
        <v>2525.71</v>
      </c>
      <c r="L625" s="2" t="str">
        <f t="shared" si="54"/>
        <v>January</v>
      </c>
      <c r="M625" s="2" t="str">
        <f t="shared" si="55"/>
        <v>Cancelled</v>
      </c>
      <c r="N625" t="str">
        <f t="shared" si="56"/>
        <v>Cancelled</v>
      </c>
      <c r="O625" t="str">
        <f t="shared" si="57"/>
        <v>Order Cancelled</v>
      </c>
      <c r="P625" t="str">
        <f t="shared" si="58"/>
        <v>Cancelled</v>
      </c>
      <c r="Q625" t="str">
        <f t="shared" si="59"/>
        <v>Cancelled</v>
      </c>
      <c r="R625" t="str">
        <f>_xlfn.XLOOKUP(B625,CustomerMaster!$A$2:$A$287,CustomerMaster!$B$2:$B$287)</f>
        <v>Customer_104</v>
      </c>
      <c r="S625" t="str">
        <f>_xlfn.XLOOKUP(C625,ProductMaster!$A$2:$A$51,ProductMaster!$B$2:$B$51)</f>
        <v>Product_42</v>
      </c>
      <c r="T625" t="str">
        <f>_xlfn.XLOOKUP(G625,RegionMaster!$A$2:$A$5,RegionMaster!$B$2:$B$5)</f>
        <v>B</v>
      </c>
    </row>
    <row r="626" spans="1:20" ht="15.75" customHeight="1">
      <c r="A626" s="2" t="s">
        <v>1336</v>
      </c>
      <c r="B626" s="2" t="s">
        <v>386</v>
      </c>
      <c r="C626" s="2" t="s">
        <v>122</v>
      </c>
      <c r="D626" s="3">
        <v>45676</v>
      </c>
      <c r="E626" s="3">
        <v>45681</v>
      </c>
      <c r="F626" s="4"/>
      <c r="G626" s="2" t="s">
        <v>45</v>
      </c>
      <c r="H626" s="2" t="s">
        <v>37</v>
      </c>
      <c r="I626" s="2" t="s">
        <v>121</v>
      </c>
      <c r="J626" s="2" t="s">
        <v>107</v>
      </c>
      <c r="K626" s="2">
        <v>3167.62</v>
      </c>
      <c r="L626" s="2" t="str">
        <f t="shared" si="54"/>
        <v>January</v>
      </c>
      <c r="M626" s="2" t="str">
        <f t="shared" si="55"/>
        <v>January</v>
      </c>
      <c r="N626" t="str">
        <f t="shared" si="56"/>
        <v>Delivered</v>
      </c>
      <c r="O626">
        <f t="shared" si="57"/>
        <v>5</v>
      </c>
      <c r="P626" t="str">
        <f t="shared" si="58"/>
        <v>Completed</v>
      </c>
      <c r="Q626" t="str">
        <f t="shared" si="59"/>
        <v>Slow</v>
      </c>
      <c r="R626" t="str">
        <f>_xlfn.XLOOKUP(B626,CustomerMaster!$A$2:$A$287,CustomerMaster!$B$2:$B$287)</f>
        <v>Customer_99</v>
      </c>
      <c r="S626" t="str">
        <f>_xlfn.XLOOKUP(C626,ProductMaster!$A$2:$A$51,ProductMaster!$B$2:$B$51)</f>
        <v>Product_23</v>
      </c>
      <c r="T626" t="str">
        <f>_xlfn.XLOOKUP(G626,RegionMaster!$A$2:$A$5,RegionMaster!$B$2:$B$5)</f>
        <v>D</v>
      </c>
    </row>
    <row r="627" spans="1:20" ht="15.75" customHeight="1">
      <c r="A627" s="2" t="s">
        <v>1337</v>
      </c>
      <c r="B627" s="2" t="s">
        <v>510</v>
      </c>
      <c r="C627" s="2" t="s">
        <v>9</v>
      </c>
      <c r="D627" s="3">
        <v>45778</v>
      </c>
      <c r="E627" s="3">
        <v>45782</v>
      </c>
      <c r="F627" s="4"/>
      <c r="G627" s="2" t="s">
        <v>45</v>
      </c>
      <c r="H627" s="2" t="s">
        <v>37</v>
      </c>
      <c r="I627" s="2" t="s">
        <v>195</v>
      </c>
      <c r="J627" s="2" t="s">
        <v>94</v>
      </c>
      <c r="K627" s="2">
        <v>1970.79</v>
      </c>
      <c r="L627" s="2" t="str">
        <f t="shared" si="54"/>
        <v>May</v>
      </c>
      <c r="M627" s="2" t="str">
        <f t="shared" si="55"/>
        <v>May</v>
      </c>
      <c r="N627" t="str">
        <f t="shared" si="56"/>
        <v>Delivered</v>
      </c>
      <c r="O627">
        <f t="shared" si="57"/>
        <v>4</v>
      </c>
      <c r="P627" t="str">
        <f t="shared" si="58"/>
        <v>Completed</v>
      </c>
      <c r="Q627" t="str">
        <f t="shared" si="59"/>
        <v>Slow</v>
      </c>
      <c r="R627" t="str">
        <f>_xlfn.XLOOKUP(B627,CustomerMaster!$A$2:$A$287,CustomerMaster!$B$2:$B$287)</f>
        <v>Customer_150</v>
      </c>
      <c r="S627" t="str">
        <f>_xlfn.XLOOKUP(C627,ProductMaster!$A$2:$A$51,ProductMaster!$B$2:$B$51)</f>
        <v>Product_0</v>
      </c>
      <c r="T627" t="str">
        <f>_xlfn.XLOOKUP(G627,RegionMaster!$A$2:$A$5,RegionMaster!$B$2:$B$5)</f>
        <v>D</v>
      </c>
    </row>
    <row r="628" spans="1:20" ht="15.75" customHeight="1">
      <c r="A628" s="2" t="s">
        <v>1338</v>
      </c>
      <c r="B628" s="2" t="s">
        <v>351</v>
      </c>
      <c r="C628" s="2" t="s">
        <v>153</v>
      </c>
      <c r="D628" s="3">
        <v>45756</v>
      </c>
      <c r="E628" s="3">
        <v>45762</v>
      </c>
      <c r="F628" s="4"/>
      <c r="G628" s="2" t="s">
        <v>45</v>
      </c>
      <c r="H628" s="2" t="s">
        <v>16</v>
      </c>
      <c r="I628" s="2" t="s">
        <v>106</v>
      </c>
      <c r="J628" s="2" t="s">
        <v>133</v>
      </c>
      <c r="K628" s="2">
        <v>2420.17</v>
      </c>
      <c r="L628" s="2" t="str">
        <f t="shared" si="54"/>
        <v>April</v>
      </c>
      <c r="M628" s="2" t="str">
        <f t="shared" si="55"/>
        <v>April</v>
      </c>
      <c r="N628" t="str">
        <f t="shared" si="56"/>
        <v>Delivered</v>
      </c>
      <c r="O628">
        <f t="shared" si="57"/>
        <v>6</v>
      </c>
      <c r="P628" t="str">
        <f t="shared" si="58"/>
        <v>Completed</v>
      </c>
      <c r="Q628" t="str">
        <f t="shared" si="59"/>
        <v>Slow</v>
      </c>
      <c r="R628" t="str">
        <f>_xlfn.XLOOKUP(B628,CustomerMaster!$A$2:$A$287,CustomerMaster!$B$2:$B$287)</f>
        <v>Customer_83</v>
      </c>
      <c r="S628" t="str">
        <f>_xlfn.XLOOKUP(C628,ProductMaster!$A$2:$A$51,ProductMaster!$B$2:$B$51)</f>
        <v>Product_32</v>
      </c>
      <c r="T628" t="str">
        <f>_xlfn.XLOOKUP(G628,RegionMaster!$A$2:$A$5,RegionMaster!$B$2:$B$5)</f>
        <v>D</v>
      </c>
    </row>
    <row r="629" spans="1:20" ht="15.75" customHeight="1">
      <c r="A629" s="2" t="s">
        <v>1339</v>
      </c>
      <c r="B629" s="2" t="s">
        <v>224</v>
      </c>
      <c r="C629" s="2" t="s">
        <v>102</v>
      </c>
      <c r="D629" s="3">
        <v>45665</v>
      </c>
      <c r="E629" s="4"/>
      <c r="F629" s="3">
        <v>45667</v>
      </c>
      <c r="G629" s="2" t="s">
        <v>45</v>
      </c>
      <c r="H629" s="2" t="s">
        <v>37</v>
      </c>
      <c r="I629" s="2" t="s">
        <v>106</v>
      </c>
      <c r="J629" s="2" t="s">
        <v>94</v>
      </c>
      <c r="K629" s="2">
        <v>3787.86</v>
      </c>
      <c r="L629" s="2" t="str">
        <f t="shared" si="54"/>
        <v>January</v>
      </c>
      <c r="M629" s="2" t="str">
        <f t="shared" si="55"/>
        <v>Cancelled</v>
      </c>
      <c r="N629" t="str">
        <f t="shared" si="56"/>
        <v>Cancelled</v>
      </c>
      <c r="O629" t="str">
        <f t="shared" si="57"/>
        <v>Order Cancelled</v>
      </c>
      <c r="P629" t="str">
        <f t="shared" si="58"/>
        <v>Cancelled</v>
      </c>
      <c r="Q629" t="str">
        <f t="shared" si="59"/>
        <v>Cancelled</v>
      </c>
      <c r="R629" t="str">
        <f>_xlfn.XLOOKUP(B629,CustomerMaster!$A$2:$A$287,CustomerMaster!$B$2:$B$287)</f>
        <v>Customer_31</v>
      </c>
      <c r="S629" t="str">
        <f>_xlfn.XLOOKUP(C629,ProductMaster!$A$2:$A$51,ProductMaster!$B$2:$B$51)</f>
        <v>Product_18</v>
      </c>
      <c r="T629" t="str">
        <f>_xlfn.XLOOKUP(G629,RegionMaster!$A$2:$A$5,RegionMaster!$B$2:$B$5)</f>
        <v>D</v>
      </c>
    </row>
    <row r="630" spans="1:20" ht="15.75" customHeight="1">
      <c r="A630" s="2" t="s">
        <v>1340</v>
      </c>
      <c r="B630" s="2" t="s">
        <v>541</v>
      </c>
      <c r="C630" s="2" t="s">
        <v>32</v>
      </c>
      <c r="D630" s="3">
        <v>45733</v>
      </c>
      <c r="E630" s="4"/>
      <c r="F630" s="3">
        <v>45734</v>
      </c>
      <c r="G630" s="2" t="s">
        <v>22</v>
      </c>
      <c r="H630" s="2" t="s">
        <v>59</v>
      </c>
      <c r="I630" s="2" t="s">
        <v>178</v>
      </c>
      <c r="J630" s="2" t="s">
        <v>94</v>
      </c>
      <c r="K630" s="2">
        <v>376.08</v>
      </c>
      <c r="L630" s="2" t="str">
        <f t="shared" si="54"/>
        <v>March</v>
      </c>
      <c r="M630" s="2" t="str">
        <f t="shared" si="55"/>
        <v>Cancelled</v>
      </c>
      <c r="N630" t="str">
        <f t="shared" si="56"/>
        <v>Cancelled</v>
      </c>
      <c r="O630" t="str">
        <f t="shared" si="57"/>
        <v>Order Cancelled</v>
      </c>
      <c r="P630" t="str">
        <f t="shared" si="58"/>
        <v>Cancelled</v>
      </c>
      <c r="Q630" t="str">
        <f t="shared" si="59"/>
        <v>Cancelled</v>
      </c>
      <c r="R630" t="str">
        <f>_xlfn.XLOOKUP(B630,CustomerMaster!$A$2:$A$287,CustomerMaster!$B$2:$B$287)</f>
        <v>Customer_169</v>
      </c>
      <c r="S630" t="str">
        <f>_xlfn.XLOOKUP(C630,ProductMaster!$A$2:$A$51,ProductMaster!$B$2:$B$51)</f>
        <v>Product_3</v>
      </c>
      <c r="T630" t="str">
        <f>_xlfn.XLOOKUP(G630,RegionMaster!$A$2:$A$5,RegionMaster!$B$2:$B$5)</f>
        <v>C</v>
      </c>
    </row>
    <row r="631" spans="1:20" ht="15.75" customHeight="1">
      <c r="A631" s="2" t="s">
        <v>1341</v>
      </c>
      <c r="B631" s="2" t="s">
        <v>534</v>
      </c>
      <c r="C631" s="2" t="s">
        <v>191</v>
      </c>
      <c r="D631" s="3">
        <v>45734</v>
      </c>
      <c r="E631" s="3">
        <v>45739</v>
      </c>
      <c r="F631" s="4"/>
      <c r="G631" s="2" t="s">
        <v>17</v>
      </c>
      <c r="H631" s="2" t="s">
        <v>37</v>
      </c>
      <c r="I631" s="2" t="s">
        <v>121</v>
      </c>
      <c r="J631" s="2" t="s">
        <v>107</v>
      </c>
      <c r="K631" s="2">
        <v>1411.7</v>
      </c>
      <c r="L631" s="2" t="str">
        <f t="shared" si="54"/>
        <v>March</v>
      </c>
      <c r="M631" s="2" t="str">
        <f t="shared" si="55"/>
        <v>March</v>
      </c>
      <c r="N631" t="str">
        <f t="shared" si="56"/>
        <v>Delivered</v>
      </c>
      <c r="O631">
        <f t="shared" si="57"/>
        <v>5</v>
      </c>
      <c r="P631" t="str">
        <f t="shared" si="58"/>
        <v>Completed</v>
      </c>
      <c r="Q631" t="str">
        <f t="shared" si="59"/>
        <v>Slow</v>
      </c>
      <c r="R631" t="str">
        <f>_xlfn.XLOOKUP(B631,CustomerMaster!$A$2:$A$287,CustomerMaster!$B$2:$B$287)</f>
        <v>Customer_159</v>
      </c>
      <c r="S631" t="str">
        <f>_xlfn.XLOOKUP(C631,ProductMaster!$A$2:$A$51,ProductMaster!$B$2:$B$51)</f>
        <v>Product_43</v>
      </c>
      <c r="T631" t="str">
        <f>_xlfn.XLOOKUP(G631,RegionMaster!$A$2:$A$5,RegionMaster!$B$2:$B$5)</f>
        <v>B</v>
      </c>
    </row>
    <row r="632" spans="1:20" ht="15.75" customHeight="1">
      <c r="A632" s="2" t="s">
        <v>1342</v>
      </c>
      <c r="B632" s="2" t="s">
        <v>139</v>
      </c>
      <c r="C632" s="2" t="s">
        <v>101</v>
      </c>
      <c r="D632" s="3">
        <v>45728</v>
      </c>
      <c r="E632" s="3">
        <v>45734</v>
      </c>
      <c r="F632" s="4"/>
      <c r="G632" s="2" t="s">
        <v>7</v>
      </c>
      <c r="H632" s="2" t="s">
        <v>54</v>
      </c>
      <c r="I632" s="2" t="s">
        <v>195</v>
      </c>
      <c r="J632" s="2" t="s">
        <v>94</v>
      </c>
      <c r="K632" s="2">
        <v>3624.08</v>
      </c>
      <c r="L632" s="2" t="str">
        <f t="shared" si="54"/>
        <v>March</v>
      </c>
      <c r="M632" s="2" t="str">
        <f t="shared" si="55"/>
        <v>March</v>
      </c>
      <c r="N632" t="str">
        <f t="shared" si="56"/>
        <v>Delivered</v>
      </c>
      <c r="O632">
        <f t="shared" si="57"/>
        <v>6</v>
      </c>
      <c r="P632" t="str">
        <f t="shared" si="58"/>
        <v>Completed</v>
      </c>
      <c r="Q632" t="str">
        <f t="shared" si="59"/>
        <v>Slow</v>
      </c>
      <c r="R632" t="str">
        <f>_xlfn.XLOOKUP(B632,CustomerMaster!$A$2:$A$287,CustomerMaster!$B$2:$B$287)</f>
        <v>Customer_232</v>
      </c>
      <c r="S632" t="str">
        <f>_xlfn.XLOOKUP(C632,ProductMaster!$A$2:$A$51,ProductMaster!$B$2:$B$51)</f>
        <v>Product_27</v>
      </c>
      <c r="T632" t="str">
        <f>_xlfn.XLOOKUP(G632,RegionMaster!$A$2:$A$5,RegionMaster!$B$2:$B$5)</f>
        <v>A</v>
      </c>
    </row>
    <row r="633" spans="1:20" ht="15.75" customHeight="1">
      <c r="A633" s="2" t="s">
        <v>1343</v>
      </c>
      <c r="B633" s="2" t="s">
        <v>155</v>
      </c>
      <c r="C633" s="2" t="s">
        <v>213</v>
      </c>
      <c r="D633" s="3">
        <v>45773</v>
      </c>
      <c r="E633" s="3">
        <v>45775</v>
      </c>
      <c r="F633" s="4"/>
      <c r="G633" s="2" t="s">
        <v>22</v>
      </c>
      <c r="H633" s="2" t="s">
        <v>37</v>
      </c>
      <c r="I633" s="2" t="s">
        <v>178</v>
      </c>
      <c r="J633" s="2" t="s">
        <v>94</v>
      </c>
      <c r="K633" s="2">
        <v>4496.99</v>
      </c>
      <c r="L633" s="2" t="str">
        <f t="shared" si="54"/>
        <v>April</v>
      </c>
      <c r="M633" s="2" t="str">
        <f t="shared" si="55"/>
        <v>April</v>
      </c>
      <c r="N633" t="str">
        <f t="shared" si="56"/>
        <v>Delivered</v>
      </c>
      <c r="O633">
        <f t="shared" si="57"/>
        <v>2</v>
      </c>
      <c r="P633" t="str">
        <f t="shared" si="58"/>
        <v>Completed</v>
      </c>
      <c r="Q633" t="str">
        <f t="shared" si="59"/>
        <v>Fast</v>
      </c>
      <c r="R633" t="str">
        <f>_xlfn.XLOOKUP(B633,CustomerMaster!$A$2:$A$287,CustomerMaster!$B$2:$B$287)</f>
        <v>Customer_265</v>
      </c>
      <c r="S633" t="str">
        <f>_xlfn.XLOOKUP(C633,ProductMaster!$A$2:$A$51,ProductMaster!$B$2:$B$51)</f>
        <v>Product_49</v>
      </c>
      <c r="T633" t="str">
        <f>_xlfn.XLOOKUP(G633,RegionMaster!$A$2:$A$5,RegionMaster!$B$2:$B$5)</f>
        <v>C</v>
      </c>
    </row>
    <row r="634" spans="1:20" ht="15.75" customHeight="1">
      <c r="A634" s="2" t="s">
        <v>1344</v>
      </c>
      <c r="B634" s="2" t="s">
        <v>203</v>
      </c>
      <c r="C634" s="2" t="s">
        <v>69</v>
      </c>
      <c r="D634" s="3">
        <v>45700</v>
      </c>
      <c r="E634" s="3">
        <v>45701</v>
      </c>
      <c r="F634" s="4"/>
      <c r="G634" s="2" t="s">
        <v>22</v>
      </c>
      <c r="H634" s="2" t="s">
        <v>27</v>
      </c>
      <c r="I634" s="2" t="s">
        <v>121</v>
      </c>
      <c r="J634" s="2" t="s">
        <v>133</v>
      </c>
      <c r="K634" s="2">
        <v>2656.05</v>
      </c>
      <c r="L634" s="2" t="str">
        <f t="shared" si="54"/>
        <v>February</v>
      </c>
      <c r="M634" s="2" t="str">
        <f t="shared" si="55"/>
        <v>February</v>
      </c>
      <c r="N634" t="str">
        <f t="shared" si="56"/>
        <v>Delivered</v>
      </c>
      <c r="O634">
        <f t="shared" si="57"/>
        <v>1</v>
      </c>
      <c r="P634" t="str">
        <f t="shared" si="58"/>
        <v>Completed</v>
      </c>
      <c r="Q634" t="str">
        <f t="shared" si="59"/>
        <v>Fast</v>
      </c>
      <c r="R634" t="str">
        <f>_xlfn.XLOOKUP(B634,CustomerMaster!$A$2:$A$287,CustomerMaster!$B$2:$B$287)</f>
        <v>Customer_91</v>
      </c>
      <c r="S634" t="str">
        <f>_xlfn.XLOOKUP(C634,ProductMaster!$A$2:$A$51,ProductMaster!$B$2:$B$51)</f>
        <v>Product_9</v>
      </c>
      <c r="T634" t="str">
        <f>_xlfn.XLOOKUP(G634,RegionMaster!$A$2:$A$5,RegionMaster!$B$2:$B$5)</f>
        <v>C</v>
      </c>
    </row>
    <row r="635" spans="1:20" ht="15.75" customHeight="1">
      <c r="A635" s="2" t="s">
        <v>1345</v>
      </c>
      <c r="B635" s="2" t="s">
        <v>417</v>
      </c>
      <c r="C635" s="2" t="s">
        <v>72</v>
      </c>
      <c r="D635" s="3">
        <v>45763</v>
      </c>
      <c r="E635" s="4"/>
      <c r="F635" s="3">
        <v>45765</v>
      </c>
      <c r="G635" s="2" t="s">
        <v>7</v>
      </c>
      <c r="H635" s="2" t="s">
        <v>27</v>
      </c>
      <c r="I635" s="2" t="s">
        <v>106</v>
      </c>
      <c r="J635" s="2" t="s">
        <v>94</v>
      </c>
      <c r="K635" s="2">
        <v>2754.14</v>
      </c>
      <c r="L635" s="2" t="str">
        <f t="shared" si="54"/>
        <v>April</v>
      </c>
      <c r="M635" s="2" t="str">
        <f t="shared" si="55"/>
        <v>Cancelled</v>
      </c>
      <c r="N635" t="str">
        <f t="shared" si="56"/>
        <v>Cancelled</v>
      </c>
      <c r="O635" t="str">
        <f t="shared" si="57"/>
        <v>Order Cancelled</v>
      </c>
      <c r="P635" t="str">
        <f t="shared" si="58"/>
        <v>Cancelled</v>
      </c>
      <c r="Q635" t="str">
        <f t="shared" si="59"/>
        <v>Cancelled</v>
      </c>
      <c r="R635" t="str">
        <f>_xlfn.XLOOKUP(B635,CustomerMaster!$A$2:$A$287,CustomerMaster!$B$2:$B$287)</f>
        <v>Customer_112</v>
      </c>
      <c r="S635" t="str">
        <f>_xlfn.XLOOKUP(C635,ProductMaster!$A$2:$A$51,ProductMaster!$B$2:$B$51)</f>
        <v>Product_10</v>
      </c>
      <c r="T635" t="str">
        <f>_xlfn.XLOOKUP(G635,RegionMaster!$A$2:$A$5,RegionMaster!$B$2:$B$5)</f>
        <v>A</v>
      </c>
    </row>
    <row r="636" spans="1:20" ht="15.75" customHeight="1">
      <c r="A636" s="2" t="s">
        <v>1346</v>
      </c>
      <c r="B636" s="2" t="s">
        <v>313</v>
      </c>
      <c r="C636" s="2" t="s">
        <v>69</v>
      </c>
      <c r="D636" s="3">
        <v>45756</v>
      </c>
      <c r="E636" s="3">
        <v>45758</v>
      </c>
      <c r="F636" s="4"/>
      <c r="G636" s="2" t="s">
        <v>17</v>
      </c>
      <c r="H636" s="2" t="s">
        <v>16</v>
      </c>
      <c r="I636" s="2" t="s">
        <v>195</v>
      </c>
      <c r="J636" s="2" t="s">
        <v>107</v>
      </c>
      <c r="K636" s="2">
        <v>714.43</v>
      </c>
      <c r="L636" s="2" t="str">
        <f t="shared" si="54"/>
        <v>April</v>
      </c>
      <c r="M636" s="2" t="str">
        <f t="shared" si="55"/>
        <v>April</v>
      </c>
      <c r="N636" t="str">
        <f t="shared" si="56"/>
        <v>Delivered</v>
      </c>
      <c r="O636">
        <f t="shared" si="57"/>
        <v>2</v>
      </c>
      <c r="P636" t="str">
        <f t="shared" si="58"/>
        <v>Completed</v>
      </c>
      <c r="Q636" t="str">
        <f t="shared" si="59"/>
        <v>Fast</v>
      </c>
      <c r="R636" t="str">
        <f>_xlfn.XLOOKUP(B636,CustomerMaster!$A$2:$A$287,CustomerMaster!$B$2:$B$287)</f>
        <v>Customer_66</v>
      </c>
      <c r="S636" t="str">
        <f>_xlfn.XLOOKUP(C636,ProductMaster!$A$2:$A$51,ProductMaster!$B$2:$B$51)</f>
        <v>Product_9</v>
      </c>
      <c r="T636" t="str">
        <f>_xlfn.XLOOKUP(G636,RegionMaster!$A$2:$A$5,RegionMaster!$B$2:$B$5)</f>
        <v>B</v>
      </c>
    </row>
    <row r="637" spans="1:20" ht="15.75" customHeight="1">
      <c r="A637" s="2" t="s">
        <v>1347</v>
      </c>
      <c r="B637" s="2" t="s">
        <v>407</v>
      </c>
      <c r="C637" s="2" t="s">
        <v>68</v>
      </c>
      <c r="D637" s="3">
        <v>45687</v>
      </c>
      <c r="E637" s="4"/>
      <c r="F637" s="3">
        <v>45688</v>
      </c>
      <c r="G637" s="2" t="s">
        <v>7</v>
      </c>
      <c r="H637" s="2" t="s">
        <v>37</v>
      </c>
      <c r="I637" s="2" t="s">
        <v>90</v>
      </c>
      <c r="J637" s="2" t="s">
        <v>133</v>
      </c>
      <c r="K637" s="2">
        <v>2347.58</v>
      </c>
      <c r="L637" s="2" t="str">
        <f t="shared" si="54"/>
        <v>January</v>
      </c>
      <c r="M637" s="2" t="str">
        <f t="shared" si="55"/>
        <v>Cancelled</v>
      </c>
      <c r="N637" t="str">
        <f t="shared" si="56"/>
        <v>Cancelled</v>
      </c>
      <c r="O637" t="str">
        <f t="shared" si="57"/>
        <v>Order Cancelled</v>
      </c>
      <c r="P637" t="str">
        <f t="shared" si="58"/>
        <v>Cancelled</v>
      </c>
      <c r="Q637" t="str">
        <f t="shared" si="59"/>
        <v>Cancelled</v>
      </c>
      <c r="R637" t="str">
        <f>_xlfn.XLOOKUP(B637,CustomerMaster!$A$2:$A$287,CustomerMaster!$B$2:$B$287)</f>
        <v>Customer_215</v>
      </c>
      <c r="S637" t="str">
        <f>_xlfn.XLOOKUP(C637,ProductMaster!$A$2:$A$51,ProductMaster!$B$2:$B$51)</f>
        <v>Product_13</v>
      </c>
      <c r="T637" t="str">
        <f>_xlfn.XLOOKUP(G637,RegionMaster!$A$2:$A$5,RegionMaster!$B$2:$B$5)</f>
        <v>A</v>
      </c>
    </row>
    <row r="638" spans="1:20" ht="15.75" customHeight="1">
      <c r="A638" s="2" t="s">
        <v>1348</v>
      </c>
      <c r="B638" s="2" t="s">
        <v>408</v>
      </c>
      <c r="C638" s="2" t="s">
        <v>63</v>
      </c>
      <c r="D638" s="3">
        <v>45679</v>
      </c>
      <c r="E638" s="3">
        <v>45685</v>
      </c>
      <c r="F638" s="4"/>
      <c r="G638" s="2" t="s">
        <v>7</v>
      </c>
      <c r="H638" s="2" t="s">
        <v>59</v>
      </c>
      <c r="I638" s="2" t="s">
        <v>90</v>
      </c>
      <c r="J638" s="2" t="s">
        <v>133</v>
      </c>
      <c r="K638" s="2">
        <v>2756.56</v>
      </c>
      <c r="L638" s="2" t="str">
        <f t="shared" si="54"/>
        <v>January</v>
      </c>
      <c r="M638" s="2" t="str">
        <f t="shared" si="55"/>
        <v>January</v>
      </c>
      <c r="N638" t="str">
        <f t="shared" si="56"/>
        <v>Delivered</v>
      </c>
      <c r="O638">
        <f t="shared" si="57"/>
        <v>6</v>
      </c>
      <c r="P638" t="str">
        <f t="shared" si="58"/>
        <v>Completed</v>
      </c>
      <c r="Q638" t="str">
        <f t="shared" si="59"/>
        <v>Slow</v>
      </c>
      <c r="R638" t="str">
        <f>_xlfn.XLOOKUP(B638,CustomerMaster!$A$2:$A$287,CustomerMaster!$B$2:$B$287)</f>
        <v>Customer_108</v>
      </c>
      <c r="S638" t="str">
        <f>_xlfn.XLOOKUP(C638,ProductMaster!$A$2:$A$51,ProductMaster!$B$2:$B$51)</f>
        <v>Product_8</v>
      </c>
      <c r="T638" t="str">
        <f>_xlfn.XLOOKUP(G638,RegionMaster!$A$2:$A$5,RegionMaster!$B$2:$B$5)</f>
        <v>A</v>
      </c>
    </row>
    <row r="639" spans="1:20" ht="15.75" customHeight="1">
      <c r="A639" s="2" t="s">
        <v>1349</v>
      </c>
      <c r="B639" s="2" t="s">
        <v>31</v>
      </c>
      <c r="C639" s="2" t="s">
        <v>157</v>
      </c>
      <c r="D639" s="3">
        <v>45668</v>
      </c>
      <c r="E639" s="3">
        <v>45671</v>
      </c>
      <c r="F639" s="4"/>
      <c r="G639" s="2" t="s">
        <v>17</v>
      </c>
      <c r="H639" s="2" t="s">
        <v>59</v>
      </c>
      <c r="I639" s="2" t="s">
        <v>195</v>
      </c>
      <c r="J639" s="2" t="s">
        <v>133</v>
      </c>
      <c r="K639" s="2">
        <v>1363.86</v>
      </c>
      <c r="L639" s="2" t="str">
        <f t="shared" si="54"/>
        <v>January</v>
      </c>
      <c r="M639" s="2" t="str">
        <f t="shared" si="55"/>
        <v>January</v>
      </c>
      <c r="N639" t="str">
        <f t="shared" si="56"/>
        <v>Delivered</v>
      </c>
      <c r="O639">
        <f t="shared" si="57"/>
        <v>3</v>
      </c>
      <c r="P639" t="str">
        <f t="shared" si="58"/>
        <v>Completed</v>
      </c>
      <c r="Q639" t="str">
        <f t="shared" si="59"/>
        <v>Slow</v>
      </c>
      <c r="R639" t="str">
        <f>_xlfn.XLOOKUP(B639,CustomerMaster!$A$2:$A$287,CustomerMaster!$B$2:$B$287)</f>
        <v>Customer_2</v>
      </c>
      <c r="S639" t="str">
        <f>_xlfn.XLOOKUP(C639,ProductMaster!$A$2:$A$51,ProductMaster!$B$2:$B$51)</f>
        <v>Product_33</v>
      </c>
      <c r="T639" t="str">
        <f>_xlfn.XLOOKUP(G639,RegionMaster!$A$2:$A$5,RegionMaster!$B$2:$B$5)</f>
        <v>B</v>
      </c>
    </row>
    <row r="640" spans="1:20" ht="15.75" customHeight="1">
      <c r="A640" s="2" t="s">
        <v>1350</v>
      </c>
      <c r="B640" s="2" t="s">
        <v>89</v>
      </c>
      <c r="C640" s="2" t="s">
        <v>39</v>
      </c>
      <c r="D640" s="3">
        <v>45725</v>
      </c>
      <c r="E640" s="4"/>
      <c r="F640" s="3">
        <v>45726</v>
      </c>
      <c r="G640" s="2" t="s">
        <v>45</v>
      </c>
      <c r="H640" s="2" t="s">
        <v>37</v>
      </c>
      <c r="I640" s="2" t="s">
        <v>90</v>
      </c>
      <c r="J640" s="2" t="s">
        <v>133</v>
      </c>
      <c r="K640" s="2">
        <v>1492.37</v>
      </c>
      <c r="L640" s="2" t="str">
        <f t="shared" si="54"/>
        <v>March</v>
      </c>
      <c r="M640" s="2" t="str">
        <f t="shared" si="55"/>
        <v>Cancelled</v>
      </c>
      <c r="N640" t="str">
        <f t="shared" si="56"/>
        <v>Cancelled</v>
      </c>
      <c r="O640" t="str">
        <f t="shared" si="57"/>
        <v>Order Cancelled</v>
      </c>
      <c r="P640" t="str">
        <f t="shared" si="58"/>
        <v>Cancelled</v>
      </c>
      <c r="Q640" t="str">
        <f t="shared" si="59"/>
        <v>Cancelled</v>
      </c>
      <c r="R640" t="str">
        <f>_xlfn.XLOOKUP(B640,CustomerMaster!$A$2:$A$287,CustomerMaster!$B$2:$B$287)</f>
        <v>Customer_12</v>
      </c>
      <c r="S640" t="str">
        <f>_xlfn.XLOOKUP(C640,ProductMaster!$A$2:$A$51,ProductMaster!$B$2:$B$51)</f>
        <v>Product_4</v>
      </c>
      <c r="T640" t="str">
        <f>_xlfn.XLOOKUP(G640,RegionMaster!$A$2:$A$5,RegionMaster!$B$2:$B$5)</f>
        <v>D</v>
      </c>
    </row>
    <row r="641" spans="1:20" ht="15.75" customHeight="1">
      <c r="A641" s="2" t="s">
        <v>1351</v>
      </c>
      <c r="B641" s="2" t="s">
        <v>792</v>
      </c>
      <c r="C641" s="2" t="s">
        <v>168</v>
      </c>
      <c r="D641" s="3">
        <v>45730</v>
      </c>
      <c r="E641" s="4"/>
      <c r="F641" s="3">
        <v>45731</v>
      </c>
      <c r="G641" s="2" t="s">
        <v>22</v>
      </c>
      <c r="H641" s="2" t="s">
        <v>37</v>
      </c>
      <c r="I641" s="2" t="s">
        <v>106</v>
      </c>
      <c r="J641" s="2" t="s">
        <v>107</v>
      </c>
      <c r="K641" s="2">
        <v>2010.96</v>
      </c>
      <c r="L641" s="2" t="str">
        <f t="shared" si="54"/>
        <v>March</v>
      </c>
      <c r="M641" s="2" t="str">
        <f t="shared" si="55"/>
        <v>Cancelled</v>
      </c>
      <c r="N641" t="str">
        <f t="shared" si="56"/>
        <v>Cancelled</v>
      </c>
      <c r="O641" t="str">
        <f t="shared" si="57"/>
        <v>Order Cancelled</v>
      </c>
      <c r="P641" t="str">
        <f t="shared" si="58"/>
        <v>Cancelled</v>
      </c>
      <c r="Q641" t="str">
        <f t="shared" si="59"/>
        <v>Cancelled</v>
      </c>
      <c r="R641" t="str">
        <f>_xlfn.XLOOKUP(B641,CustomerMaster!$A$2:$A$287,CustomerMaster!$B$2:$B$287)</f>
        <v>Customer_279</v>
      </c>
      <c r="S641" t="str">
        <f>_xlfn.XLOOKUP(C641,ProductMaster!$A$2:$A$51,ProductMaster!$B$2:$B$51)</f>
        <v>Product_37</v>
      </c>
      <c r="T641" t="str">
        <f>_xlfn.XLOOKUP(G641,RegionMaster!$A$2:$A$5,RegionMaster!$B$2:$B$5)</f>
        <v>C</v>
      </c>
    </row>
    <row r="642" spans="1:20" ht="15.75" customHeight="1">
      <c r="A642" s="2" t="s">
        <v>1352</v>
      </c>
      <c r="B642" s="2" t="s">
        <v>423</v>
      </c>
      <c r="C642" s="2" t="s">
        <v>164</v>
      </c>
      <c r="D642" s="3">
        <v>45661</v>
      </c>
      <c r="E642" s="3">
        <v>45665</v>
      </c>
      <c r="F642" s="4"/>
      <c r="G642" s="2" t="s">
        <v>7</v>
      </c>
      <c r="H642" s="2" t="s">
        <v>16</v>
      </c>
      <c r="I642" s="2" t="s">
        <v>121</v>
      </c>
      <c r="J642" s="2" t="s">
        <v>107</v>
      </c>
      <c r="K642" s="2">
        <v>296.33999999999997</v>
      </c>
      <c r="L642" s="2" t="str">
        <f t="shared" si="54"/>
        <v>January</v>
      </c>
      <c r="M642" s="2" t="str">
        <f t="shared" si="55"/>
        <v>January</v>
      </c>
      <c r="N642" t="str">
        <f t="shared" si="56"/>
        <v>Delivered</v>
      </c>
      <c r="O642">
        <f t="shared" si="57"/>
        <v>4</v>
      </c>
      <c r="P642" t="str">
        <f t="shared" si="58"/>
        <v>Completed</v>
      </c>
      <c r="Q642" t="str">
        <f t="shared" si="59"/>
        <v>Slow</v>
      </c>
      <c r="R642" t="str">
        <f>_xlfn.XLOOKUP(B642,CustomerMaster!$A$2:$A$287,CustomerMaster!$B$2:$B$287)</f>
        <v>Customer_115</v>
      </c>
      <c r="S642" t="str">
        <f>_xlfn.XLOOKUP(C642,ProductMaster!$A$2:$A$51,ProductMaster!$B$2:$B$51)</f>
        <v>Product_36</v>
      </c>
      <c r="T642" t="str">
        <f>_xlfn.XLOOKUP(G642,RegionMaster!$A$2:$A$5,RegionMaster!$B$2:$B$5)</f>
        <v>A</v>
      </c>
    </row>
    <row r="643" spans="1:20" ht="15.75" customHeight="1">
      <c r="A643" s="2" t="s">
        <v>1353</v>
      </c>
      <c r="B643" s="2" t="s">
        <v>262</v>
      </c>
      <c r="C643" s="2" t="s">
        <v>172</v>
      </c>
      <c r="D643" s="3">
        <v>45765</v>
      </c>
      <c r="E643" s="3">
        <v>45770</v>
      </c>
      <c r="F643" s="4"/>
      <c r="G643" s="2" t="s">
        <v>7</v>
      </c>
      <c r="H643" s="2" t="s">
        <v>16</v>
      </c>
      <c r="I643" s="2" t="s">
        <v>121</v>
      </c>
      <c r="J643" s="2" t="s">
        <v>94</v>
      </c>
      <c r="K643" s="2">
        <v>1745.98</v>
      </c>
      <c r="L643" s="2" t="str">
        <f t="shared" ref="L643:L706" si="60">TEXT(D643,"MMMM")</f>
        <v>April</v>
      </c>
      <c r="M643" s="2" t="str">
        <f t="shared" ref="M643:M706" si="61">IF(NOT(ISBLANK(E643)),TEXT(E643,"MMMM"),"Cancelled")</f>
        <v>April</v>
      </c>
      <c r="N643" t="str">
        <f t="shared" ref="N643:N706" si="62">IF(F643="","Delivered","Cancelled")</f>
        <v>Delivered</v>
      </c>
      <c r="O643">
        <f t="shared" ref="O643:O706" si="63">IF(E643="","Order Cancelled",_xlfn.DAYS(E643,D643))</f>
        <v>5</v>
      </c>
      <c r="P643" t="str">
        <f t="shared" ref="P643:P706" si="64">IF(F643="","Completed","Cancelled")</f>
        <v>Completed</v>
      </c>
      <c r="Q643" t="str">
        <f t="shared" ref="Q643:Q706" si="65">IF(O643="Order Cancelled","Cancelled",IF(O643&lt;=2,"Fast","Slow"))</f>
        <v>Slow</v>
      </c>
      <c r="R643" t="str">
        <f>_xlfn.XLOOKUP(B643,CustomerMaster!$A$2:$A$287,CustomerMaster!$B$2:$B$287)</f>
        <v>Customer_46</v>
      </c>
      <c r="S643" t="str">
        <f>_xlfn.XLOOKUP(C643,ProductMaster!$A$2:$A$51,ProductMaster!$B$2:$B$51)</f>
        <v>Product_39</v>
      </c>
      <c r="T643" t="str">
        <f>_xlfn.XLOOKUP(G643,RegionMaster!$A$2:$A$5,RegionMaster!$B$2:$B$5)</f>
        <v>A</v>
      </c>
    </row>
    <row r="644" spans="1:20" ht="15.75" customHeight="1">
      <c r="A644" s="2" t="s">
        <v>1354</v>
      </c>
      <c r="B644" s="2" t="s">
        <v>462</v>
      </c>
      <c r="C644" s="2" t="s">
        <v>153</v>
      </c>
      <c r="D644" s="3">
        <v>45731</v>
      </c>
      <c r="E644" s="3">
        <v>45734</v>
      </c>
      <c r="F644" s="4"/>
      <c r="G644" s="2" t="s">
        <v>45</v>
      </c>
      <c r="H644" s="2" t="s">
        <v>59</v>
      </c>
      <c r="I644" s="2" t="s">
        <v>195</v>
      </c>
      <c r="J644" s="2" t="s">
        <v>133</v>
      </c>
      <c r="K644" s="2">
        <v>1214.95</v>
      </c>
      <c r="L644" s="2" t="str">
        <f t="shared" si="60"/>
        <v>March</v>
      </c>
      <c r="M644" s="2" t="str">
        <f t="shared" si="61"/>
        <v>March</v>
      </c>
      <c r="N644" t="str">
        <f t="shared" si="62"/>
        <v>Delivered</v>
      </c>
      <c r="O644">
        <f t="shared" si="63"/>
        <v>3</v>
      </c>
      <c r="P644" t="str">
        <f t="shared" si="64"/>
        <v>Completed</v>
      </c>
      <c r="Q644" t="str">
        <f t="shared" si="65"/>
        <v>Slow</v>
      </c>
      <c r="R644" t="str">
        <f>_xlfn.XLOOKUP(B644,CustomerMaster!$A$2:$A$287,CustomerMaster!$B$2:$B$287)</f>
        <v>Customer_130</v>
      </c>
      <c r="S644" t="str">
        <f>_xlfn.XLOOKUP(C644,ProductMaster!$A$2:$A$51,ProductMaster!$B$2:$B$51)</f>
        <v>Product_32</v>
      </c>
      <c r="T644" t="str">
        <f>_xlfn.XLOOKUP(G644,RegionMaster!$A$2:$A$5,RegionMaster!$B$2:$B$5)</f>
        <v>D</v>
      </c>
    </row>
    <row r="645" spans="1:20" ht="15.75" customHeight="1">
      <c r="A645" s="2" t="s">
        <v>1355</v>
      </c>
      <c r="B645" s="2" t="s">
        <v>670</v>
      </c>
      <c r="C645" s="2" t="s">
        <v>91</v>
      </c>
      <c r="D645" s="3">
        <v>45774</v>
      </c>
      <c r="E645" s="4"/>
      <c r="F645" s="3">
        <v>45774</v>
      </c>
      <c r="G645" s="2" t="s">
        <v>17</v>
      </c>
      <c r="H645" s="2" t="s">
        <v>37</v>
      </c>
      <c r="I645" s="2" t="s">
        <v>121</v>
      </c>
      <c r="J645" s="2" t="s">
        <v>133</v>
      </c>
      <c r="K645" s="2">
        <v>1771.99</v>
      </c>
      <c r="L645" s="2" t="str">
        <f t="shared" si="60"/>
        <v>April</v>
      </c>
      <c r="M645" s="2" t="str">
        <f t="shared" si="61"/>
        <v>Cancelled</v>
      </c>
      <c r="N645" t="str">
        <f t="shared" si="62"/>
        <v>Cancelled</v>
      </c>
      <c r="O645" t="str">
        <f t="shared" si="63"/>
        <v>Order Cancelled</v>
      </c>
      <c r="P645" t="str">
        <f t="shared" si="64"/>
        <v>Cancelled</v>
      </c>
      <c r="Q645" t="str">
        <f t="shared" si="65"/>
        <v>Cancelled</v>
      </c>
      <c r="R645" t="str">
        <f>_xlfn.XLOOKUP(B645,CustomerMaster!$A$2:$A$287,CustomerMaster!$B$2:$B$287)</f>
        <v>Customer_217</v>
      </c>
      <c r="S645" t="str">
        <f>_xlfn.XLOOKUP(C645,ProductMaster!$A$2:$A$51,ProductMaster!$B$2:$B$51)</f>
        <v>Product_16</v>
      </c>
      <c r="T645" t="str">
        <f>_xlfn.XLOOKUP(G645,RegionMaster!$A$2:$A$5,RegionMaster!$B$2:$B$5)</f>
        <v>B</v>
      </c>
    </row>
    <row r="646" spans="1:20" ht="15.75" customHeight="1">
      <c r="A646" s="2" t="s">
        <v>1356</v>
      </c>
      <c r="B646" s="2" t="s">
        <v>739</v>
      </c>
      <c r="C646" s="2" t="s">
        <v>141</v>
      </c>
      <c r="D646" s="3">
        <v>45690</v>
      </c>
      <c r="E646" s="3">
        <v>45695</v>
      </c>
      <c r="F646" s="4"/>
      <c r="G646" s="2" t="s">
        <v>7</v>
      </c>
      <c r="H646" s="2" t="s">
        <v>27</v>
      </c>
      <c r="I646" s="2" t="s">
        <v>178</v>
      </c>
      <c r="J646" s="2" t="s">
        <v>94</v>
      </c>
      <c r="K646" s="2">
        <v>774.86</v>
      </c>
      <c r="L646" s="2" t="str">
        <f t="shared" si="60"/>
        <v>February</v>
      </c>
      <c r="M646" s="2" t="str">
        <f t="shared" si="61"/>
        <v>February</v>
      </c>
      <c r="N646" t="str">
        <f t="shared" si="62"/>
        <v>Delivered</v>
      </c>
      <c r="O646">
        <f t="shared" si="63"/>
        <v>5</v>
      </c>
      <c r="P646" t="str">
        <f t="shared" si="64"/>
        <v>Completed</v>
      </c>
      <c r="Q646" t="str">
        <f t="shared" si="65"/>
        <v>Slow</v>
      </c>
      <c r="R646" t="str">
        <f>_xlfn.XLOOKUP(B646,CustomerMaster!$A$2:$A$287,CustomerMaster!$B$2:$B$287)</f>
        <v>Customer_249</v>
      </c>
      <c r="S646" t="str">
        <f>_xlfn.XLOOKUP(C646,ProductMaster!$A$2:$A$51,ProductMaster!$B$2:$B$51)</f>
        <v>Product_42</v>
      </c>
      <c r="T646" t="str">
        <f>_xlfn.XLOOKUP(G646,RegionMaster!$A$2:$A$5,RegionMaster!$B$2:$B$5)</f>
        <v>A</v>
      </c>
    </row>
    <row r="647" spans="1:20" ht="15.75" customHeight="1">
      <c r="A647" s="2" t="s">
        <v>1357</v>
      </c>
      <c r="B647" s="2" t="s">
        <v>294</v>
      </c>
      <c r="C647" s="2" t="s">
        <v>114</v>
      </c>
      <c r="D647" s="3">
        <v>45707</v>
      </c>
      <c r="E647" s="3">
        <v>45711</v>
      </c>
      <c r="F647" s="4"/>
      <c r="G647" s="2" t="s">
        <v>17</v>
      </c>
      <c r="H647" s="2" t="s">
        <v>16</v>
      </c>
      <c r="I647" s="2" t="s">
        <v>121</v>
      </c>
      <c r="J647" s="2" t="s">
        <v>94</v>
      </c>
      <c r="K647" s="2">
        <v>4474.53</v>
      </c>
      <c r="L647" s="2" t="str">
        <f t="shared" si="60"/>
        <v>February</v>
      </c>
      <c r="M647" s="2" t="str">
        <f t="shared" si="61"/>
        <v>February</v>
      </c>
      <c r="N647" t="str">
        <f t="shared" si="62"/>
        <v>Delivered</v>
      </c>
      <c r="O647">
        <f t="shared" si="63"/>
        <v>4</v>
      </c>
      <c r="P647" t="str">
        <f t="shared" si="64"/>
        <v>Completed</v>
      </c>
      <c r="Q647" t="str">
        <f t="shared" si="65"/>
        <v>Slow</v>
      </c>
      <c r="R647" t="str">
        <f>_xlfn.XLOOKUP(B647,CustomerMaster!$A$2:$A$287,CustomerMaster!$B$2:$B$287)</f>
        <v>Customer_58</v>
      </c>
      <c r="S647" t="str">
        <f>_xlfn.XLOOKUP(C647,ProductMaster!$A$2:$A$51,ProductMaster!$B$2:$B$51)</f>
        <v>Product_21</v>
      </c>
      <c r="T647" t="str">
        <f>_xlfn.XLOOKUP(G647,RegionMaster!$A$2:$A$5,RegionMaster!$B$2:$B$5)</f>
        <v>B</v>
      </c>
    </row>
    <row r="648" spans="1:20" ht="15.75" customHeight="1">
      <c r="A648" s="2" t="s">
        <v>1358</v>
      </c>
      <c r="B648" s="2" t="s">
        <v>338</v>
      </c>
      <c r="C648" s="2" t="s">
        <v>87</v>
      </c>
      <c r="D648" s="3">
        <v>45712</v>
      </c>
      <c r="E648" s="3">
        <v>45716</v>
      </c>
      <c r="F648" s="4"/>
      <c r="G648" s="2" t="s">
        <v>45</v>
      </c>
      <c r="H648" s="2" t="s">
        <v>37</v>
      </c>
      <c r="I648" s="2" t="s">
        <v>90</v>
      </c>
      <c r="J648" s="2" t="s">
        <v>107</v>
      </c>
      <c r="K648" s="2">
        <v>3049.24</v>
      </c>
      <c r="L648" s="2" t="str">
        <f t="shared" si="60"/>
        <v>February</v>
      </c>
      <c r="M648" s="2" t="str">
        <f t="shared" si="61"/>
        <v>February</v>
      </c>
      <c r="N648" t="str">
        <f t="shared" si="62"/>
        <v>Delivered</v>
      </c>
      <c r="O648">
        <f t="shared" si="63"/>
        <v>4</v>
      </c>
      <c r="P648" t="str">
        <f t="shared" si="64"/>
        <v>Completed</v>
      </c>
      <c r="Q648" t="str">
        <f t="shared" si="65"/>
        <v>Slow</v>
      </c>
      <c r="R648" t="str">
        <f>_xlfn.XLOOKUP(B648,CustomerMaster!$A$2:$A$287,CustomerMaster!$B$2:$B$287)</f>
        <v>Customer_77</v>
      </c>
      <c r="S648" t="str">
        <f>_xlfn.XLOOKUP(C648,ProductMaster!$A$2:$A$51,ProductMaster!$B$2:$B$51)</f>
        <v>Product_15</v>
      </c>
      <c r="T648" t="str">
        <f>_xlfn.XLOOKUP(G648,RegionMaster!$A$2:$A$5,RegionMaster!$B$2:$B$5)</f>
        <v>D</v>
      </c>
    </row>
    <row r="649" spans="1:20" ht="15.75" customHeight="1">
      <c r="A649" s="2" t="s">
        <v>1359</v>
      </c>
      <c r="B649" s="2" t="s">
        <v>629</v>
      </c>
      <c r="C649" s="2" t="s">
        <v>183</v>
      </c>
      <c r="D649" s="3">
        <v>45680</v>
      </c>
      <c r="E649" s="3">
        <v>45684</v>
      </c>
      <c r="F649" s="4"/>
      <c r="G649" s="2" t="s">
        <v>22</v>
      </c>
      <c r="H649" s="2" t="s">
        <v>16</v>
      </c>
      <c r="I649" s="2" t="s">
        <v>106</v>
      </c>
      <c r="J649" s="2" t="s">
        <v>107</v>
      </c>
      <c r="K649" s="2">
        <v>3459.69</v>
      </c>
      <c r="L649" s="2" t="str">
        <f t="shared" si="60"/>
        <v>January</v>
      </c>
      <c r="M649" s="2" t="str">
        <f t="shared" si="61"/>
        <v>January</v>
      </c>
      <c r="N649" t="str">
        <f t="shared" si="62"/>
        <v>Delivered</v>
      </c>
      <c r="O649">
        <f t="shared" si="63"/>
        <v>4</v>
      </c>
      <c r="P649" t="str">
        <f t="shared" si="64"/>
        <v>Completed</v>
      </c>
      <c r="Q649" t="str">
        <f t="shared" si="65"/>
        <v>Slow</v>
      </c>
      <c r="R649" t="str">
        <f>_xlfn.XLOOKUP(B649,CustomerMaster!$A$2:$A$287,CustomerMaster!$B$2:$B$287)</f>
        <v>Customer_200</v>
      </c>
      <c r="S649" t="str">
        <f>_xlfn.XLOOKUP(C649,ProductMaster!$A$2:$A$51,ProductMaster!$B$2:$B$51)</f>
        <v>Product_41</v>
      </c>
      <c r="T649" t="str">
        <f>_xlfn.XLOOKUP(G649,RegionMaster!$A$2:$A$5,RegionMaster!$B$2:$B$5)</f>
        <v>C</v>
      </c>
    </row>
    <row r="650" spans="1:20" ht="15.75" customHeight="1">
      <c r="A650" s="2" t="s">
        <v>1360</v>
      </c>
      <c r="B650" s="2" t="s">
        <v>590</v>
      </c>
      <c r="C650" s="2" t="s">
        <v>207</v>
      </c>
      <c r="D650" s="3">
        <v>45744</v>
      </c>
      <c r="E650" s="3">
        <v>45749</v>
      </c>
      <c r="F650" s="4"/>
      <c r="G650" s="2" t="s">
        <v>7</v>
      </c>
      <c r="H650" s="2" t="s">
        <v>59</v>
      </c>
      <c r="I650" s="2" t="s">
        <v>178</v>
      </c>
      <c r="J650" s="2" t="s">
        <v>107</v>
      </c>
      <c r="K650" s="2">
        <v>3988.02</v>
      </c>
      <c r="L650" s="2" t="str">
        <f t="shared" si="60"/>
        <v>March</v>
      </c>
      <c r="M650" s="2" t="str">
        <f t="shared" si="61"/>
        <v>April</v>
      </c>
      <c r="N650" t="str">
        <f t="shared" si="62"/>
        <v>Delivered</v>
      </c>
      <c r="O650">
        <f t="shared" si="63"/>
        <v>5</v>
      </c>
      <c r="P650" t="str">
        <f t="shared" si="64"/>
        <v>Completed</v>
      </c>
      <c r="Q650" t="str">
        <f t="shared" si="65"/>
        <v>Slow</v>
      </c>
      <c r="R650" t="str">
        <f>_xlfn.XLOOKUP(B650,CustomerMaster!$A$2:$A$287,CustomerMaster!$B$2:$B$287)</f>
        <v>Customer_183</v>
      </c>
      <c r="S650" t="str">
        <f>_xlfn.XLOOKUP(C650,ProductMaster!$A$2:$A$51,ProductMaster!$B$2:$B$51)</f>
        <v>Product_47</v>
      </c>
      <c r="T650" t="str">
        <f>_xlfn.XLOOKUP(G650,RegionMaster!$A$2:$A$5,RegionMaster!$B$2:$B$5)</f>
        <v>A</v>
      </c>
    </row>
    <row r="651" spans="1:20" ht="15.75" customHeight="1">
      <c r="A651" s="2" t="s">
        <v>1361</v>
      </c>
      <c r="B651" s="2" t="s">
        <v>155</v>
      </c>
      <c r="C651" s="2" t="s">
        <v>72</v>
      </c>
      <c r="D651" s="3">
        <v>45770</v>
      </c>
      <c r="E651" s="4"/>
      <c r="F651" s="3">
        <v>45771</v>
      </c>
      <c r="G651" s="2" t="s">
        <v>22</v>
      </c>
      <c r="H651" s="2" t="s">
        <v>37</v>
      </c>
      <c r="I651" s="2" t="s">
        <v>195</v>
      </c>
      <c r="J651" s="2" t="s">
        <v>133</v>
      </c>
      <c r="K651" s="2">
        <v>2592.52</v>
      </c>
      <c r="L651" s="2" t="str">
        <f t="shared" si="60"/>
        <v>April</v>
      </c>
      <c r="M651" s="2" t="str">
        <f t="shared" si="61"/>
        <v>Cancelled</v>
      </c>
      <c r="N651" t="str">
        <f t="shared" si="62"/>
        <v>Cancelled</v>
      </c>
      <c r="O651" t="str">
        <f t="shared" si="63"/>
        <v>Order Cancelled</v>
      </c>
      <c r="P651" t="str">
        <f t="shared" si="64"/>
        <v>Cancelled</v>
      </c>
      <c r="Q651" t="str">
        <f t="shared" si="65"/>
        <v>Cancelled</v>
      </c>
      <c r="R651" t="str">
        <f>_xlfn.XLOOKUP(B651,CustomerMaster!$A$2:$A$287,CustomerMaster!$B$2:$B$287)</f>
        <v>Customer_265</v>
      </c>
      <c r="S651" t="str">
        <f>_xlfn.XLOOKUP(C651,ProductMaster!$A$2:$A$51,ProductMaster!$B$2:$B$51)</f>
        <v>Product_10</v>
      </c>
      <c r="T651" t="str">
        <f>_xlfn.XLOOKUP(G651,RegionMaster!$A$2:$A$5,RegionMaster!$B$2:$B$5)</f>
        <v>C</v>
      </c>
    </row>
    <row r="652" spans="1:20" ht="15.75" customHeight="1">
      <c r="A652" s="2" t="s">
        <v>1362</v>
      </c>
      <c r="B652" s="2" t="s">
        <v>681</v>
      </c>
      <c r="C652" s="2" t="s">
        <v>122</v>
      </c>
      <c r="D652" s="3">
        <v>45663</v>
      </c>
      <c r="E652" s="3">
        <v>45666</v>
      </c>
      <c r="F652" s="4"/>
      <c r="G652" s="2" t="s">
        <v>7</v>
      </c>
      <c r="H652" s="2" t="s">
        <v>54</v>
      </c>
      <c r="I652" s="2" t="s">
        <v>195</v>
      </c>
      <c r="J652" s="2" t="s">
        <v>107</v>
      </c>
      <c r="K652" s="2">
        <v>617.22</v>
      </c>
      <c r="L652" s="2" t="str">
        <f t="shared" si="60"/>
        <v>January</v>
      </c>
      <c r="M652" s="2" t="str">
        <f t="shared" si="61"/>
        <v>January</v>
      </c>
      <c r="N652" t="str">
        <f t="shared" si="62"/>
        <v>Delivered</v>
      </c>
      <c r="O652">
        <f t="shared" si="63"/>
        <v>3</v>
      </c>
      <c r="P652" t="str">
        <f t="shared" si="64"/>
        <v>Completed</v>
      </c>
      <c r="Q652" t="str">
        <f t="shared" si="65"/>
        <v>Slow</v>
      </c>
      <c r="R652" t="str">
        <f>_xlfn.XLOOKUP(B652,CustomerMaster!$A$2:$A$287,CustomerMaster!$B$2:$B$287)</f>
        <v>Customer_222</v>
      </c>
      <c r="S652" t="str">
        <f>_xlfn.XLOOKUP(C652,ProductMaster!$A$2:$A$51,ProductMaster!$B$2:$B$51)</f>
        <v>Product_23</v>
      </c>
      <c r="T652" t="str">
        <f>_xlfn.XLOOKUP(G652,RegionMaster!$A$2:$A$5,RegionMaster!$B$2:$B$5)</f>
        <v>A</v>
      </c>
    </row>
    <row r="653" spans="1:20" ht="15.75" customHeight="1">
      <c r="A653" s="2" t="s">
        <v>1363</v>
      </c>
      <c r="B653" s="2" t="s">
        <v>781</v>
      </c>
      <c r="C653" s="2" t="s">
        <v>138</v>
      </c>
      <c r="D653" s="3">
        <v>45761</v>
      </c>
      <c r="E653" s="3">
        <v>45766</v>
      </c>
      <c r="F653" s="4"/>
      <c r="G653" s="2" t="s">
        <v>17</v>
      </c>
      <c r="H653" s="2" t="s">
        <v>27</v>
      </c>
      <c r="I653" s="2" t="s">
        <v>106</v>
      </c>
      <c r="J653" s="2" t="s">
        <v>94</v>
      </c>
      <c r="K653" s="2">
        <v>2778.11</v>
      </c>
      <c r="L653" s="2" t="str">
        <f t="shared" si="60"/>
        <v>April</v>
      </c>
      <c r="M653" s="2" t="str">
        <f t="shared" si="61"/>
        <v>April</v>
      </c>
      <c r="N653" t="str">
        <f t="shared" si="62"/>
        <v>Delivered</v>
      </c>
      <c r="O653">
        <f t="shared" si="63"/>
        <v>5</v>
      </c>
      <c r="P653" t="str">
        <f t="shared" si="64"/>
        <v>Completed</v>
      </c>
      <c r="Q653" t="str">
        <f t="shared" si="65"/>
        <v>Slow</v>
      </c>
      <c r="R653" t="str">
        <f>_xlfn.XLOOKUP(B653,CustomerMaster!$A$2:$A$287,CustomerMaster!$B$2:$B$287)</f>
        <v>Customer_273</v>
      </c>
      <c r="S653" t="str">
        <f>_xlfn.XLOOKUP(C653,ProductMaster!$A$2:$A$51,ProductMaster!$B$2:$B$51)</f>
        <v>Product_28</v>
      </c>
      <c r="T653" t="str">
        <f>_xlfn.XLOOKUP(G653,RegionMaster!$A$2:$A$5,RegionMaster!$B$2:$B$5)</f>
        <v>B</v>
      </c>
    </row>
    <row r="654" spans="1:20" ht="15.75" customHeight="1">
      <c r="A654" s="2" t="s">
        <v>1364</v>
      </c>
      <c r="B654" s="2" t="s">
        <v>517</v>
      </c>
      <c r="C654" s="2" t="s">
        <v>56</v>
      </c>
      <c r="D654" s="3">
        <v>45740</v>
      </c>
      <c r="E654" s="4"/>
      <c r="F654" s="3">
        <v>45741</v>
      </c>
      <c r="G654" s="2" t="s">
        <v>17</v>
      </c>
      <c r="H654" s="2" t="s">
        <v>54</v>
      </c>
      <c r="I654" s="2" t="s">
        <v>90</v>
      </c>
      <c r="J654" s="2" t="s">
        <v>107</v>
      </c>
      <c r="K654" s="2">
        <v>3016.84</v>
      </c>
      <c r="L654" s="2" t="str">
        <f t="shared" si="60"/>
        <v>March</v>
      </c>
      <c r="M654" s="2" t="str">
        <f t="shared" si="61"/>
        <v>Cancelled</v>
      </c>
      <c r="N654" t="str">
        <f t="shared" si="62"/>
        <v>Cancelled</v>
      </c>
      <c r="O654" t="str">
        <f t="shared" si="63"/>
        <v>Order Cancelled</v>
      </c>
      <c r="P654" t="str">
        <f t="shared" si="64"/>
        <v>Cancelled</v>
      </c>
      <c r="Q654" t="str">
        <f t="shared" si="65"/>
        <v>Cancelled</v>
      </c>
      <c r="R654" t="str">
        <f>_xlfn.XLOOKUP(B654,CustomerMaster!$A$2:$A$287,CustomerMaster!$B$2:$B$287)</f>
        <v>Customer_153</v>
      </c>
      <c r="S654" t="str">
        <f>_xlfn.XLOOKUP(C654,ProductMaster!$A$2:$A$51,ProductMaster!$B$2:$B$51)</f>
        <v>Product_7</v>
      </c>
      <c r="T654" t="str">
        <f>_xlfn.XLOOKUP(G654,RegionMaster!$A$2:$A$5,RegionMaster!$B$2:$B$5)</f>
        <v>B</v>
      </c>
    </row>
    <row r="655" spans="1:20" ht="15.75" customHeight="1">
      <c r="A655" s="2" t="s">
        <v>1365</v>
      </c>
      <c r="B655" s="2" t="s">
        <v>464</v>
      </c>
      <c r="C655" s="2" t="s">
        <v>138</v>
      </c>
      <c r="D655" s="3">
        <v>45771</v>
      </c>
      <c r="E655" s="3">
        <v>45774</v>
      </c>
      <c r="F655" s="4"/>
      <c r="G655" s="2" t="s">
        <v>45</v>
      </c>
      <c r="H655" s="2" t="s">
        <v>54</v>
      </c>
      <c r="I655" s="2" t="s">
        <v>178</v>
      </c>
      <c r="J655" s="2" t="s">
        <v>107</v>
      </c>
      <c r="K655" s="2">
        <v>3778.11</v>
      </c>
      <c r="L655" s="2" t="str">
        <f t="shared" si="60"/>
        <v>April</v>
      </c>
      <c r="M655" s="2" t="str">
        <f t="shared" si="61"/>
        <v>April</v>
      </c>
      <c r="N655" t="str">
        <f t="shared" si="62"/>
        <v>Delivered</v>
      </c>
      <c r="O655">
        <f t="shared" si="63"/>
        <v>3</v>
      </c>
      <c r="P655" t="str">
        <f t="shared" si="64"/>
        <v>Completed</v>
      </c>
      <c r="Q655" t="str">
        <f t="shared" si="65"/>
        <v>Slow</v>
      </c>
      <c r="R655" t="str">
        <f>_xlfn.XLOOKUP(B655,CustomerMaster!$A$2:$A$287,CustomerMaster!$B$2:$B$287)</f>
        <v>Customer_131</v>
      </c>
      <c r="S655" t="str">
        <f>_xlfn.XLOOKUP(C655,ProductMaster!$A$2:$A$51,ProductMaster!$B$2:$B$51)</f>
        <v>Product_28</v>
      </c>
      <c r="T655" t="str">
        <f>_xlfn.XLOOKUP(G655,RegionMaster!$A$2:$A$5,RegionMaster!$B$2:$B$5)</f>
        <v>D</v>
      </c>
    </row>
    <row r="656" spans="1:20" ht="15.75" customHeight="1">
      <c r="A656" s="2" t="s">
        <v>1366</v>
      </c>
      <c r="B656" s="2" t="s">
        <v>247</v>
      </c>
      <c r="C656" s="2" t="s">
        <v>194</v>
      </c>
      <c r="D656" s="3">
        <v>45761</v>
      </c>
      <c r="E656" s="3">
        <v>45763</v>
      </c>
      <c r="F656" s="4"/>
      <c r="G656" s="2" t="s">
        <v>22</v>
      </c>
      <c r="H656" s="2" t="s">
        <v>27</v>
      </c>
      <c r="I656" s="2" t="s">
        <v>195</v>
      </c>
      <c r="J656" s="2" t="s">
        <v>107</v>
      </c>
      <c r="K656" s="2">
        <v>2271.9699999999998</v>
      </c>
      <c r="L656" s="2" t="str">
        <f t="shared" si="60"/>
        <v>April</v>
      </c>
      <c r="M656" s="2" t="str">
        <f t="shared" si="61"/>
        <v>April</v>
      </c>
      <c r="N656" t="str">
        <f t="shared" si="62"/>
        <v>Delivered</v>
      </c>
      <c r="O656">
        <f t="shared" si="63"/>
        <v>2</v>
      </c>
      <c r="P656" t="str">
        <f t="shared" si="64"/>
        <v>Completed</v>
      </c>
      <c r="Q656" t="str">
        <f t="shared" si="65"/>
        <v>Fast</v>
      </c>
      <c r="R656" t="str">
        <f>_xlfn.XLOOKUP(B656,CustomerMaster!$A$2:$A$287,CustomerMaster!$B$2:$B$287)</f>
        <v>Customer_40</v>
      </c>
      <c r="S656" t="str">
        <f>_xlfn.XLOOKUP(C656,ProductMaster!$A$2:$A$51,ProductMaster!$B$2:$B$51)</f>
        <v>Product_44</v>
      </c>
      <c r="T656" t="str">
        <f>_xlfn.XLOOKUP(G656,RegionMaster!$A$2:$A$5,RegionMaster!$B$2:$B$5)</f>
        <v>C</v>
      </c>
    </row>
    <row r="657" spans="1:20" ht="15.75" customHeight="1">
      <c r="A657" s="2" t="s">
        <v>1367</v>
      </c>
      <c r="B657" s="2" t="s">
        <v>434</v>
      </c>
      <c r="C657" s="2" t="s">
        <v>32</v>
      </c>
      <c r="D657" s="3">
        <v>45748</v>
      </c>
      <c r="E657" s="3">
        <v>45752</v>
      </c>
      <c r="F657" s="4"/>
      <c r="G657" s="2" t="s">
        <v>17</v>
      </c>
      <c r="H657" s="2" t="s">
        <v>37</v>
      </c>
      <c r="I657" s="2" t="s">
        <v>195</v>
      </c>
      <c r="J657" s="2" t="s">
        <v>133</v>
      </c>
      <c r="K657" s="2">
        <v>812.39</v>
      </c>
      <c r="L657" s="2" t="str">
        <f t="shared" si="60"/>
        <v>April</v>
      </c>
      <c r="M657" s="2" t="str">
        <f t="shared" si="61"/>
        <v>April</v>
      </c>
      <c r="N657" t="str">
        <f t="shared" si="62"/>
        <v>Delivered</v>
      </c>
      <c r="O657">
        <f t="shared" si="63"/>
        <v>4</v>
      </c>
      <c r="P657" t="str">
        <f t="shared" si="64"/>
        <v>Completed</v>
      </c>
      <c r="Q657" t="str">
        <f t="shared" si="65"/>
        <v>Slow</v>
      </c>
      <c r="R657" t="str">
        <f>_xlfn.XLOOKUP(B657,CustomerMaster!$A$2:$A$287,CustomerMaster!$B$2:$B$287)</f>
        <v>Customer_119</v>
      </c>
      <c r="S657" t="str">
        <f>_xlfn.XLOOKUP(C657,ProductMaster!$A$2:$A$51,ProductMaster!$B$2:$B$51)</f>
        <v>Product_3</v>
      </c>
      <c r="T657" t="str">
        <f>_xlfn.XLOOKUP(G657,RegionMaster!$A$2:$A$5,RegionMaster!$B$2:$B$5)</f>
        <v>B</v>
      </c>
    </row>
    <row r="658" spans="1:20" ht="15.75" customHeight="1">
      <c r="A658" s="2" t="s">
        <v>1368</v>
      </c>
      <c r="B658" s="2" t="s">
        <v>530</v>
      </c>
      <c r="C658" s="2" t="s">
        <v>83</v>
      </c>
      <c r="D658" s="3">
        <v>45693</v>
      </c>
      <c r="E658" s="3">
        <v>45696</v>
      </c>
      <c r="F658" s="4"/>
      <c r="G658" s="2" t="s">
        <v>22</v>
      </c>
      <c r="H658" s="2" t="s">
        <v>59</v>
      </c>
      <c r="I658" s="2" t="s">
        <v>121</v>
      </c>
      <c r="J658" s="2" t="s">
        <v>94</v>
      </c>
      <c r="K658" s="2">
        <v>1562.12</v>
      </c>
      <c r="L658" s="2" t="str">
        <f t="shared" si="60"/>
        <v>February</v>
      </c>
      <c r="M658" s="2" t="str">
        <f t="shared" si="61"/>
        <v>February</v>
      </c>
      <c r="N658" t="str">
        <f t="shared" si="62"/>
        <v>Delivered</v>
      </c>
      <c r="O658">
        <f t="shared" si="63"/>
        <v>3</v>
      </c>
      <c r="P658" t="str">
        <f t="shared" si="64"/>
        <v>Completed</v>
      </c>
      <c r="Q658" t="str">
        <f t="shared" si="65"/>
        <v>Slow</v>
      </c>
      <c r="R658" t="str">
        <f>_xlfn.XLOOKUP(B658,CustomerMaster!$A$2:$A$287,CustomerMaster!$B$2:$B$287)</f>
        <v>Customer_158</v>
      </c>
      <c r="S658" t="str">
        <f>_xlfn.XLOOKUP(C658,ProductMaster!$A$2:$A$51,ProductMaster!$B$2:$B$51)</f>
        <v>Product_14</v>
      </c>
      <c r="T658" t="str">
        <f>_xlfn.XLOOKUP(G658,RegionMaster!$A$2:$A$5,RegionMaster!$B$2:$B$5)</f>
        <v>C</v>
      </c>
    </row>
    <row r="659" spans="1:20" ht="15.75" customHeight="1">
      <c r="A659" s="2" t="s">
        <v>1369</v>
      </c>
      <c r="B659" s="2" t="s">
        <v>328</v>
      </c>
      <c r="C659" s="2" t="s">
        <v>173</v>
      </c>
      <c r="D659" s="3">
        <v>45715</v>
      </c>
      <c r="E659" s="3">
        <v>45719</v>
      </c>
      <c r="F659" s="4"/>
      <c r="G659" s="2" t="s">
        <v>17</v>
      </c>
      <c r="H659" s="2" t="s">
        <v>37</v>
      </c>
      <c r="I659" s="2" t="s">
        <v>195</v>
      </c>
      <c r="J659" s="2" t="s">
        <v>94</v>
      </c>
      <c r="K659" s="2">
        <v>1942.8</v>
      </c>
      <c r="L659" s="2" t="str">
        <f t="shared" si="60"/>
        <v>February</v>
      </c>
      <c r="M659" s="2" t="str">
        <f t="shared" si="61"/>
        <v>March</v>
      </c>
      <c r="N659" t="str">
        <f t="shared" si="62"/>
        <v>Delivered</v>
      </c>
      <c r="O659">
        <f t="shared" si="63"/>
        <v>4</v>
      </c>
      <c r="P659" t="str">
        <f t="shared" si="64"/>
        <v>Completed</v>
      </c>
      <c r="Q659" t="str">
        <f t="shared" si="65"/>
        <v>Slow</v>
      </c>
      <c r="R659" t="str">
        <f>_xlfn.XLOOKUP(B659,CustomerMaster!$A$2:$A$287,CustomerMaster!$B$2:$B$287)</f>
        <v>Customer_73</v>
      </c>
      <c r="S659" t="str">
        <f>_xlfn.XLOOKUP(C659,ProductMaster!$A$2:$A$51,ProductMaster!$B$2:$B$51)</f>
        <v>Product_38</v>
      </c>
      <c r="T659" t="str">
        <f>_xlfn.XLOOKUP(G659,RegionMaster!$A$2:$A$5,RegionMaster!$B$2:$B$5)</f>
        <v>B</v>
      </c>
    </row>
    <row r="660" spans="1:20" ht="15.75" customHeight="1">
      <c r="A660" s="2" t="s">
        <v>1370</v>
      </c>
      <c r="B660" s="2" t="s">
        <v>337</v>
      </c>
      <c r="C660" s="2" t="s">
        <v>56</v>
      </c>
      <c r="D660" s="3">
        <v>45671</v>
      </c>
      <c r="E660" s="4"/>
      <c r="F660" s="3">
        <v>45671</v>
      </c>
      <c r="G660" s="2" t="s">
        <v>7</v>
      </c>
      <c r="H660" s="2" t="s">
        <v>16</v>
      </c>
      <c r="I660" s="2" t="s">
        <v>121</v>
      </c>
      <c r="J660" s="2" t="s">
        <v>107</v>
      </c>
      <c r="K660" s="2">
        <v>3300.4</v>
      </c>
      <c r="L660" s="2" t="str">
        <f t="shared" si="60"/>
        <v>January</v>
      </c>
      <c r="M660" s="2" t="str">
        <f t="shared" si="61"/>
        <v>Cancelled</v>
      </c>
      <c r="N660" t="str">
        <f t="shared" si="62"/>
        <v>Cancelled</v>
      </c>
      <c r="O660" t="str">
        <f t="shared" si="63"/>
        <v>Order Cancelled</v>
      </c>
      <c r="P660" t="str">
        <f t="shared" si="64"/>
        <v>Cancelled</v>
      </c>
      <c r="Q660" t="str">
        <f t="shared" si="65"/>
        <v>Cancelled</v>
      </c>
      <c r="R660" t="str">
        <f>_xlfn.XLOOKUP(B660,CustomerMaster!$A$2:$A$287,CustomerMaster!$B$2:$B$287)</f>
        <v>Customer_107</v>
      </c>
      <c r="S660" t="str">
        <f>_xlfn.XLOOKUP(C660,ProductMaster!$A$2:$A$51,ProductMaster!$B$2:$B$51)</f>
        <v>Product_7</v>
      </c>
      <c r="T660" t="str">
        <f>_xlfn.XLOOKUP(G660,RegionMaster!$A$2:$A$5,RegionMaster!$B$2:$B$5)</f>
        <v>A</v>
      </c>
    </row>
    <row r="661" spans="1:20" ht="15.75" customHeight="1">
      <c r="A661" s="2" t="s">
        <v>1371</v>
      </c>
      <c r="B661" s="2" t="s">
        <v>428</v>
      </c>
      <c r="C661" s="2" t="s">
        <v>125</v>
      </c>
      <c r="D661" s="3">
        <v>45772</v>
      </c>
      <c r="E661" s="3">
        <v>45777</v>
      </c>
      <c r="F661" s="4"/>
      <c r="G661" s="2" t="s">
        <v>45</v>
      </c>
      <c r="H661" s="2" t="s">
        <v>37</v>
      </c>
      <c r="I661" s="2" t="s">
        <v>178</v>
      </c>
      <c r="J661" s="2" t="s">
        <v>94</v>
      </c>
      <c r="K661" s="2">
        <v>2939.74</v>
      </c>
      <c r="L661" s="2" t="str">
        <f t="shared" si="60"/>
        <v>April</v>
      </c>
      <c r="M661" s="2" t="str">
        <f t="shared" si="61"/>
        <v>April</v>
      </c>
      <c r="N661" t="str">
        <f t="shared" si="62"/>
        <v>Delivered</v>
      </c>
      <c r="O661">
        <f t="shared" si="63"/>
        <v>5</v>
      </c>
      <c r="P661" t="str">
        <f t="shared" si="64"/>
        <v>Completed</v>
      </c>
      <c r="Q661" t="str">
        <f t="shared" si="65"/>
        <v>Slow</v>
      </c>
      <c r="R661" t="str">
        <f>_xlfn.XLOOKUP(B661,CustomerMaster!$A$2:$A$287,CustomerMaster!$B$2:$B$287)</f>
        <v>Customer_117</v>
      </c>
      <c r="S661" t="str">
        <f>_xlfn.XLOOKUP(C661,ProductMaster!$A$2:$A$51,ProductMaster!$B$2:$B$51)</f>
        <v>Product_24</v>
      </c>
      <c r="T661" t="str">
        <f>_xlfn.XLOOKUP(G661,RegionMaster!$A$2:$A$5,RegionMaster!$B$2:$B$5)</f>
        <v>D</v>
      </c>
    </row>
    <row r="662" spans="1:20" ht="15.75" customHeight="1">
      <c r="A662" s="2" t="s">
        <v>1372</v>
      </c>
      <c r="B662" s="2" t="s">
        <v>235</v>
      </c>
      <c r="C662" s="2" t="s">
        <v>87</v>
      </c>
      <c r="D662" s="3">
        <v>45711</v>
      </c>
      <c r="E662" s="3">
        <v>45716</v>
      </c>
      <c r="F662" s="4"/>
      <c r="G662" s="2" t="s">
        <v>7</v>
      </c>
      <c r="H662" s="2" t="s">
        <v>27</v>
      </c>
      <c r="I662" s="2" t="s">
        <v>178</v>
      </c>
      <c r="J662" s="2" t="s">
        <v>94</v>
      </c>
      <c r="K662" s="2">
        <v>1909.26</v>
      </c>
      <c r="L662" s="2" t="str">
        <f t="shared" si="60"/>
        <v>February</v>
      </c>
      <c r="M662" s="2" t="str">
        <f t="shared" si="61"/>
        <v>February</v>
      </c>
      <c r="N662" t="str">
        <f t="shared" si="62"/>
        <v>Delivered</v>
      </c>
      <c r="O662">
        <f t="shared" si="63"/>
        <v>5</v>
      </c>
      <c r="P662" t="str">
        <f t="shared" si="64"/>
        <v>Completed</v>
      </c>
      <c r="Q662" t="str">
        <f t="shared" si="65"/>
        <v>Slow</v>
      </c>
      <c r="R662" t="str">
        <f>_xlfn.XLOOKUP(B662,CustomerMaster!$A$2:$A$287,CustomerMaster!$B$2:$B$287)</f>
        <v>Customer_36</v>
      </c>
      <c r="S662" t="str">
        <f>_xlfn.XLOOKUP(C662,ProductMaster!$A$2:$A$51,ProductMaster!$B$2:$B$51)</f>
        <v>Product_15</v>
      </c>
      <c r="T662" t="str">
        <f>_xlfn.XLOOKUP(G662,RegionMaster!$A$2:$A$5,RegionMaster!$B$2:$B$5)</f>
        <v>A</v>
      </c>
    </row>
    <row r="663" spans="1:20" ht="15.75" customHeight="1">
      <c r="A663" s="2" t="s">
        <v>1373</v>
      </c>
      <c r="B663" s="2" t="s">
        <v>737</v>
      </c>
      <c r="C663" s="2" t="s">
        <v>87</v>
      </c>
      <c r="D663" s="3">
        <v>45773</v>
      </c>
      <c r="E663" s="3">
        <v>45778</v>
      </c>
      <c r="F663" s="4"/>
      <c r="G663" s="2" t="s">
        <v>22</v>
      </c>
      <c r="H663" s="2" t="s">
        <v>16</v>
      </c>
      <c r="I663" s="2" t="s">
        <v>106</v>
      </c>
      <c r="J663" s="2" t="s">
        <v>133</v>
      </c>
      <c r="K663" s="2">
        <v>4935.2700000000004</v>
      </c>
      <c r="L663" s="2" t="str">
        <f t="shared" si="60"/>
        <v>April</v>
      </c>
      <c r="M663" s="2" t="str">
        <f t="shared" si="61"/>
        <v>May</v>
      </c>
      <c r="N663" t="str">
        <f t="shared" si="62"/>
        <v>Delivered</v>
      </c>
      <c r="O663">
        <f t="shared" si="63"/>
        <v>5</v>
      </c>
      <c r="P663" t="str">
        <f t="shared" si="64"/>
        <v>Completed</v>
      </c>
      <c r="Q663" t="str">
        <f t="shared" si="65"/>
        <v>Slow</v>
      </c>
      <c r="R663" t="str">
        <f>_xlfn.XLOOKUP(B663,CustomerMaster!$A$2:$A$287,CustomerMaster!$B$2:$B$287)</f>
        <v>Customer_248</v>
      </c>
      <c r="S663" t="str">
        <f>_xlfn.XLOOKUP(C663,ProductMaster!$A$2:$A$51,ProductMaster!$B$2:$B$51)</f>
        <v>Product_15</v>
      </c>
      <c r="T663" t="str">
        <f>_xlfn.XLOOKUP(G663,RegionMaster!$A$2:$A$5,RegionMaster!$B$2:$B$5)</f>
        <v>C</v>
      </c>
    </row>
    <row r="664" spans="1:20" ht="15.75" customHeight="1">
      <c r="A664" s="2" t="s">
        <v>1374</v>
      </c>
      <c r="B664" s="2" t="s">
        <v>218</v>
      </c>
      <c r="C664" s="2" t="s">
        <v>164</v>
      </c>
      <c r="D664" s="3">
        <v>45708</v>
      </c>
      <c r="E664" s="3">
        <v>45712</v>
      </c>
      <c r="F664" s="4"/>
      <c r="G664" s="2" t="s">
        <v>7</v>
      </c>
      <c r="H664" s="2" t="s">
        <v>16</v>
      </c>
      <c r="I664" s="2" t="s">
        <v>195</v>
      </c>
      <c r="J664" s="2" t="s">
        <v>107</v>
      </c>
      <c r="K664" s="2">
        <v>3107.72</v>
      </c>
      <c r="L664" s="2" t="str">
        <f t="shared" si="60"/>
        <v>February</v>
      </c>
      <c r="M664" s="2" t="str">
        <f t="shared" si="61"/>
        <v>February</v>
      </c>
      <c r="N664" t="str">
        <f t="shared" si="62"/>
        <v>Delivered</v>
      </c>
      <c r="O664">
        <f t="shared" si="63"/>
        <v>4</v>
      </c>
      <c r="P664" t="str">
        <f t="shared" si="64"/>
        <v>Completed</v>
      </c>
      <c r="Q664" t="str">
        <f t="shared" si="65"/>
        <v>Slow</v>
      </c>
      <c r="R664" t="str">
        <f>_xlfn.XLOOKUP(B664,CustomerMaster!$A$2:$A$287,CustomerMaster!$B$2:$B$287)</f>
        <v>Customer_30</v>
      </c>
      <c r="S664" t="str">
        <f>_xlfn.XLOOKUP(C664,ProductMaster!$A$2:$A$51,ProductMaster!$B$2:$B$51)</f>
        <v>Product_36</v>
      </c>
      <c r="T664" t="str">
        <f>_xlfn.XLOOKUP(G664,RegionMaster!$A$2:$A$5,RegionMaster!$B$2:$B$5)</f>
        <v>A</v>
      </c>
    </row>
    <row r="665" spans="1:20" ht="15.75" customHeight="1">
      <c r="A665" s="2" t="s">
        <v>1375</v>
      </c>
      <c r="B665" s="2" t="s">
        <v>324</v>
      </c>
      <c r="C665" s="2" t="s">
        <v>69</v>
      </c>
      <c r="D665" s="3">
        <v>45698</v>
      </c>
      <c r="E665" s="3">
        <v>45700</v>
      </c>
      <c r="F665" s="4"/>
      <c r="G665" s="2" t="s">
        <v>45</v>
      </c>
      <c r="H665" s="2" t="s">
        <v>16</v>
      </c>
      <c r="I665" s="2" t="s">
        <v>90</v>
      </c>
      <c r="J665" s="2" t="s">
        <v>94</v>
      </c>
      <c r="K665" s="2">
        <v>1338.69</v>
      </c>
      <c r="L665" s="2" t="str">
        <f t="shared" si="60"/>
        <v>February</v>
      </c>
      <c r="M665" s="2" t="str">
        <f t="shared" si="61"/>
        <v>February</v>
      </c>
      <c r="N665" t="str">
        <f t="shared" si="62"/>
        <v>Delivered</v>
      </c>
      <c r="O665">
        <f t="shared" si="63"/>
        <v>2</v>
      </c>
      <c r="P665" t="str">
        <f t="shared" si="64"/>
        <v>Completed</v>
      </c>
      <c r="Q665" t="str">
        <f t="shared" si="65"/>
        <v>Fast</v>
      </c>
      <c r="R665" t="str">
        <f>_xlfn.XLOOKUP(B665,CustomerMaster!$A$2:$A$287,CustomerMaster!$B$2:$B$287)</f>
        <v>Customer_195</v>
      </c>
      <c r="S665" t="str">
        <f>_xlfn.XLOOKUP(C665,ProductMaster!$A$2:$A$51,ProductMaster!$B$2:$B$51)</f>
        <v>Product_9</v>
      </c>
      <c r="T665" t="str">
        <f>_xlfn.XLOOKUP(G665,RegionMaster!$A$2:$A$5,RegionMaster!$B$2:$B$5)</f>
        <v>D</v>
      </c>
    </row>
    <row r="666" spans="1:20" ht="15.75" customHeight="1">
      <c r="A666" s="2" t="s">
        <v>1376</v>
      </c>
      <c r="B666" s="2" t="s">
        <v>254</v>
      </c>
      <c r="C666" s="2" t="s">
        <v>191</v>
      </c>
      <c r="D666" s="3">
        <v>45722</v>
      </c>
      <c r="E666" s="4"/>
      <c r="F666" s="3">
        <v>45722</v>
      </c>
      <c r="G666" s="2" t="s">
        <v>22</v>
      </c>
      <c r="H666" s="2" t="s">
        <v>37</v>
      </c>
      <c r="I666" s="2" t="s">
        <v>121</v>
      </c>
      <c r="J666" s="2" t="s">
        <v>107</v>
      </c>
      <c r="K666" s="2">
        <v>688.56</v>
      </c>
      <c r="L666" s="2" t="str">
        <f t="shared" si="60"/>
        <v>March</v>
      </c>
      <c r="M666" s="2" t="str">
        <f t="shared" si="61"/>
        <v>Cancelled</v>
      </c>
      <c r="N666" t="str">
        <f t="shared" si="62"/>
        <v>Cancelled</v>
      </c>
      <c r="O666" t="str">
        <f t="shared" si="63"/>
        <v>Order Cancelled</v>
      </c>
      <c r="P666" t="str">
        <f t="shared" si="64"/>
        <v>Cancelled</v>
      </c>
      <c r="Q666" t="str">
        <f t="shared" si="65"/>
        <v>Cancelled</v>
      </c>
      <c r="R666" t="str">
        <f>_xlfn.XLOOKUP(B666,CustomerMaster!$A$2:$A$287,CustomerMaster!$B$2:$B$287)</f>
        <v>Customer_218</v>
      </c>
      <c r="S666" t="str">
        <f>_xlfn.XLOOKUP(C666,ProductMaster!$A$2:$A$51,ProductMaster!$B$2:$B$51)</f>
        <v>Product_43</v>
      </c>
      <c r="T666" t="str">
        <f>_xlfn.XLOOKUP(G666,RegionMaster!$A$2:$A$5,RegionMaster!$B$2:$B$5)</f>
        <v>C</v>
      </c>
    </row>
    <row r="667" spans="1:20" ht="15.75" customHeight="1">
      <c r="A667" s="2" t="s">
        <v>1377</v>
      </c>
      <c r="B667" s="2" t="s">
        <v>382</v>
      </c>
      <c r="C667" s="2" t="s">
        <v>148</v>
      </c>
      <c r="D667" s="3">
        <v>45735</v>
      </c>
      <c r="E667" s="4"/>
      <c r="F667" s="3">
        <v>45735</v>
      </c>
      <c r="G667" s="2" t="s">
        <v>22</v>
      </c>
      <c r="H667" s="2" t="s">
        <v>16</v>
      </c>
      <c r="I667" s="2" t="s">
        <v>178</v>
      </c>
      <c r="J667" s="2" t="s">
        <v>94</v>
      </c>
      <c r="K667" s="2">
        <v>933.72</v>
      </c>
      <c r="L667" s="2" t="str">
        <f t="shared" si="60"/>
        <v>March</v>
      </c>
      <c r="M667" s="2" t="str">
        <f t="shared" si="61"/>
        <v>Cancelled</v>
      </c>
      <c r="N667" t="str">
        <f t="shared" si="62"/>
        <v>Cancelled</v>
      </c>
      <c r="O667" t="str">
        <f t="shared" si="63"/>
        <v>Order Cancelled</v>
      </c>
      <c r="P667" t="str">
        <f t="shared" si="64"/>
        <v>Cancelled</v>
      </c>
      <c r="Q667" t="str">
        <f t="shared" si="65"/>
        <v>Cancelled</v>
      </c>
      <c r="R667" t="str">
        <f>_xlfn.XLOOKUP(B667,CustomerMaster!$A$2:$A$287,CustomerMaster!$B$2:$B$287)</f>
        <v>Customer_98</v>
      </c>
      <c r="S667" t="str">
        <f>_xlfn.XLOOKUP(C667,ProductMaster!$A$2:$A$51,ProductMaster!$B$2:$B$51)</f>
        <v>Product_31</v>
      </c>
      <c r="T667" t="str">
        <f>_xlfn.XLOOKUP(G667,RegionMaster!$A$2:$A$5,RegionMaster!$B$2:$B$5)</f>
        <v>C</v>
      </c>
    </row>
    <row r="668" spans="1:20" ht="15.75" customHeight="1">
      <c r="A668" s="2" t="s">
        <v>1378</v>
      </c>
      <c r="B668" s="2" t="s">
        <v>494</v>
      </c>
      <c r="C668" s="2" t="s">
        <v>180</v>
      </c>
      <c r="D668" s="3">
        <v>45676</v>
      </c>
      <c r="E668" s="4"/>
      <c r="F668" s="3">
        <v>45678</v>
      </c>
      <c r="G668" s="2" t="s">
        <v>17</v>
      </c>
      <c r="H668" s="2" t="s">
        <v>54</v>
      </c>
      <c r="I668" s="2" t="s">
        <v>106</v>
      </c>
      <c r="J668" s="2" t="s">
        <v>107</v>
      </c>
      <c r="K668" s="2">
        <v>1380.6</v>
      </c>
      <c r="L668" s="2" t="str">
        <f t="shared" si="60"/>
        <v>January</v>
      </c>
      <c r="M668" s="2" t="str">
        <f t="shared" si="61"/>
        <v>Cancelled</v>
      </c>
      <c r="N668" t="str">
        <f t="shared" si="62"/>
        <v>Cancelled</v>
      </c>
      <c r="O668" t="str">
        <f t="shared" si="63"/>
        <v>Order Cancelled</v>
      </c>
      <c r="P668" t="str">
        <f t="shared" si="64"/>
        <v>Cancelled</v>
      </c>
      <c r="Q668" t="str">
        <f t="shared" si="65"/>
        <v>Cancelled</v>
      </c>
      <c r="R668" t="str">
        <f>_xlfn.XLOOKUP(B668,CustomerMaster!$A$2:$A$287,CustomerMaster!$B$2:$B$287)</f>
        <v>Customer_144</v>
      </c>
      <c r="S668" t="str">
        <f>_xlfn.XLOOKUP(C668,ProductMaster!$A$2:$A$51,ProductMaster!$B$2:$B$51)</f>
        <v>Product_40</v>
      </c>
      <c r="T668" t="str">
        <f>_xlfn.XLOOKUP(G668,RegionMaster!$A$2:$A$5,RegionMaster!$B$2:$B$5)</f>
        <v>B</v>
      </c>
    </row>
    <row r="669" spans="1:20" ht="15.75" customHeight="1">
      <c r="A669" s="2" t="s">
        <v>1379</v>
      </c>
      <c r="B669" s="2" t="s">
        <v>455</v>
      </c>
      <c r="C669" s="2" t="s">
        <v>122</v>
      </c>
      <c r="D669" s="3">
        <v>45751</v>
      </c>
      <c r="E669" s="3">
        <v>45753</v>
      </c>
      <c r="F669" s="4"/>
      <c r="G669" s="2" t="s">
        <v>7</v>
      </c>
      <c r="H669" s="2" t="s">
        <v>54</v>
      </c>
      <c r="I669" s="2" t="s">
        <v>178</v>
      </c>
      <c r="J669" s="2" t="s">
        <v>94</v>
      </c>
      <c r="K669" s="2">
        <v>971.27</v>
      </c>
      <c r="L669" s="2" t="str">
        <f t="shared" si="60"/>
        <v>April</v>
      </c>
      <c r="M669" s="2" t="str">
        <f t="shared" si="61"/>
        <v>April</v>
      </c>
      <c r="N669" t="str">
        <f t="shared" si="62"/>
        <v>Delivered</v>
      </c>
      <c r="O669">
        <f t="shared" si="63"/>
        <v>2</v>
      </c>
      <c r="P669" t="str">
        <f t="shared" si="64"/>
        <v>Completed</v>
      </c>
      <c r="Q669" t="str">
        <f t="shared" si="65"/>
        <v>Fast</v>
      </c>
      <c r="R669" t="str">
        <f>_xlfn.XLOOKUP(B669,CustomerMaster!$A$2:$A$287,CustomerMaster!$B$2:$B$287)</f>
        <v>Customer_127</v>
      </c>
      <c r="S669" t="str">
        <f>_xlfn.XLOOKUP(C669,ProductMaster!$A$2:$A$51,ProductMaster!$B$2:$B$51)</f>
        <v>Product_23</v>
      </c>
      <c r="T669" t="str">
        <f>_xlfn.XLOOKUP(G669,RegionMaster!$A$2:$A$5,RegionMaster!$B$2:$B$5)</f>
        <v>A</v>
      </c>
    </row>
    <row r="670" spans="1:20" ht="15.75" customHeight="1">
      <c r="A670" s="2" t="s">
        <v>1380</v>
      </c>
      <c r="B670" s="2" t="s">
        <v>261</v>
      </c>
      <c r="C670" s="2" t="s">
        <v>204</v>
      </c>
      <c r="D670" s="3">
        <v>45733</v>
      </c>
      <c r="E670" s="3">
        <v>45734</v>
      </c>
      <c r="F670" s="4"/>
      <c r="G670" s="2" t="s">
        <v>45</v>
      </c>
      <c r="H670" s="2" t="s">
        <v>59</v>
      </c>
      <c r="I670" s="2" t="s">
        <v>106</v>
      </c>
      <c r="J670" s="2" t="s">
        <v>133</v>
      </c>
      <c r="K670" s="2">
        <v>1095.52</v>
      </c>
      <c r="L670" s="2" t="str">
        <f t="shared" si="60"/>
        <v>March</v>
      </c>
      <c r="M670" s="2" t="str">
        <f t="shared" si="61"/>
        <v>March</v>
      </c>
      <c r="N670" t="str">
        <f t="shared" si="62"/>
        <v>Delivered</v>
      </c>
      <c r="O670">
        <f t="shared" si="63"/>
        <v>1</v>
      </c>
      <c r="P670" t="str">
        <f t="shared" si="64"/>
        <v>Completed</v>
      </c>
      <c r="Q670" t="str">
        <f t="shared" si="65"/>
        <v>Fast</v>
      </c>
      <c r="R670" t="str">
        <f>_xlfn.XLOOKUP(B670,CustomerMaster!$A$2:$A$287,CustomerMaster!$B$2:$B$287)</f>
        <v>Customer_255</v>
      </c>
      <c r="S670" t="str">
        <f>_xlfn.XLOOKUP(C670,ProductMaster!$A$2:$A$51,ProductMaster!$B$2:$B$51)</f>
        <v>Product_46</v>
      </c>
      <c r="T670" t="str">
        <f>_xlfn.XLOOKUP(G670,RegionMaster!$A$2:$A$5,RegionMaster!$B$2:$B$5)</f>
        <v>D</v>
      </c>
    </row>
    <row r="671" spans="1:20" ht="15.75" customHeight="1">
      <c r="A671" s="2" t="s">
        <v>1381</v>
      </c>
      <c r="B671" s="2" t="s">
        <v>421</v>
      </c>
      <c r="C671" s="2" t="s">
        <v>39</v>
      </c>
      <c r="D671" s="3">
        <v>45745</v>
      </c>
      <c r="E671" s="4"/>
      <c r="F671" s="3">
        <v>45746</v>
      </c>
      <c r="G671" s="2" t="s">
        <v>45</v>
      </c>
      <c r="H671" s="2" t="s">
        <v>54</v>
      </c>
      <c r="I671" s="2" t="s">
        <v>106</v>
      </c>
      <c r="J671" s="2" t="s">
        <v>94</v>
      </c>
      <c r="K671" s="2">
        <v>1568.46</v>
      </c>
      <c r="L671" s="2" t="str">
        <f t="shared" si="60"/>
        <v>March</v>
      </c>
      <c r="M671" s="2" t="str">
        <f t="shared" si="61"/>
        <v>Cancelled</v>
      </c>
      <c r="N671" t="str">
        <f t="shared" si="62"/>
        <v>Cancelled</v>
      </c>
      <c r="O671" t="str">
        <f t="shared" si="63"/>
        <v>Order Cancelled</v>
      </c>
      <c r="P671" t="str">
        <f t="shared" si="64"/>
        <v>Cancelled</v>
      </c>
      <c r="Q671" t="str">
        <f t="shared" si="65"/>
        <v>Cancelled</v>
      </c>
      <c r="R671" t="str">
        <f>_xlfn.XLOOKUP(B671,CustomerMaster!$A$2:$A$287,CustomerMaster!$B$2:$B$287)</f>
        <v>Customer_114</v>
      </c>
      <c r="S671" t="str">
        <f>_xlfn.XLOOKUP(C671,ProductMaster!$A$2:$A$51,ProductMaster!$B$2:$B$51)</f>
        <v>Product_4</v>
      </c>
      <c r="T671" t="str">
        <f>_xlfn.XLOOKUP(G671,RegionMaster!$A$2:$A$5,RegionMaster!$B$2:$B$5)</f>
        <v>D</v>
      </c>
    </row>
    <row r="672" spans="1:20" ht="15.75" customHeight="1">
      <c r="A672" s="2" t="s">
        <v>1382</v>
      </c>
      <c r="B672" s="2" t="s">
        <v>255</v>
      </c>
      <c r="C672" s="2" t="s">
        <v>180</v>
      </c>
      <c r="D672" s="3">
        <v>45723</v>
      </c>
      <c r="E672" s="3">
        <v>45726</v>
      </c>
      <c r="F672" s="4"/>
      <c r="G672" s="2" t="s">
        <v>45</v>
      </c>
      <c r="H672" s="2" t="s">
        <v>59</v>
      </c>
      <c r="I672" s="2" t="s">
        <v>106</v>
      </c>
      <c r="J672" s="2" t="s">
        <v>107</v>
      </c>
      <c r="K672" s="2">
        <v>1032.19</v>
      </c>
      <c r="L672" s="2" t="str">
        <f t="shared" si="60"/>
        <v>March</v>
      </c>
      <c r="M672" s="2" t="str">
        <f t="shared" si="61"/>
        <v>March</v>
      </c>
      <c r="N672" t="str">
        <f t="shared" si="62"/>
        <v>Delivered</v>
      </c>
      <c r="O672">
        <f t="shared" si="63"/>
        <v>3</v>
      </c>
      <c r="P672" t="str">
        <f t="shared" si="64"/>
        <v>Completed</v>
      </c>
      <c r="Q672" t="str">
        <f t="shared" si="65"/>
        <v>Slow</v>
      </c>
      <c r="R672" t="str">
        <f>_xlfn.XLOOKUP(B672,CustomerMaster!$A$2:$A$287,CustomerMaster!$B$2:$B$287)</f>
        <v>Customer_43</v>
      </c>
      <c r="S672" t="str">
        <f>_xlfn.XLOOKUP(C672,ProductMaster!$A$2:$A$51,ProductMaster!$B$2:$B$51)</f>
        <v>Product_40</v>
      </c>
      <c r="T672" t="str">
        <f>_xlfn.XLOOKUP(G672,RegionMaster!$A$2:$A$5,RegionMaster!$B$2:$B$5)</f>
        <v>D</v>
      </c>
    </row>
    <row r="673" spans="1:20" ht="15.75" customHeight="1">
      <c r="A673" s="2" t="s">
        <v>1383</v>
      </c>
      <c r="B673" s="2" t="s">
        <v>344</v>
      </c>
      <c r="C673" s="2" t="s">
        <v>102</v>
      </c>
      <c r="D673" s="3">
        <v>45703</v>
      </c>
      <c r="E673" s="3">
        <v>45708</v>
      </c>
      <c r="F673" s="4"/>
      <c r="G673" s="2" t="s">
        <v>17</v>
      </c>
      <c r="H673" s="2" t="s">
        <v>16</v>
      </c>
      <c r="I673" s="2" t="s">
        <v>121</v>
      </c>
      <c r="J673" s="2" t="s">
        <v>107</v>
      </c>
      <c r="K673" s="2">
        <v>4504.47</v>
      </c>
      <c r="L673" s="2" t="str">
        <f t="shared" si="60"/>
        <v>February</v>
      </c>
      <c r="M673" s="2" t="str">
        <f t="shared" si="61"/>
        <v>February</v>
      </c>
      <c r="N673" t="str">
        <f t="shared" si="62"/>
        <v>Delivered</v>
      </c>
      <c r="O673">
        <f t="shared" si="63"/>
        <v>5</v>
      </c>
      <c r="P673" t="str">
        <f t="shared" si="64"/>
        <v>Completed</v>
      </c>
      <c r="Q673" t="str">
        <f t="shared" si="65"/>
        <v>Slow</v>
      </c>
      <c r="R673" t="str">
        <f>_xlfn.XLOOKUP(B673,CustomerMaster!$A$2:$A$287,CustomerMaster!$B$2:$B$287)</f>
        <v>Customer_80</v>
      </c>
      <c r="S673" t="str">
        <f>_xlfn.XLOOKUP(C673,ProductMaster!$A$2:$A$51,ProductMaster!$B$2:$B$51)</f>
        <v>Product_18</v>
      </c>
      <c r="T673" t="str">
        <f>_xlfn.XLOOKUP(G673,RegionMaster!$A$2:$A$5,RegionMaster!$B$2:$B$5)</f>
        <v>B</v>
      </c>
    </row>
    <row r="674" spans="1:20" ht="15.75" customHeight="1">
      <c r="A674" s="2" t="s">
        <v>1384</v>
      </c>
      <c r="B674" s="2" t="s">
        <v>315</v>
      </c>
      <c r="C674" s="2" t="s">
        <v>164</v>
      </c>
      <c r="D674" s="3">
        <v>45745</v>
      </c>
      <c r="E674" s="4"/>
      <c r="F674" s="3">
        <v>45746</v>
      </c>
      <c r="G674" s="2" t="s">
        <v>17</v>
      </c>
      <c r="H674" s="2" t="s">
        <v>59</v>
      </c>
      <c r="I674" s="2" t="s">
        <v>178</v>
      </c>
      <c r="J674" s="2" t="s">
        <v>107</v>
      </c>
      <c r="K674" s="2">
        <v>585.12</v>
      </c>
      <c r="L674" s="2" t="str">
        <f t="shared" si="60"/>
        <v>March</v>
      </c>
      <c r="M674" s="2" t="str">
        <f t="shared" si="61"/>
        <v>Cancelled</v>
      </c>
      <c r="N674" t="str">
        <f t="shared" si="62"/>
        <v>Cancelled</v>
      </c>
      <c r="O674" t="str">
        <f t="shared" si="63"/>
        <v>Order Cancelled</v>
      </c>
      <c r="P674" t="str">
        <f t="shared" si="64"/>
        <v>Cancelled</v>
      </c>
      <c r="Q674" t="str">
        <f t="shared" si="65"/>
        <v>Cancelled</v>
      </c>
      <c r="R674" t="str">
        <f>_xlfn.XLOOKUP(B674,CustomerMaster!$A$2:$A$287,CustomerMaster!$B$2:$B$287)</f>
        <v>Customer_67</v>
      </c>
      <c r="S674" t="str">
        <f>_xlfn.XLOOKUP(C674,ProductMaster!$A$2:$A$51,ProductMaster!$B$2:$B$51)</f>
        <v>Product_36</v>
      </c>
      <c r="T674" t="str">
        <f>_xlfn.XLOOKUP(G674,RegionMaster!$A$2:$A$5,RegionMaster!$B$2:$B$5)</f>
        <v>B</v>
      </c>
    </row>
    <row r="675" spans="1:20" ht="15.75" customHeight="1">
      <c r="A675" s="2" t="s">
        <v>1385</v>
      </c>
      <c r="B675" s="2" t="s">
        <v>585</v>
      </c>
      <c r="C675" s="2" t="s">
        <v>168</v>
      </c>
      <c r="D675" s="3">
        <v>45726</v>
      </c>
      <c r="E675" s="4"/>
      <c r="F675" s="3">
        <v>45728</v>
      </c>
      <c r="G675" s="2" t="s">
        <v>45</v>
      </c>
      <c r="H675" s="2" t="s">
        <v>59</v>
      </c>
      <c r="I675" s="2" t="s">
        <v>90</v>
      </c>
      <c r="J675" s="2" t="s">
        <v>94</v>
      </c>
      <c r="K675" s="2">
        <v>2717.65</v>
      </c>
      <c r="L675" s="2" t="str">
        <f t="shared" si="60"/>
        <v>March</v>
      </c>
      <c r="M675" s="2" t="str">
        <f t="shared" si="61"/>
        <v>Cancelled</v>
      </c>
      <c r="N675" t="str">
        <f t="shared" si="62"/>
        <v>Cancelled</v>
      </c>
      <c r="O675" t="str">
        <f t="shared" si="63"/>
        <v>Order Cancelled</v>
      </c>
      <c r="P675" t="str">
        <f t="shared" si="64"/>
        <v>Cancelled</v>
      </c>
      <c r="Q675" t="str">
        <f t="shared" si="65"/>
        <v>Cancelled</v>
      </c>
      <c r="R675" t="str">
        <f>_xlfn.XLOOKUP(B675,CustomerMaster!$A$2:$A$287,CustomerMaster!$B$2:$B$287)</f>
        <v>Customer_181</v>
      </c>
      <c r="S675" t="str">
        <f>_xlfn.XLOOKUP(C675,ProductMaster!$A$2:$A$51,ProductMaster!$B$2:$B$51)</f>
        <v>Product_37</v>
      </c>
      <c r="T675" t="str">
        <f>_xlfn.XLOOKUP(G675,RegionMaster!$A$2:$A$5,RegionMaster!$B$2:$B$5)</f>
        <v>D</v>
      </c>
    </row>
    <row r="676" spans="1:20" ht="15.75" customHeight="1">
      <c r="A676" s="2" t="s">
        <v>1386</v>
      </c>
      <c r="B676" s="2" t="s">
        <v>290</v>
      </c>
      <c r="C676" s="2" t="s">
        <v>153</v>
      </c>
      <c r="D676" s="3">
        <v>45714</v>
      </c>
      <c r="E676" s="4"/>
      <c r="F676" s="3">
        <v>45716</v>
      </c>
      <c r="G676" s="2" t="s">
        <v>7</v>
      </c>
      <c r="H676" s="2" t="s">
        <v>27</v>
      </c>
      <c r="I676" s="2" t="s">
        <v>195</v>
      </c>
      <c r="J676" s="2" t="s">
        <v>94</v>
      </c>
      <c r="K676" s="2">
        <v>2169.9</v>
      </c>
      <c r="L676" s="2" t="str">
        <f t="shared" si="60"/>
        <v>February</v>
      </c>
      <c r="M676" s="2" t="str">
        <f t="shared" si="61"/>
        <v>Cancelled</v>
      </c>
      <c r="N676" t="str">
        <f t="shared" si="62"/>
        <v>Cancelled</v>
      </c>
      <c r="O676" t="str">
        <f t="shared" si="63"/>
        <v>Order Cancelled</v>
      </c>
      <c r="P676" t="str">
        <f t="shared" si="64"/>
        <v>Cancelled</v>
      </c>
      <c r="Q676" t="str">
        <f t="shared" si="65"/>
        <v>Cancelled</v>
      </c>
      <c r="R676" t="str">
        <f>_xlfn.XLOOKUP(B676,CustomerMaster!$A$2:$A$287,CustomerMaster!$B$2:$B$287)</f>
        <v>Customer_56</v>
      </c>
      <c r="S676" t="str">
        <f>_xlfn.XLOOKUP(C676,ProductMaster!$A$2:$A$51,ProductMaster!$B$2:$B$51)</f>
        <v>Product_32</v>
      </c>
      <c r="T676" t="str">
        <f>_xlfn.XLOOKUP(G676,RegionMaster!$A$2:$A$5,RegionMaster!$B$2:$B$5)</f>
        <v>A</v>
      </c>
    </row>
    <row r="677" spans="1:20" ht="15.75" customHeight="1">
      <c r="A677" s="2" t="s">
        <v>1387</v>
      </c>
      <c r="B677" s="2" t="s">
        <v>455</v>
      </c>
      <c r="C677" s="2" t="s">
        <v>87</v>
      </c>
      <c r="D677" s="3">
        <v>45722</v>
      </c>
      <c r="E677" s="3">
        <v>45726</v>
      </c>
      <c r="F677" s="4"/>
      <c r="G677" s="2" t="s">
        <v>17</v>
      </c>
      <c r="H677" s="2" t="s">
        <v>37</v>
      </c>
      <c r="I677" s="2" t="s">
        <v>195</v>
      </c>
      <c r="J677" s="2" t="s">
        <v>107</v>
      </c>
      <c r="K677" s="2">
        <v>4915.42</v>
      </c>
      <c r="L677" s="2" t="str">
        <f t="shared" si="60"/>
        <v>March</v>
      </c>
      <c r="M677" s="2" t="str">
        <f t="shared" si="61"/>
        <v>March</v>
      </c>
      <c r="N677" t="str">
        <f t="shared" si="62"/>
        <v>Delivered</v>
      </c>
      <c r="O677">
        <f t="shared" si="63"/>
        <v>4</v>
      </c>
      <c r="P677" t="str">
        <f t="shared" si="64"/>
        <v>Completed</v>
      </c>
      <c r="Q677" t="str">
        <f t="shared" si="65"/>
        <v>Slow</v>
      </c>
      <c r="R677" t="str">
        <f>_xlfn.XLOOKUP(B677,CustomerMaster!$A$2:$A$287,CustomerMaster!$B$2:$B$287)</f>
        <v>Customer_127</v>
      </c>
      <c r="S677" t="str">
        <f>_xlfn.XLOOKUP(C677,ProductMaster!$A$2:$A$51,ProductMaster!$B$2:$B$51)</f>
        <v>Product_15</v>
      </c>
      <c r="T677" t="str">
        <f>_xlfn.XLOOKUP(G677,RegionMaster!$A$2:$A$5,RegionMaster!$B$2:$B$5)</f>
        <v>B</v>
      </c>
    </row>
    <row r="678" spans="1:20" ht="15.75" customHeight="1">
      <c r="A678" s="2" t="s">
        <v>1388</v>
      </c>
      <c r="B678" s="2" t="s">
        <v>155</v>
      </c>
      <c r="C678" s="2" t="s">
        <v>101</v>
      </c>
      <c r="D678" s="3">
        <v>45768</v>
      </c>
      <c r="E678" s="3">
        <v>45771</v>
      </c>
      <c r="F678" s="4"/>
      <c r="G678" s="2" t="s">
        <v>7</v>
      </c>
      <c r="H678" s="2" t="s">
        <v>27</v>
      </c>
      <c r="I678" s="2" t="s">
        <v>106</v>
      </c>
      <c r="J678" s="2" t="s">
        <v>94</v>
      </c>
      <c r="K678" s="2">
        <v>737.79</v>
      </c>
      <c r="L678" s="2" t="str">
        <f t="shared" si="60"/>
        <v>April</v>
      </c>
      <c r="M678" s="2" t="str">
        <f t="shared" si="61"/>
        <v>April</v>
      </c>
      <c r="N678" t="str">
        <f t="shared" si="62"/>
        <v>Delivered</v>
      </c>
      <c r="O678">
        <f t="shared" si="63"/>
        <v>3</v>
      </c>
      <c r="P678" t="str">
        <f t="shared" si="64"/>
        <v>Completed</v>
      </c>
      <c r="Q678" t="str">
        <f t="shared" si="65"/>
        <v>Slow</v>
      </c>
      <c r="R678" t="str">
        <f>_xlfn.XLOOKUP(B678,CustomerMaster!$A$2:$A$287,CustomerMaster!$B$2:$B$287)</f>
        <v>Customer_265</v>
      </c>
      <c r="S678" t="str">
        <f>_xlfn.XLOOKUP(C678,ProductMaster!$A$2:$A$51,ProductMaster!$B$2:$B$51)</f>
        <v>Product_27</v>
      </c>
      <c r="T678" t="str">
        <f>_xlfn.XLOOKUP(G678,RegionMaster!$A$2:$A$5,RegionMaster!$B$2:$B$5)</f>
        <v>A</v>
      </c>
    </row>
    <row r="679" spans="1:20" ht="15.75" customHeight="1">
      <c r="A679" s="2" t="s">
        <v>1389</v>
      </c>
      <c r="B679" s="2" t="s">
        <v>659</v>
      </c>
      <c r="C679" s="2" t="s">
        <v>104</v>
      </c>
      <c r="D679" s="3">
        <v>45701</v>
      </c>
      <c r="E679" s="3">
        <v>45706</v>
      </c>
      <c r="F679" s="4"/>
      <c r="G679" s="2" t="s">
        <v>7</v>
      </c>
      <c r="H679" s="2" t="s">
        <v>16</v>
      </c>
      <c r="I679" s="2" t="s">
        <v>121</v>
      </c>
      <c r="J679" s="2" t="s">
        <v>133</v>
      </c>
      <c r="K679" s="2">
        <v>2109.71</v>
      </c>
      <c r="L679" s="2" t="str">
        <f t="shared" si="60"/>
        <v>February</v>
      </c>
      <c r="M679" s="2" t="str">
        <f t="shared" si="61"/>
        <v>February</v>
      </c>
      <c r="N679" t="str">
        <f t="shared" si="62"/>
        <v>Delivered</v>
      </c>
      <c r="O679">
        <f t="shared" si="63"/>
        <v>5</v>
      </c>
      <c r="P679" t="str">
        <f t="shared" si="64"/>
        <v>Completed</v>
      </c>
      <c r="Q679" t="str">
        <f t="shared" si="65"/>
        <v>Slow</v>
      </c>
      <c r="R679" t="str">
        <f>_xlfn.XLOOKUP(B679,CustomerMaster!$A$2:$A$287,CustomerMaster!$B$2:$B$287)</f>
        <v>Customer_212</v>
      </c>
      <c r="S679" t="str">
        <f>_xlfn.XLOOKUP(C679,ProductMaster!$A$2:$A$51,ProductMaster!$B$2:$B$51)</f>
        <v>Product_19</v>
      </c>
      <c r="T679" t="str">
        <f>_xlfn.XLOOKUP(G679,RegionMaster!$A$2:$A$5,RegionMaster!$B$2:$B$5)</f>
        <v>A</v>
      </c>
    </row>
    <row r="680" spans="1:20" ht="15.75" customHeight="1">
      <c r="A680" s="2" t="s">
        <v>1390</v>
      </c>
      <c r="B680" s="2" t="s">
        <v>464</v>
      </c>
      <c r="C680" s="2" t="s">
        <v>164</v>
      </c>
      <c r="D680" s="3">
        <v>45712</v>
      </c>
      <c r="E680" s="4"/>
      <c r="F680" s="3">
        <v>45712</v>
      </c>
      <c r="G680" s="2" t="s">
        <v>22</v>
      </c>
      <c r="H680" s="2" t="s">
        <v>27</v>
      </c>
      <c r="I680" s="2" t="s">
        <v>178</v>
      </c>
      <c r="J680" s="2" t="s">
        <v>133</v>
      </c>
      <c r="K680" s="2">
        <v>4853.46</v>
      </c>
      <c r="L680" s="2" t="str">
        <f t="shared" si="60"/>
        <v>February</v>
      </c>
      <c r="M680" s="2" t="str">
        <f t="shared" si="61"/>
        <v>Cancelled</v>
      </c>
      <c r="N680" t="str">
        <f t="shared" si="62"/>
        <v>Cancelled</v>
      </c>
      <c r="O680" t="str">
        <f t="shared" si="63"/>
        <v>Order Cancelled</v>
      </c>
      <c r="P680" t="str">
        <f t="shared" si="64"/>
        <v>Cancelled</v>
      </c>
      <c r="Q680" t="str">
        <f t="shared" si="65"/>
        <v>Cancelled</v>
      </c>
      <c r="R680" t="str">
        <f>_xlfn.XLOOKUP(B680,CustomerMaster!$A$2:$A$287,CustomerMaster!$B$2:$B$287)</f>
        <v>Customer_131</v>
      </c>
      <c r="S680" t="str">
        <f>_xlfn.XLOOKUP(C680,ProductMaster!$A$2:$A$51,ProductMaster!$B$2:$B$51)</f>
        <v>Product_36</v>
      </c>
      <c r="T680" t="str">
        <f>_xlfn.XLOOKUP(G680,RegionMaster!$A$2:$A$5,RegionMaster!$B$2:$B$5)</f>
        <v>C</v>
      </c>
    </row>
    <row r="681" spans="1:20" ht="15.75" customHeight="1">
      <c r="A681" s="2" t="s">
        <v>1391</v>
      </c>
      <c r="B681" s="2" t="s">
        <v>361</v>
      </c>
      <c r="C681" s="2" t="s">
        <v>118</v>
      </c>
      <c r="D681" s="3">
        <v>45683</v>
      </c>
      <c r="E681" s="3">
        <v>45684</v>
      </c>
      <c r="F681" s="4"/>
      <c r="G681" s="2" t="s">
        <v>22</v>
      </c>
      <c r="H681" s="2" t="s">
        <v>54</v>
      </c>
      <c r="I681" s="2" t="s">
        <v>195</v>
      </c>
      <c r="J681" s="2" t="s">
        <v>94</v>
      </c>
      <c r="K681" s="2">
        <v>4354.43</v>
      </c>
      <c r="L681" s="2" t="str">
        <f t="shared" si="60"/>
        <v>January</v>
      </c>
      <c r="M681" s="2" t="str">
        <f t="shared" si="61"/>
        <v>January</v>
      </c>
      <c r="N681" t="str">
        <f t="shared" si="62"/>
        <v>Delivered</v>
      </c>
      <c r="O681">
        <f t="shared" si="63"/>
        <v>1</v>
      </c>
      <c r="P681" t="str">
        <f t="shared" si="64"/>
        <v>Completed</v>
      </c>
      <c r="Q681" t="str">
        <f t="shared" si="65"/>
        <v>Fast</v>
      </c>
      <c r="R681" t="str">
        <f>_xlfn.XLOOKUP(B681,CustomerMaster!$A$2:$A$287,CustomerMaster!$B$2:$B$287)</f>
        <v>Customer_88</v>
      </c>
      <c r="S681" t="str">
        <f>_xlfn.XLOOKUP(C681,ProductMaster!$A$2:$A$51,ProductMaster!$B$2:$B$51)</f>
        <v>Product_22</v>
      </c>
      <c r="T681" t="str">
        <f>_xlfn.XLOOKUP(G681,RegionMaster!$A$2:$A$5,RegionMaster!$B$2:$B$5)</f>
        <v>C</v>
      </c>
    </row>
    <row r="682" spans="1:20" ht="15.75" customHeight="1">
      <c r="A682" s="2" t="s">
        <v>1392</v>
      </c>
      <c r="B682" s="2" t="s">
        <v>197</v>
      </c>
      <c r="C682" s="2" t="s">
        <v>191</v>
      </c>
      <c r="D682" s="3">
        <v>45687</v>
      </c>
      <c r="E682" s="3">
        <v>45688</v>
      </c>
      <c r="F682" s="4"/>
      <c r="G682" s="2" t="s">
        <v>17</v>
      </c>
      <c r="H682" s="2" t="s">
        <v>54</v>
      </c>
      <c r="I682" s="2" t="s">
        <v>195</v>
      </c>
      <c r="J682" s="2" t="s">
        <v>107</v>
      </c>
      <c r="K682" s="2">
        <v>4121.95</v>
      </c>
      <c r="L682" s="2" t="str">
        <f t="shared" si="60"/>
        <v>January</v>
      </c>
      <c r="M682" s="2" t="str">
        <f t="shared" si="61"/>
        <v>January</v>
      </c>
      <c r="N682" t="str">
        <f t="shared" si="62"/>
        <v>Delivered</v>
      </c>
      <c r="O682">
        <f t="shared" si="63"/>
        <v>1</v>
      </c>
      <c r="P682" t="str">
        <f t="shared" si="64"/>
        <v>Completed</v>
      </c>
      <c r="Q682" t="str">
        <f t="shared" si="65"/>
        <v>Fast</v>
      </c>
      <c r="R682" t="str">
        <f>_xlfn.XLOOKUP(B682,CustomerMaster!$A$2:$A$287,CustomerMaster!$B$2:$B$287)</f>
        <v>Customer_26</v>
      </c>
      <c r="S682" t="str">
        <f>_xlfn.XLOOKUP(C682,ProductMaster!$A$2:$A$51,ProductMaster!$B$2:$B$51)</f>
        <v>Product_43</v>
      </c>
      <c r="T682" t="str">
        <f>_xlfn.XLOOKUP(G682,RegionMaster!$A$2:$A$5,RegionMaster!$B$2:$B$5)</f>
        <v>B</v>
      </c>
    </row>
    <row r="683" spans="1:20" ht="15.75" customHeight="1">
      <c r="A683" s="2" t="s">
        <v>1393</v>
      </c>
      <c r="B683" s="2" t="s">
        <v>76</v>
      </c>
      <c r="C683" s="2" t="s">
        <v>172</v>
      </c>
      <c r="D683" s="3">
        <v>45662</v>
      </c>
      <c r="E683" s="3">
        <v>45663</v>
      </c>
      <c r="F683" s="4"/>
      <c r="G683" s="2" t="s">
        <v>22</v>
      </c>
      <c r="H683" s="2" t="s">
        <v>37</v>
      </c>
      <c r="I683" s="2" t="s">
        <v>195</v>
      </c>
      <c r="J683" s="2" t="s">
        <v>94</v>
      </c>
      <c r="K683" s="2">
        <v>1437.93</v>
      </c>
      <c r="L683" s="2" t="str">
        <f t="shared" si="60"/>
        <v>January</v>
      </c>
      <c r="M683" s="2" t="str">
        <f t="shared" si="61"/>
        <v>January</v>
      </c>
      <c r="N683" t="str">
        <f t="shared" si="62"/>
        <v>Delivered</v>
      </c>
      <c r="O683">
        <f t="shared" si="63"/>
        <v>1</v>
      </c>
      <c r="P683" t="str">
        <f t="shared" si="64"/>
        <v>Completed</v>
      </c>
      <c r="Q683" t="str">
        <f t="shared" si="65"/>
        <v>Fast</v>
      </c>
      <c r="R683" t="str">
        <f>_xlfn.XLOOKUP(B683,CustomerMaster!$A$2:$A$287,CustomerMaster!$B$2:$B$287)</f>
        <v>Customer_9</v>
      </c>
      <c r="S683" t="str">
        <f>_xlfn.XLOOKUP(C683,ProductMaster!$A$2:$A$51,ProductMaster!$B$2:$B$51)</f>
        <v>Product_39</v>
      </c>
      <c r="T683" t="str">
        <f>_xlfn.XLOOKUP(G683,RegionMaster!$A$2:$A$5,RegionMaster!$B$2:$B$5)</f>
        <v>C</v>
      </c>
    </row>
    <row r="684" spans="1:20" ht="15.75" customHeight="1">
      <c r="A684" s="2" t="s">
        <v>1394</v>
      </c>
      <c r="B684" s="2" t="s">
        <v>57</v>
      </c>
      <c r="C684" s="2" t="s">
        <v>168</v>
      </c>
      <c r="D684" s="3">
        <v>45691</v>
      </c>
      <c r="E684" s="3">
        <v>45695</v>
      </c>
      <c r="F684" s="4"/>
      <c r="G684" s="2" t="s">
        <v>17</v>
      </c>
      <c r="H684" s="2" t="s">
        <v>16</v>
      </c>
      <c r="I684" s="2" t="s">
        <v>121</v>
      </c>
      <c r="J684" s="2" t="s">
        <v>133</v>
      </c>
      <c r="K684" s="2">
        <v>1020.26</v>
      </c>
      <c r="L684" s="2" t="str">
        <f t="shared" si="60"/>
        <v>February</v>
      </c>
      <c r="M684" s="2" t="str">
        <f t="shared" si="61"/>
        <v>February</v>
      </c>
      <c r="N684" t="str">
        <f t="shared" si="62"/>
        <v>Delivered</v>
      </c>
      <c r="O684">
        <f t="shared" si="63"/>
        <v>4</v>
      </c>
      <c r="P684" t="str">
        <f t="shared" si="64"/>
        <v>Completed</v>
      </c>
      <c r="Q684" t="str">
        <f t="shared" si="65"/>
        <v>Slow</v>
      </c>
      <c r="R684" t="str">
        <f>_xlfn.XLOOKUP(B684,CustomerMaster!$A$2:$A$287,CustomerMaster!$B$2:$B$287)</f>
        <v>Customer_6</v>
      </c>
      <c r="S684" t="str">
        <f>_xlfn.XLOOKUP(C684,ProductMaster!$A$2:$A$51,ProductMaster!$B$2:$B$51)</f>
        <v>Product_37</v>
      </c>
      <c r="T684" t="str">
        <f>_xlfn.XLOOKUP(G684,RegionMaster!$A$2:$A$5,RegionMaster!$B$2:$B$5)</f>
        <v>B</v>
      </c>
    </row>
    <row r="685" spans="1:20" ht="15.75" customHeight="1">
      <c r="A685" s="2" t="s">
        <v>1395</v>
      </c>
      <c r="B685" s="2" t="s">
        <v>320</v>
      </c>
      <c r="C685" s="2" t="s">
        <v>95</v>
      </c>
      <c r="D685" s="3">
        <v>45711</v>
      </c>
      <c r="E685" s="4"/>
      <c r="F685" s="3">
        <v>45712</v>
      </c>
      <c r="G685" s="2" t="s">
        <v>7</v>
      </c>
      <c r="H685" s="2" t="s">
        <v>27</v>
      </c>
      <c r="I685" s="2" t="s">
        <v>178</v>
      </c>
      <c r="J685" s="2" t="s">
        <v>94</v>
      </c>
      <c r="K685" s="2">
        <v>3409.49</v>
      </c>
      <c r="L685" s="2" t="str">
        <f t="shared" si="60"/>
        <v>February</v>
      </c>
      <c r="M685" s="2" t="str">
        <f t="shared" si="61"/>
        <v>Cancelled</v>
      </c>
      <c r="N685" t="str">
        <f t="shared" si="62"/>
        <v>Cancelled</v>
      </c>
      <c r="O685" t="str">
        <f t="shared" si="63"/>
        <v>Order Cancelled</v>
      </c>
      <c r="P685" t="str">
        <f t="shared" si="64"/>
        <v>Cancelled</v>
      </c>
      <c r="Q685" t="str">
        <f t="shared" si="65"/>
        <v>Cancelled</v>
      </c>
      <c r="R685" t="str">
        <f>_xlfn.XLOOKUP(B685,CustomerMaster!$A$2:$A$287,CustomerMaster!$B$2:$B$287)</f>
        <v>Customer_70</v>
      </c>
      <c r="S685" t="str">
        <f>_xlfn.XLOOKUP(C685,ProductMaster!$A$2:$A$51,ProductMaster!$B$2:$B$51)</f>
        <v>Product_17</v>
      </c>
      <c r="T685" t="str">
        <f>_xlfn.XLOOKUP(G685,RegionMaster!$A$2:$A$5,RegionMaster!$B$2:$B$5)</f>
        <v>A</v>
      </c>
    </row>
    <row r="686" spans="1:20" ht="15.75" customHeight="1">
      <c r="A686" s="2" t="s">
        <v>1396</v>
      </c>
      <c r="B686" s="2" t="s">
        <v>544</v>
      </c>
      <c r="C686" s="2" t="s">
        <v>43</v>
      </c>
      <c r="D686" s="3">
        <v>45760</v>
      </c>
      <c r="E686" s="4"/>
      <c r="F686" s="3">
        <v>45762</v>
      </c>
      <c r="G686" s="2" t="s">
        <v>45</v>
      </c>
      <c r="H686" s="2" t="s">
        <v>59</v>
      </c>
      <c r="I686" s="2" t="s">
        <v>106</v>
      </c>
      <c r="J686" s="2" t="s">
        <v>94</v>
      </c>
      <c r="K686" s="2">
        <v>4661</v>
      </c>
      <c r="L686" s="2" t="str">
        <f t="shared" si="60"/>
        <v>April</v>
      </c>
      <c r="M686" s="2" t="str">
        <f t="shared" si="61"/>
        <v>Cancelled</v>
      </c>
      <c r="N686" t="str">
        <f t="shared" si="62"/>
        <v>Cancelled</v>
      </c>
      <c r="O686" t="str">
        <f t="shared" si="63"/>
        <v>Order Cancelled</v>
      </c>
      <c r="P686" t="str">
        <f t="shared" si="64"/>
        <v>Cancelled</v>
      </c>
      <c r="Q686" t="str">
        <f t="shared" si="65"/>
        <v>Cancelled</v>
      </c>
      <c r="R686" t="str">
        <f>_xlfn.XLOOKUP(B686,CustomerMaster!$A$2:$A$287,CustomerMaster!$B$2:$B$287)</f>
        <v>Customer_163</v>
      </c>
      <c r="S686" t="str">
        <f>_xlfn.XLOOKUP(C686,ProductMaster!$A$2:$A$51,ProductMaster!$B$2:$B$51)</f>
        <v>Product_5</v>
      </c>
      <c r="T686" t="str">
        <f>_xlfn.XLOOKUP(G686,RegionMaster!$A$2:$A$5,RegionMaster!$B$2:$B$5)</f>
        <v>D</v>
      </c>
    </row>
    <row r="687" spans="1:20" ht="15.75" customHeight="1">
      <c r="A687" s="2" t="s">
        <v>1397</v>
      </c>
      <c r="B687" s="2" t="s">
        <v>781</v>
      </c>
      <c r="C687" s="2" t="s">
        <v>56</v>
      </c>
      <c r="D687" s="3">
        <v>45749</v>
      </c>
      <c r="E687" s="3">
        <v>45753</v>
      </c>
      <c r="F687" s="4"/>
      <c r="G687" s="2" t="s">
        <v>17</v>
      </c>
      <c r="H687" s="2" t="s">
        <v>54</v>
      </c>
      <c r="I687" s="2" t="s">
        <v>90</v>
      </c>
      <c r="J687" s="2" t="s">
        <v>107</v>
      </c>
      <c r="K687" s="2">
        <v>2872.46</v>
      </c>
      <c r="L687" s="2" t="str">
        <f t="shared" si="60"/>
        <v>April</v>
      </c>
      <c r="M687" s="2" t="str">
        <f t="shared" si="61"/>
        <v>April</v>
      </c>
      <c r="N687" t="str">
        <f t="shared" si="62"/>
        <v>Delivered</v>
      </c>
      <c r="O687">
        <f t="shared" si="63"/>
        <v>4</v>
      </c>
      <c r="P687" t="str">
        <f t="shared" si="64"/>
        <v>Completed</v>
      </c>
      <c r="Q687" t="str">
        <f t="shared" si="65"/>
        <v>Slow</v>
      </c>
      <c r="R687" t="str">
        <f>_xlfn.XLOOKUP(B687,CustomerMaster!$A$2:$A$287,CustomerMaster!$B$2:$B$287)</f>
        <v>Customer_273</v>
      </c>
      <c r="S687" t="str">
        <f>_xlfn.XLOOKUP(C687,ProductMaster!$A$2:$A$51,ProductMaster!$B$2:$B$51)</f>
        <v>Product_7</v>
      </c>
      <c r="T687" t="str">
        <f>_xlfn.XLOOKUP(G687,RegionMaster!$A$2:$A$5,RegionMaster!$B$2:$B$5)</f>
        <v>B</v>
      </c>
    </row>
    <row r="688" spans="1:20" ht="15.75" customHeight="1">
      <c r="A688" s="2" t="s">
        <v>1398</v>
      </c>
      <c r="B688" s="2" t="s">
        <v>533</v>
      </c>
      <c r="C688" s="2" t="s">
        <v>130</v>
      </c>
      <c r="D688" s="3">
        <v>45741</v>
      </c>
      <c r="E688" s="3">
        <v>45744</v>
      </c>
      <c r="F688" s="4"/>
      <c r="G688" s="2" t="s">
        <v>7</v>
      </c>
      <c r="H688" s="2" t="s">
        <v>54</v>
      </c>
      <c r="I688" s="2" t="s">
        <v>195</v>
      </c>
      <c r="J688" s="2" t="s">
        <v>133</v>
      </c>
      <c r="K688" s="2">
        <v>2943.74</v>
      </c>
      <c r="L688" s="2" t="str">
        <f t="shared" si="60"/>
        <v>March</v>
      </c>
      <c r="M688" s="2" t="str">
        <f t="shared" si="61"/>
        <v>March</v>
      </c>
      <c r="N688" t="str">
        <f t="shared" si="62"/>
        <v>Delivered</v>
      </c>
      <c r="O688">
        <f t="shared" si="63"/>
        <v>3</v>
      </c>
      <c r="P688" t="str">
        <f t="shared" si="64"/>
        <v>Completed</v>
      </c>
      <c r="Q688" t="str">
        <f t="shared" si="65"/>
        <v>Slow</v>
      </c>
      <c r="R688" t="str">
        <f>_xlfn.XLOOKUP(B688,CustomerMaster!$A$2:$A$287,CustomerMaster!$B$2:$B$287)</f>
        <v>Customer_262</v>
      </c>
      <c r="S688" t="str">
        <f>_xlfn.XLOOKUP(C688,ProductMaster!$A$2:$A$51,ProductMaster!$B$2:$B$51)</f>
        <v>Product_26</v>
      </c>
      <c r="T688" t="str">
        <f>_xlfn.XLOOKUP(G688,RegionMaster!$A$2:$A$5,RegionMaster!$B$2:$B$5)</f>
        <v>A</v>
      </c>
    </row>
    <row r="689" spans="1:20" ht="15.75" customHeight="1">
      <c r="A689" s="2" t="s">
        <v>1399</v>
      </c>
      <c r="B689" s="2" t="s">
        <v>221</v>
      </c>
      <c r="C689" s="2" t="s">
        <v>153</v>
      </c>
      <c r="D689" s="3">
        <v>45717</v>
      </c>
      <c r="E689" s="3">
        <v>45719</v>
      </c>
      <c r="F689" s="4"/>
      <c r="G689" s="2" t="s">
        <v>7</v>
      </c>
      <c r="H689" s="2" t="s">
        <v>54</v>
      </c>
      <c r="I689" s="2" t="s">
        <v>195</v>
      </c>
      <c r="J689" s="2" t="s">
        <v>94</v>
      </c>
      <c r="K689" s="2">
        <v>1543.9</v>
      </c>
      <c r="L689" s="2" t="str">
        <f t="shared" si="60"/>
        <v>March</v>
      </c>
      <c r="M689" s="2" t="str">
        <f t="shared" si="61"/>
        <v>March</v>
      </c>
      <c r="N689" t="str">
        <f t="shared" si="62"/>
        <v>Delivered</v>
      </c>
      <c r="O689">
        <f t="shared" si="63"/>
        <v>2</v>
      </c>
      <c r="P689" t="str">
        <f t="shared" si="64"/>
        <v>Completed</v>
      </c>
      <c r="Q689" t="str">
        <f t="shared" si="65"/>
        <v>Fast</v>
      </c>
      <c r="R689" t="str">
        <f>_xlfn.XLOOKUP(B689,CustomerMaster!$A$2:$A$287,CustomerMaster!$B$2:$B$287)</f>
        <v>Customer_68</v>
      </c>
      <c r="S689" t="str">
        <f>_xlfn.XLOOKUP(C689,ProductMaster!$A$2:$A$51,ProductMaster!$B$2:$B$51)</f>
        <v>Product_32</v>
      </c>
      <c r="T689" t="str">
        <f>_xlfn.XLOOKUP(G689,RegionMaster!$A$2:$A$5,RegionMaster!$B$2:$B$5)</f>
        <v>A</v>
      </c>
    </row>
    <row r="690" spans="1:20" ht="15.75" customHeight="1">
      <c r="A690" s="2" t="s">
        <v>1400</v>
      </c>
      <c r="B690" s="2" t="s">
        <v>313</v>
      </c>
      <c r="C690" s="2" t="s">
        <v>207</v>
      </c>
      <c r="D690" s="3">
        <v>45668</v>
      </c>
      <c r="E690" s="4"/>
      <c r="F690" s="3">
        <v>45670</v>
      </c>
      <c r="G690" s="2" t="s">
        <v>22</v>
      </c>
      <c r="H690" s="2" t="s">
        <v>54</v>
      </c>
      <c r="I690" s="2" t="s">
        <v>178</v>
      </c>
      <c r="J690" s="2" t="s">
        <v>107</v>
      </c>
      <c r="K690" s="2">
        <v>3893.57</v>
      </c>
      <c r="L690" s="2" t="str">
        <f t="shared" si="60"/>
        <v>January</v>
      </c>
      <c r="M690" s="2" t="str">
        <f t="shared" si="61"/>
        <v>Cancelled</v>
      </c>
      <c r="N690" t="str">
        <f t="shared" si="62"/>
        <v>Cancelled</v>
      </c>
      <c r="O690" t="str">
        <f t="shared" si="63"/>
        <v>Order Cancelled</v>
      </c>
      <c r="P690" t="str">
        <f t="shared" si="64"/>
        <v>Cancelled</v>
      </c>
      <c r="Q690" t="str">
        <f t="shared" si="65"/>
        <v>Cancelled</v>
      </c>
      <c r="R690" t="str">
        <f>_xlfn.XLOOKUP(B690,CustomerMaster!$A$2:$A$287,CustomerMaster!$B$2:$B$287)</f>
        <v>Customer_66</v>
      </c>
      <c r="S690" t="str">
        <f>_xlfn.XLOOKUP(C690,ProductMaster!$A$2:$A$51,ProductMaster!$B$2:$B$51)</f>
        <v>Product_47</v>
      </c>
      <c r="T690" t="str">
        <f>_xlfn.XLOOKUP(G690,RegionMaster!$A$2:$A$5,RegionMaster!$B$2:$B$5)</f>
        <v>C</v>
      </c>
    </row>
    <row r="691" spans="1:20" ht="15.75" customHeight="1">
      <c r="A691" s="2" t="s">
        <v>1401</v>
      </c>
      <c r="B691" s="2" t="s">
        <v>11</v>
      </c>
      <c r="C691" s="2" t="s">
        <v>162</v>
      </c>
      <c r="D691" s="3">
        <v>45764</v>
      </c>
      <c r="E691" s="4"/>
      <c r="F691" s="3">
        <v>45765</v>
      </c>
      <c r="G691" s="2" t="s">
        <v>45</v>
      </c>
      <c r="H691" s="2" t="s">
        <v>54</v>
      </c>
      <c r="I691" s="2" t="s">
        <v>121</v>
      </c>
      <c r="J691" s="2" t="s">
        <v>94</v>
      </c>
      <c r="K691" s="2">
        <v>1097.81</v>
      </c>
      <c r="L691" s="2" t="str">
        <f t="shared" si="60"/>
        <v>April</v>
      </c>
      <c r="M691" s="2" t="str">
        <f t="shared" si="61"/>
        <v>Cancelled</v>
      </c>
      <c r="N691" t="str">
        <f t="shared" si="62"/>
        <v>Cancelled</v>
      </c>
      <c r="O691" t="str">
        <f t="shared" si="63"/>
        <v>Order Cancelled</v>
      </c>
      <c r="P691" t="str">
        <f t="shared" si="64"/>
        <v>Cancelled</v>
      </c>
      <c r="Q691" t="str">
        <f t="shared" si="65"/>
        <v>Cancelled</v>
      </c>
      <c r="R691" t="str">
        <f>_xlfn.XLOOKUP(B691,CustomerMaster!$A$2:$A$287,CustomerMaster!$B$2:$B$287)</f>
        <v>Customer_0</v>
      </c>
      <c r="S691" t="str">
        <f>_xlfn.XLOOKUP(C691,ProductMaster!$A$2:$A$51,ProductMaster!$B$2:$B$51)</f>
        <v>Product_35</v>
      </c>
      <c r="T691" t="str">
        <f>_xlfn.XLOOKUP(G691,RegionMaster!$A$2:$A$5,RegionMaster!$B$2:$B$5)</f>
        <v>D</v>
      </c>
    </row>
    <row r="692" spans="1:20" ht="15.75" customHeight="1">
      <c r="A692" s="2" t="s">
        <v>1402</v>
      </c>
      <c r="B692" s="2" t="s">
        <v>637</v>
      </c>
      <c r="C692" s="2" t="s">
        <v>160</v>
      </c>
      <c r="D692" s="3">
        <v>45745</v>
      </c>
      <c r="E692" s="3">
        <v>45746</v>
      </c>
      <c r="F692" s="4"/>
      <c r="G692" s="2" t="s">
        <v>7</v>
      </c>
      <c r="H692" s="2" t="s">
        <v>16</v>
      </c>
      <c r="I692" s="2" t="s">
        <v>106</v>
      </c>
      <c r="J692" s="2" t="s">
        <v>107</v>
      </c>
      <c r="K692" s="2">
        <v>1753.66</v>
      </c>
      <c r="L692" s="2" t="str">
        <f t="shared" si="60"/>
        <v>March</v>
      </c>
      <c r="M692" s="2" t="str">
        <f t="shared" si="61"/>
        <v>March</v>
      </c>
      <c r="N692" t="str">
        <f t="shared" si="62"/>
        <v>Delivered</v>
      </c>
      <c r="O692">
        <f t="shared" si="63"/>
        <v>1</v>
      </c>
      <c r="P692" t="str">
        <f t="shared" si="64"/>
        <v>Completed</v>
      </c>
      <c r="Q692" t="str">
        <f t="shared" si="65"/>
        <v>Fast</v>
      </c>
      <c r="R692" t="str">
        <f>_xlfn.XLOOKUP(B692,CustomerMaster!$A$2:$A$287,CustomerMaster!$B$2:$B$287)</f>
        <v>Customer_203</v>
      </c>
      <c r="S692" t="str">
        <f>_xlfn.XLOOKUP(C692,ProductMaster!$A$2:$A$51,ProductMaster!$B$2:$B$51)</f>
        <v>Product_34</v>
      </c>
      <c r="T692" t="str">
        <f>_xlfn.XLOOKUP(G692,RegionMaster!$A$2:$A$5,RegionMaster!$B$2:$B$5)</f>
        <v>A</v>
      </c>
    </row>
    <row r="693" spans="1:20" ht="15.75" customHeight="1">
      <c r="A693" s="2" t="s">
        <v>1403</v>
      </c>
      <c r="B693" s="2" t="s">
        <v>629</v>
      </c>
      <c r="C693" s="2" t="s">
        <v>104</v>
      </c>
      <c r="D693" s="3">
        <v>45724</v>
      </c>
      <c r="E693" s="3">
        <v>45727</v>
      </c>
      <c r="F693" s="4"/>
      <c r="G693" s="2" t="s">
        <v>17</v>
      </c>
      <c r="H693" s="2" t="s">
        <v>54</v>
      </c>
      <c r="I693" s="2" t="s">
        <v>178</v>
      </c>
      <c r="J693" s="2" t="s">
        <v>94</v>
      </c>
      <c r="K693" s="2">
        <v>2242.09</v>
      </c>
      <c r="L693" s="2" t="str">
        <f t="shared" si="60"/>
        <v>March</v>
      </c>
      <c r="M693" s="2" t="str">
        <f t="shared" si="61"/>
        <v>March</v>
      </c>
      <c r="N693" t="str">
        <f t="shared" si="62"/>
        <v>Delivered</v>
      </c>
      <c r="O693">
        <f t="shared" si="63"/>
        <v>3</v>
      </c>
      <c r="P693" t="str">
        <f t="shared" si="64"/>
        <v>Completed</v>
      </c>
      <c r="Q693" t="str">
        <f t="shared" si="65"/>
        <v>Slow</v>
      </c>
      <c r="R693" t="str">
        <f>_xlfn.XLOOKUP(B693,CustomerMaster!$A$2:$A$287,CustomerMaster!$B$2:$B$287)</f>
        <v>Customer_200</v>
      </c>
      <c r="S693" t="str">
        <f>_xlfn.XLOOKUP(C693,ProductMaster!$A$2:$A$51,ProductMaster!$B$2:$B$51)</f>
        <v>Product_19</v>
      </c>
      <c r="T693" t="str">
        <f>_xlfn.XLOOKUP(G693,RegionMaster!$A$2:$A$5,RegionMaster!$B$2:$B$5)</f>
        <v>B</v>
      </c>
    </row>
    <row r="694" spans="1:20" ht="15.75" customHeight="1">
      <c r="A694" s="2" t="s">
        <v>1404</v>
      </c>
      <c r="B694" s="2" t="s">
        <v>289</v>
      </c>
      <c r="C694" s="2" t="s">
        <v>118</v>
      </c>
      <c r="D694" s="3">
        <v>45755</v>
      </c>
      <c r="E694" s="4"/>
      <c r="F694" s="3">
        <v>45755</v>
      </c>
      <c r="G694" s="2" t="s">
        <v>7</v>
      </c>
      <c r="H694" s="2" t="s">
        <v>37</v>
      </c>
      <c r="I694" s="2" t="s">
        <v>195</v>
      </c>
      <c r="J694" s="2" t="s">
        <v>133</v>
      </c>
      <c r="K694" s="2">
        <v>2636.53</v>
      </c>
      <c r="L694" s="2" t="str">
        <f t="shared" si="60"/>
        <v>April</v>
      </c>
      <c r="M694" s="2" t="str">
        <f t="shared" si="61"/>
        <v>Cancelled</v>
      </c>
      <c r="N694" t="str">
        <f t="shared" si="62"/>
        <v>Cancelled</v>
      </c>
      <c r="O694" t="str">
        <f t="shared" si="63"/>
        <v>Order Cancelled</v>
      </c>
      <c r="P694" t="str">
        <f t="shared" si="64"/>
        <v>Cancelled</v>
      </c>
      <c r="Q694" t="str">
        <f t="shared" si="65"/>
        <v>Cancelled</v>
      </c>
      <c r="R694" t="str">
        <f>_xlfn.XLOOKUP(B694,CustomerMaster!$A$2:$A$287,CustomerMaster!$B$2:$B$287)</f>
        <v>Customer_283</v>
      </c>
      <c r="S694" t="str">
        <f>_xlfn.XLOOKUP(C694,ProductMaster!$A$2:$A$51,ProductMaster!$B$2:$B$51)</f>
        <v>Product_22</v>
      </c>
      <c r="T694" t="str">
        <f>_xlfn.XLOOKUP(G694,RegionMaster!$A$2:$A$5,RegionMaster!$B$2:$B$5)</f>
        <v>A</v>
      </c>
    </row>
    <row r="695" spans="1:20" ht="15.75" customHeight="1">
      <c r="A695" s="2" t="s">
        <v>1405</v>
      </c>
      <c r="B695" s="2" t="s">
        <v>313</v>
      </c>
      <c r="C695" s="2" t="s">
        <v>69</v>
      </c>
      <c r="D695" s="3">
        <v>45726</v>
      </c>
      <c r="E695" s="3">
        <v>45729</v>
      </c>
      <c r="F695" s="4"/>
      <c r="G695" s="2" t="s">
        <v>22</v>
      </c>
      <c r="H695" s="2" t="s">
        <v>54</v>
      </c>
      <c r="I695" s="2" t="s">
        <v>195</v>
      </c>
      <c r="J695" s="2" t="s">
        <v>133</v>
      </c>
      <c r="K695" s="2">
        <v>1363.57</v>
      </c>
      <c r="L695" s="2" t="str">
        <f t="shared" si="60"/>
        <v>March</v>
      </c>
      <c r="M695" s="2" t="str">
        <f t="shared" si="61"/>
        <v>March</v>
      </c>
      <c r="N695" t="str">
        <f t="shared" si="62"/>
        <v>Delivered</v>
      </c>
      <c r="O695">
        <f t="shared" si="63"/>
        <v>3</v>
      </c>
      <c r="P695" t="str">
        <f t="shared" si="64"/>
        <v>Completed</v>
      </c>
      <c r="Q695" t="str">
        <f t="shared" si="65"/>
        <v>Slow</v>
      </c>
      <c r="R695" t="str">
        <f>_xlfn.XLOOKUP(B695,CustomerMaster!$A$2:$A$287,CustomerMaster!$B$2:$B$287)</f>
        <v>Customer_66</v>
      </c>
      <c r="S695" t="str">
        <f>_xlfn.XLOOKUP(C695,ProductMaster!$A$2:$A$51,ProductMaster!$B$2:$B$51)</f>
        <v>Product_9</v>
      </c>
      <c r="T695" t="str">
        <f>_xlfn.XLOOKUP(G695,RegionMaster!$A$2:$A$5,RegionMaster!$B$2:$B$5)</f>
        <v>C</v>
      </c>
    </row>
    <row r="696" spans="1:20" ht="15.75" customHeight="1">
      <c r="A696" s="2" t="s">
        <v>1406</v>
      </c>
      <c r="B696" s="2" t="s">
        <v>51</v>
      </c>
      <c r="C696" s="2" t="s">
        <v>125</v>
      </c>
      <c r="D696" s="3">
        <v>45661</v>
      </c>
      <c r="E696" s="4"/>
      <c r="F696" s="3">
        <v>45663</v>
      </c>
      <c r="G696" s="2" t="s">
        <v>45</v>
      </c>
      <c r="H696" s="2" t="s">
        <v>37</v>
      </c>
      <c r="I696" s="2" t="s">
        <v>90</v>
      </c>
      <c r="J696" s="2" t="s">
        <v>133</v>
      </c>
      <c r="K696" s="2">
        <v>751.22</v>
      </c>
      <c r="L696" s="2" t="str">
        <f t="shared" si="60"/>
        <v>January</v>
      </c>
      <c r="M696" s="2" t="str">
        <f t="shared" si="61"/>
        <v>Cancelled</v>
      </c>
      <c r="N696" t="str">
        <f t="shared" si="62"/>
        <v>Cancelled</v>
      </c>
      <c r="O696" t="str">
        <f t="shared" si="63"/>
        <v>Order Cancelled</v>
      </c>
      <c r="P696" t="str">
        <f t="shared" si="64"/>
        <v>Cancelled</v>
      </c>
      <c r="Q696" t="str">
        <f t="shared" si="65"/>
        <v>Cancelled</v>
      </c>
      <c r="R696" t="str">
        <f>_xlfn.XLOOKUP(B696,CustomerMaster!$A$2:$A$287,CustomerMaster!$B$2:$B$287)</f>
        <v>Customer_5</v>
      </c>
      <c r="S696" t="str">
        <f>_xlfn.XLOOKUP(C696,ProductMaster!$A$2:$A$51,ProductMaster!$B$2:$B$51)</f>
        <v>Product_24</v>
      </c>
      <c r="T696" t="str">
        <f>_xlfn.XLOOKUP(G696,RegionMaster!$A$2:$A$5,RegionMaster!$B$2:$B$5)</f>
        <v>D</v>
      </c>
    </row>
    <row r="697" spans="1:20" ht="15.75" customHeight="1">
      <c r="A697" s="2" t="s">
        <v>1407</v>
      </c>
      <c r="B697" s="2" t="s">
        <v>542</v>
      </c>
      <c r="C697" s="2" t="s">
        <v>20</v>
      </c>
      <c r="D697" s="3">
        <v>45665</v>
      </c>
      <c r="E697" s="3">
        <v>45667</v>
      </c>
      <c r="F697" s="4"/>
      <c r="G697" s="2" t="s">
        <v>7</v>
      </c>
      <c r="H697" s="2" t="s">
        <v>16</v>
      </c>
      <c r="I697" s="2" t="s">
        <v>178</v>
      </c>
      <c r="J697" s="2" t="s">
        <v>94</v>
      </c>
      <c r="K697" s="2">
        <v>3130.98</v>
      </c>
      <c r="L697" s="2" t="str">
        <f t="shared" si="60"/>
        <v>January</v>
      </c>
      <c r="M697" s="2" t="str">
        <f t="shared" si="61"/>
        <v>January</v>
      </c>
      <c r="N697" t="str">
        <f t="shared" si="62"/>
        <v>Delivered</v>
      </c>
      <c r="O697">
        <f t="shared" si="63"/>
        <v>2</v>
      </c>
      <c r="P697" t="str">
        <f t="shared" si="64"/>
        <v>Completed</v>
      </c>
      <c r="Q697" t="str">
        <f t="shared" si="65"/>
        <v>Fast</v>
      </c>
      <c r="R697" t="str">
        <f>_xlfn.XLOOKUP(B697,CustomerMaster!$A$2:$A$287,CustomerMaster!$B$2:$B$287)</f>
        <v>Customer_162</v>
      </c>
      <c r="S697" t="str">
        <f>_xlfn.XLOOKUP(C697,ProductMaster!$A$2:$A$51,ProductMaster!$B$2:$B$51)</f>
        <v>Product_1</v>
      </c>
      <c r="T697" t="str">
        <f>_xlfn.XLOOKUP(G697,RegionMaster!$A$2:$A$5,RegionMaster!$B$2:$B$5)</f>
        <v>A</v>
      </c>
    </row>
    <row r="698" spans="1:20" ht="15.75" customHeight="1">
      <c r="A698" s="2" t="s">
        <v>1408</v>
      </c>
      <c r="B698" s="2" t="s">
        <v>507</v>
      </c>
      <c r="C698" s="2" t="s">
        <v>118</v>
      </c>
      <c r="D698" s="3">
        <v>45712</v>
      </c>
      <c r="E698" s="4"/>
      <c r="F698" s="3">
        <v>45712</v>
      </c>
      <c r="G698" s="2" t="s">
        <v>7</v>
      </c>
      <c r="H698" s="2" t="s">
        <v>54</v>
      </c>
      <c r="I698" s="2" t="s">
        <v>106</v>
      </c>
      <c r="J698" s="2" t="s">
        <v>107</v>
      </c>
      <c r="K698" s="2">
        <v>1585.43</v>
      </c>
      <c r="L698" s="2" t="str">
        <f t="shared" si="60"/>
        <v>February</v>
      </c>
      <c r="M698" s="2" t="str">
        <f t="shared" si="61"/>
        <v>Cancelled</v>
      </c>
      <c r="N698" t="str">
        <f t="shared" si="62"/>
        <v>Cancelled</v>
      </c>
      <c r="O698" t="str">
        <f t="shared" si="63"/>
        <v>Order Cancelled</v>
      </c>
      <c r="P698" t="str">
        <f t="shared" si="64"/>
        <v>Cancelled</v>
      </c>
      <c r="Q698" t="str">
        <f t="shared" si="65"/>
        <v>Cancelled</v>
      </c>
      <c r="R698" t="str">
        <f>_xlfn.XLOOKUP(B698,CustomerMaster!$A$2:$A$287,CustomerMaster!$B$2:$B$287)</f>
        <v>Customer_269</v>
      </c>
      <c r="S698" t="str">
        <f>_xlfn.XLOOKUP(C698,ProductMaster!$A$2:$A$51,ProductMaster!$B$2:$B$51)</f>
        <v>Product_22</v>
      </c>
      <c r="T698" t="str">
        <f>_xlfn.XLOOKUP(G698,RegionMaster!$A$2:$A$5,RegionMaster!$B$2:$B$5)</f>
        <v>A</v>
      </c>
    </row>
    <row r="699" spans="1:20" ht="15.75" customHeight="1">
      <c r="A699" s="2" t="s">
        <v>1409</v>
      </c>
      <c r="B699" s="2" t="s">
        <v>515</v>
      </c>
      <c r="C699" s="2" t="s">
        <v>162</v>
      </c>
      <c r="D699" s="3">
        <v>45663</v>
      </c>
      <c r="E699" s="4"/>
      <c r="F699" s="3">
        <v>45665</v>
      </c>
      <c r="G699" s="2" t="s">
        <v>22</v>
      </c>
      <c r="H699" s="2" t="s">
        <v>59</v>
      </c>
      <c r="I699" s="2" t="s">
        <v>106</v>
      </c>
      <c r="J699" s="2" t="s">
        <v>107</v>
      </c>
      <c r="K699" s="2">
        <v>2989.94</v>
      </c>
      <c r="L699" s="2" t="str">
        <f t="shared" si="60"/>
        <v>January</v>
      </c>
      <c r="M699" s="2" t="str">
        <f t="shared" si="61"/>
        <v>Cancelled</v>
      </c>
      <c r="N699" t="str">
        <f t="shared" si="62"/>
        <v>Cancelled</v>
      </c>
      <c r="O699" t="str">
        <f t="shared" si="63"/>
        <v>Order Cancelled</v>
      </c>
      <c r="P699" t="str">
        <f t="shared" si="64"/>
        <v>Cancelled</v>
      </c>
      <c r="Q699" t="str">
        <f t="shared" si="65"/>
        <v>Cancelled</v>
      </c>
      <c r="R699" t="str">
        <f>_xlfn.XLOOKUP(B699,CustomerMaster!$A$2:$A$287,CustomerMaster!$B$2:$B$287)</f>
        <v>Customer_152</v>
      </c>
      <c r="S699" t="str">
        <f>_xlfn.XLOOKUP(C699,ProductMaster!$A$2:$A$51,ProductMaster!$B$2:$B$51)</f>
        <v>Product_35</v>
      </c>
      <c r="T699" t="str">
        <f>_xlfn.XLOOKUP(G699,RegionMaster!$A$2:$A$5,RegionMaster!$B$2:$B$5)</f>
        <v>C</v>
      </c>
    </row>
    <row r="700" spans="1:20" ht="15.75" customHeight="1">
      <c r="A700" s="2" t="s">
        <v>1410</v>
      </c>
      <c r="B700" s="2" t="s">
        <v>489</v>
      </c>
      <c r="C700" s="2" t="s">
        <v>173</v>
      </c>
      <c r="D700" s="3">
        <v>45729</v>
      </c>
      <c r="E700" s="3">
        <v>45733</v>
      </c>
      <c r="F700" s="4"/>
      <c r="G700" s="2" t="s">
        <v>22</v>
      </c>
      <c r="H700" s="2" t="s">
        <v>27</v>
      </c>
      <c r="I700" s="2" t="s">
        <v>106</v>
      </c>
      <c r="J700" s="2" t="s">
        <v>107</v>
      </c>
      <c r="K700" s="2">
        <v>940.94</v>
      </c>
      <c r="L700" s="2" t="str">
        <f t="shared" si="60"/>
        <v>March</v>
      </c>
      <c r="M700" s="2" t="str">
        <f t="shared" si="61"/>
        <v>March</v>
      </c>
      <c r="N700" t="str">
        <f t="shared" si="62"/>
        <v>Delivered</v>
      </c>
      <c r="O700">
        <f t="shared" si="63"/>
        <v>4</v>
      </c>
      <c r="P700" t="str">
        <f t="shared" si="64"/>
        <v>Completed</v>
      </c>
      <c r="Q700" t="str">
        <f t="shared" si="65"/>
        <v>Slow</v>
      </c>
      <c r="R700" t="str">
        <f>_xlfn.XLOOKUP(B700,CustomerMaster!$A$2:$A$287,CustomerMaster!$B$2:$B$287)</f>
        <v>Customer_142</v>
      </c>
      <c r="S700" t="str">
        <f>_xlfn.XLOOKUP(C700,ProductMaster!$A$2:$A$51,ProductMaster!$B$2:$B$51)</f>
        <v>Product_38</v>
      </c>
      <c r="T700" t="str">
        <f>_xlfn.XLOOKUP(G700,RegionMaster!$A$2:$A$5,RegionMaster!$B$2:$B$5)</f>
        <v>C</v>
      </c>
    </row>
    <row r="701" spans="1:20" ht="15.75" customHeight="1">
      <c r="A701" s="2" t="s">
        <v>1411</v>
      </c>
      <c r="B701" s="2" t="s">
        <v>631</v>
      </c>
      <c r="C701" s="2" t="s">
        <v>204</v>
      </c>
      <c r="D701" s="3">
        <v>45765</v>
      </c>
      <c r="E701" s="3">
        <v>45769</v>
      </c>
      <c r="F701" s="4"/>
      <c r="G701" s="2" t="s">
        <v>22</v>
      </c>
      <c r="H701" s="2" t="s">
        <v>37</v>
      </c>
      <c r="I701" s="2" t="s">
        <v>90</v>
      </c>
      <c r="J701" s="2" t="s">
        <v>107</v>
      </c>
      <c r="K701" s="2">
        <v>2509.4699999999998</v>
      </c>
      <c r="L701" s="2" t="str">
        <f t="shared" si="60"/>
        <v>April</v>
      </c>
      <c r="M701" s="2" t="str">
        <f t="shared" si="61"/>
        <v>April</v>
      </c>
      <c r="N701" t="str">
        <f t="shared" si="62"/>
        <v>Delivered</v>
      </c>
      <c r="O701">
        <f t="shared" si="63"/>
        <v>4</v>
      </c>
      <c r="P701" t="str">
        <f t="shared" si="64"/>
        <v>Completed</v>
      </c>
      <c r="Q701" t="str">
        <f t="shared" si="65"/>
        <v>Slow</v>
      </c>
      <c r="R701" t="str">
        <f>_xlfn.XLOOKUP(B701,CustomerMaster!$A$2:$A$287,CustomerMaster!$B$2:$B$287)</f>
        <v>Customer_201</v>
      </c>
      <c r="S701" t="str">
        <f>_xlfn.XLOOKUP(C701,ProductMaster!$A$2:$A$51,ProductMaster!$B$2:$B$51)</f>
        <v>Product_46</v>
      </c>
      <c r="T701" t="str">
        <f>_xlfn.XLOOKUP(G701,RegionMaster!$A$2:$A$5,RegionMaster!$B$2:$B$5)</f>
        <v>C</v>
      </c>
    </row>
    <row r="702" spans="1:20" ht="15.75" customHeight="1">
      <c r="A702" s="2" t="s">
        <v>1412</v>
      </c>
      <c r="B702" s="2" t="s">
        <v>580</v>
      </c>
      <c r="C702" s="2" t="s">
        <v>157</v>
      </c>
      <c r="D702" s="3">
        <v>45733</v>
      </c>
      <c r="E702" s="3">
        <v>45738</v>
      </c>
      <c r="F702" s="4"/>
      <c r="G702" s="2" t="s">
        <v>17</v>
      </c>
      <c r="H702" s="2" t="s">
        <v>27</v>
      </c>
      <c r="I702" s="2" t="s">
        <v>106</v>
      </c>
      <c r="J702" s="2" t="s">
        <v>133</v>
      </c>
      <c r="K702" s="2">
        <v>2756.43</v>
      </c>
      <c r="L702" s="2" t="str">
        <f t="shared" si="60"/>
        <v>March</v>
      </c>
      <c r="M702" s="2" t="str">
        <f t="shared" si="61"/>
        <v>March</v>
      </c>
      <c r="N702" t="str">
        <f t="shared" si="62"/>
        <v>Delivered</v>
      </c>
      <c r="O702">
        <f t="shared" si="63"/>
        <v>5</v>
      </c>
      <c r="P702" t="str">
        <f t="shared" si="64"/>
        <v>Completed</v>
      </c>
      <c r="Q702" t="str">
        <f t="shared" si="65"/>
        <v>Slow</v>
      </c>
      <c r="R702" t="str">
        <f>_xlfn.XLOOKUP(B702,CustomerMaster!$A$2:$A$287,CustomerMaster!$B$2:$B$287)</f>
        <v>Customer_224</v>
      </c>
      <c r="S702" t="str">
        <f>_xlfn.XLOOKUP(C702,ProductMaster!$A$2:$A$51,ProductMaster!$B$2:$B$51)</f>
        <v>Product_33</v>
      </c>
      <c r="T702" t="str">
        <f>_xlfn.XLOOKUP(G702,RegionMaster!$A$2:$A$5,RegionMaster!$B$2:$B$5)</f>
        <v>B</v>
      </c>
    </row>
    <row r="703" spans="1:20" ht="15.75" customHeight="1">
      <c r="A703" s="2" t="s">
        <v>1413</v>
      </c>
      <c r="B703" s="2" t="s">
        <v>608</v>
      </c>
      <c r="C703" s="2" t="s">
        <v>180</v>
      </c>
      <c r="D703" s="3">
        <v>45689</v>
      </c>
      <c r="E703" s="3">
        <v>45692</v>
      </c>
      <c r="F703" s="4"/>
      <c r="G703" s="2" t="s">
        <v>22</v>
      </c>
      <c r="H703" s="2" t="s">
        <v>59</v>
      </c>
      <c r="I703" s="2" t="s">
        <v>178</v>
      </c>
      <c r="J703" s="2" t="s">
        <v>107</v>
      </c>
      <c r="K703" s="2">
        <v>448.75</v>
      </c>
      <c r="L703" s="2" t="str">
        <f t="shared" si="60"/>
        <v>February</v>
      </c>
      <c r="M703" s="2" t="str">
        <f t="shared" si="61"/>
        <v>February</v>
      </c>
      <c r="N703" t="str">
        <f t="shared" si="62"/>
        <v>Delivered</v>
      </c>
      <c r="O703">
        <f t="shared" si="63"/>
        <v>3</v>
      </c>
      <c r="P703" t="str">
        <f t="shared" si="64"/>
        <v>Completed</v>
      </c>
      <c r="Q703" t="str">
        <f t="shared" si="65"/>
        <v>Slow</v>
      </c>
      <c r="R703" t="str">
        <f>_xlfn.XLOOKUP(B703,CustomerMaster!$A$2:$A$287,CustomerMaster!$B$2:$B$287)</f>
        <v>Customer_190</v>
      </c>
      <c r="S703" t="str">
        <f>_xlfn.XLOOKUP(C703,ProductMaster!$A$2:$A$51,ProductMaster!$B$2:$B$51)</f>
        <v>Product_40</v>
      </c>
      <c r="T703" t="str">
        <f>_xlfn.XLOOKUP(G703,RegionMaster!$A$2:$A$5,RegionMaster!$B$2:$B$5)</f>
        <v>C</v>
      </c>
    </row>
    <row r="704" spans="1:20" ht="15.75" customHeight="1">
      <c r="A704" s="2" t="s">
        <v>1414</v>
      </c>
      <c r="B704" s="2" t="s">
        <v>203</v>
      </c>
      <c r="C704" s="2" t="s">
        <v>87</v>
      </c>
      <c r="D704" s="3">
        <v>45667</v>
      </c>
      <c r="E704" s="3">
        <v>45672</v>
      </c>
      <c r="F704" s="4"/>
      <c r="G704" s="2" t="s">
        <v>17</v>
      </c>
      <c r="H704" s="2" t="s">
        <v>16</v>
      </c>
      <c r="I704" s="2" t="s">
        <v>90</v>
      </c>
      <c r="J704" s="2" t="s">
        <v>94</v>
      </c>
      <c r="K704" s="2">
        <v>1815.7</v>
      </c>
      <c r="L704" s="2" t="str">
        <f t="shared" si="60"/>
        <v>January</v>
      </c>
      <c r="M704" s="2" t="str">
        <f t="shared" si="61"/>
        <v>January</v>
      </c>
      <c r="N704" t="str">
        <f t="shared" si="62"/>
        <v>Delivered</v>
      </c>
      <c r="O704">
        <f t="shared" si="63"/>
        <v>5</v>
      </c>
      <c r="P704" t="str">
        <f t="shared" si="64"/>
        <v>Completed</v>
      </c>
      <c r="Q704" t="str">
        <f t="shared" si="65"/>
        <v>Slow</v>
      </c>
      <c r="R704" t="str">
        <f>_xlfn.XLOOKUP(B704,CustomerMaster!$A$2:$A$287,CustomerMaster!$B$2:$B$287)</f>
        <v>Customer_91</v>
      </c>
      <c r="S704" t="str">
        <f>_xlfn.XLOOKUP(C704,ProductMaster!$A$2:$A$51,ProductMaster!$B$2:$B$51)</f>
        <v>Product_15</v>
      </c>
      <c r="T704" t="str">
        <f>_xlfn.XLOOKUP(G704,RegionMaster!$A$2:$A$5,RegionMaster!$B$2:$B$5)</f>
        <v>B</v>
      </c>
    </row>
    <row r="705" spans="1:20" ht="15.75" customHeight="1">
      <c r="A705" s="2" t="s">
        <v>1415</v>
      </c>
      <c r="B705" s="2" t="s">
        <v>762</v>
      </c>
      <c r="C705" s="2" t="s">
        <v>173</v>
      </c>
      <c r="D705" s="3">
        <v>45771</v>
      </c>
      <c r="E705" s="3">
        <v>45773</v>
      </c>
      <c r="F705" s="4"/>
      <c r="G705" s="2" t="s">
        <v>7</v>
      </c>
      <c r="H705" s="2" t="s">
        <v>54</v>
      </c>
      <c r="I705" s="2" t="s">
        <v>178</v>
      </c>
      <c r="J705" s="2" t="s">
        <v>133</v>
      </c>
      <c r="K705" s="2">
        <v>845.19</v>
      </c>
      <c r="L705" s="2" t="str">
        <f t="shared" si="60"/>
        <v>April</v>
      </c>
      <c r="M705" s="2" t="str">
        <f t="shared" si="61"/>
        <v>April</v>
      </c>
      <c r="N705" t="str">
        <f t="shared" si="62"/>
        <v>Delivered</v>
      </c>
      <c r="O705">
        <f t="shared" si="63"/>
        <v>2</v>
      </c>
      <c r="P705" t="str">
        <f t="shared" si="64"/>
        <v>Completed</v>
      </c>
      <c r="Q705" t="str">
        <f t="shared" si="65"/>
        <v>Fast</v>
      </c>
      <c r="R705" t="str">
        <f>_xlfn.XLOOKUP(B705,CustomerMaster!$A$2:$A$287,CustomerMaster!$B$2:$B$287)</f>
        <v>Customer_261</v>
      </c>
      <c r="S705" t="str">
        <f>_xlfn.XLOOKUP(C705,ProductMaster!$A$2:$A$51,ProductMaster!$B$2:$B$51)</f>
        <v>Product_38</v>
      </c>
      <c r="T705" t="str">
        <f>_xlfn.XLOOKUP(G705,RegionMaster!$A$2:$A$5,RegionMaster!$B$2:$B$5)</f>
        <v>A</v>
      </c>
    </row>
    <row r="706" spans="1:20" ht="15.75" customHeight="1">
      <c r="A706" s="2" t="s">
        <v>1416</v>
      </c>
      <c r="B706" s="2" t="s">
        <v>799</v>
      </c>
      <c r="C706" s="2" t="s">
        <v>180</v>
      </c>
      <c r="D706" s="3">
        <v>45683</v>
      </c>
      <c r="E706" s="3">
        <v>45687</v>
      </c>
      <c r="F706" s="4"/>
      <c r="G706" s="2" t="s">
        <v>45</v>
      </c>
      <c r="H706" s="2" t="s">
        <v>16</v>
      </c>
      <c r="I706" s="2" t="s">
        <v>121</v>
      </c>
      <c r="J706" s="2" t="s">
        <v>133</v>
      </c>
      <c r="K706" s="2">
        <v>504.2</v>
      </c>
      <c r="L706" s="2" t="str">
        <f t="shared" si="60"/>
        <v>January</v>
      </c>
      <c r="M706" s="2" t="str">
        <f t="shared" si="61"/>
        <v>January</v>
      </c>
      <c r="N706" t="str">
        <f t="shared" si="62"/>
        <v>Delivered</v>
      </c>
      <c r="O706">
        <f t="shared" si="63"/>
        <v>4</v>
      </c>
      <c r="P706" t="str">
        <f t="shared" si="64"/>
        <v>Completed</v>
      </c>
      <c r="Q706" t="str">
        <f t="shared" si="65"/>
        <v>Slow</v>
      </c>
      <c r="R706" t="str">
        <f>_xlfn.XLOOKUP(B706,CustomerMaster!$A$2:$A$287,CustomerMaster!$B$2:$B$287)</f>
        <v>Customer_284</v>
      </c>
      <c r="S706" t="str">
        <f>_xlfn.XLOOKUP(C706,ProductMaster!$A$2:$A$51,ProductMaster!$B$2:$B$51)</f>
        <v>Product_40</v>
      </c>
      <c r="T706" t="str">
        <f>_xlfn.XLOOKUP(G706,RegionMaster!$A$2:$A$5,RegionMaster!$B$2:$B$5)</f>
        <v>D</v>
      </c>
    </row>
    <row r="707" spans="1:20" ht="15.75" customHeight="1">
      <c r="A707" s="2" t="s">
        <v>1417</v>
      </c>
      <c r="B707" s="2" t="s">
        <v>580</v>
      </c>
      <c r="C707" s="2" t="s">
        <v>213</v>
      </c>
      <c r="D707" s="3">
        <v>45744</v>
      </c>
      <c r="E707" s="4"/>
      <c r="F707" s="3">
        <v>45744</v>
      </c>
      <c r="G707" s="2" t="s">
        <v>7</v>
      </c>
      <c r="H707" s="2" t="s">
        <v>27</v>
      </c>
      <c r="I707" s="2" t="s">
        <v>121</v>
      </c>
      <c r="J707" s="2" t="s">
        <v>107</v>
      </c>
      <c r="K707" s="2">
        <v>4951.8100000000004</v>
      </c>
      <c r="L707" s="2" t="str">
        <f t="shared" ref="L707:L770" si="66">TEXT(D707,"MMMM")</f>
        <v>March</v>
      </c>
      <c r="M707" s="2" t="str">
        <f t="shared" ref="M707:M770" si="67">IF(NOT(ISBLANK(E707)),TEXT(E707,"MMMM"),"Cancelled")</f>
        <v>Cancelled</v>
      </c>
      <c r="N707" t="str">
        <f t="shared" ref="N707:N770" si="68">IF(F707="","Delivered","Cancelled")</f>
        <v>Cancelled</v>
      </c>
      <c r="O707" t="str">
        <f t="shared" ref="O707:O770" si="69">IF(E707="","Order Cancelled",_xlfn.DAYS(E707,D707))</f>
        <v>Order Cancelled</v>
      </c>
      <c r="P707" t="str">
        <f t="shared" ref="P707:P770" si="70">IF(F707="","Completed","Cancelled")</f>
        <v>Cancelled</v>
      </c>
      <c r="Q707" t="str">
        <f t="shared" ref="Q707:Q770" si="71">IF(O707="Order Cancelled","Cancelled",IF(O707&lt;=2,"Fast","Slow"))</f>
        <v>Cancelled</v>
      </c>
      <c r="R707" t="str">
        <f>_xlfn.XLOOKUP(B707,CustomerMaster!$A$2:$A$287,CustomerMaster!$B$2:$B$287)</f>
        <v>Customer_224</v>
      </c>
      <c r="S707" t="str">
        <f>_xlfn.XLOOKUP(C707,ProductMaster!$A$2:$A$51,ProductMaster!$B$2:$B$51)</f>
        <v>Product_49</v>
      </c>
      <c r="T707" t="str">
        <f>_xlfn.XLOOKUP(G707,RegionMaster!$A$2:$A$5,RegionMaster!$B$2:$B$5)</f>
        <v>A</v>
      </c>
    </row>
    <row r="708" spans="1:20" ht="15.75" customHeight="1">
      <c r="A708" s="2" t="s">
        <v>1418</v>
      </c>
      <c r="B708" s="2" t="s">
        <v>631</v>
      </c>
      <c r="C708" s="2" t="s">
        <v>172</v>
      </c>
      <c r="D708" s="3">
        <v>45686</v>
      </c>
      <c r="E708" s="3">
        <v>45688</v>
      </c>
      <c r="F708" s="4"/>
      <c r="G708" s="2" t="s">
        <v>7</v>
      </c>
      <c r="H708" s="2" t="s">
        <v>59</v>
      </c>
      <c r="I708" s="2" t="s">
        <v>106</v>
      </c>
      <c r="J708" s="2" t="s">
        <v>94</v>
      </c>
      <c r="K708" s="2">
        <v>1747.3</v>
      </c>
      <c r="L708" s="2" t="str">
        <f t="shared" si="66"/>
        <v>January</v>
      </c>
      <c r="M708" s="2" t="str">
        <f t="shared" si="67"/>
        <v>January</v>
      </c>
      <c r="N708" t="str">
        <f t="shared" si="68"/>
        <v>Delivered</v>
      </c>
      <c r="O708">
        <f t="shared" si="69"/>
        <v>2</v>
      </c>
      <c r="P708" t="str">
        <f t="shared" si="70"/>
        <v>Completed</v>
      </c>
      <c r="Q708" t="str">
        <f t="shared" si="71"/>
        <v>Fast</v>
      </c>
      <c r="R708" t="str">
        <f>_xlfn.XLOOKUP(B708,CustomerMaster!$A$2:$A$287,CustomerMaster!$B$2:$B$287)</f>
        <v>Customer_201</v>
      </c>
      <c r="S708" t="str">
        <f>_xlfn.XLOOKUP(C708,ProductMaster!$A$2:$A$51,ProductMaster!$B$2:$B$51)</f>
        <v>Product_39</v>
      </c>
      <c r="T708" t="str">
        <f>_xlfn.XLOOKUP(G708,RegionMaster!$A$2:$A$5,RegionMaster!$B$2:$B$5)</f>
        <v>A</v>
      </c>
    </row>
    <row r="709" spans="1:20" ht="15.75" customHeight="1">
      <c r="A709" s="2" t="s">
        <v>1419</v>
      </c>
      <c r="B709" s="2" t="s">
        <v>239</v>
      </c>
      <c r="C709" s="2" t="s">
        <v>114</v>
      </c>
      <c r="D709" s="3">
        <v>45764</v>
      </c>
      <c r="E709" s="4"/>
      <c r="F709" s="3">
        <v>45764</v>
      </c>
      <c r="G709" s="2" t="s">
        <v>45</v>
      </c>
      <c r="H709" s="2" t="s">
        <v>27</v>
      </c>
      <c r="I709" s="2" t="s">
        <v>121</v>
      </c>
      <c r="J709" s="2" t="s">
        <v>133</v>
      </c>
      <c r="K709" s="2">
        <v>4087.4</v>
      </c>
      <c r="L709" s="2" t="str">
        <f t="shared" si="66"/>
        <v>April</v>
      </c>
      <c r="M709" s="2" t="str">
        <f t="shared" si="67"/>
        <v>Cancelled</v>
      </c>
      <c r="N709" t="str">
        <f t="shared" si="68"/>
        <v>Cancelled</v>
      </c>
      <c r="O709" t="str">
        <f t="shared" si="69"/>
        <v>Order Cancelled</v>
      </c>
      <c r="P709" t="str">
        <f t="shared" si="70"/>
        <v>Cancelled</v>
      </c>
      <c r="Q709" t="str">
        <f t="shared" si="71"/>
        <v>Cancelled</v>
      </c>
      <c r="R709" t="str">
        <f>_xlfn.XLOOKUP(B709,CustomerMaster!$A$2:$A$287,CustomerMaster!$B$2:$B$287)</f>
        <v>Customer_155</v>
      </c>
      <c r="S709" t="str">
        <f>_xlfn.XLOOKUP(C709,ProductMaster!$A$2:$A$51,ProductMaster!$B$2:$B$51)</f>
        <v>Product_21</v>
      </c>
      <c r="T709" t="str">
        <f>_xlfn.XLOOKUP(G709,RegionMaster!$A$2:$A$5,RegionMaster!$B$2:$B$5)</f>
        <v>D</v>
      </c>
    </row>
    <row r="710" spans="1:20" ht="15.75" customHeight="1">
      <c r="A710" s="2" t="s">
        <v>1420</v>
      </c>
      <c r="B710" s="2" t="s">
        <v>541</v>
      </c>
      <c r="C710" s="2" t="s">
        <v>128</v>
      </c>
      <c r="D710" s="3">
        <v>45695</v>
      </c>
      <c r="E710" s="3">
        <v>45697</v>
      </c>
      <c r="F710" s="4"/>
      <c r="G710" s="2" t="s">
        <v>45</v>
      </c>
      <c r="H710" s="2" t="s">
        <v>16</v>
      </c>
      <c r="I710" s="2" t="s">
        <v>178</v>
      </c>
      <c r="J710" s="2" t="s">
        <v>107</v>
      </c>
      <c r="K710" s="2">
        <v>1422.28</v>
      </c>
      <c r="L710" s="2" t="str">
        <f t="shared" si="66"/>
        <v>February</v>
      </c>
      <c r="M710" s="2" t="str">
        <f t="shared" si="67"/>
        <v>February</v>
      </c>
      <c r="N710" t="str">
        <f t="shared" si="68"/>
        <v>Delivered</v>
      </c>
      <c r="O710">
        <f t="shared" si="69"/>
        <v>2</v>
      </c>
      <c r="P710" t="str">
        <f t="shared" si="70"/>
        <v>Completed</v>
      </c>
      <c r="Q710" t="str">
        <f t="shared" si="71"/>
        <v>Fast</v>
      </c>
      <c r="R710" t="str">
        <f>_xlfn.XLOOKUP(B710,CustomerMaster!$A$2:$A$287,CustomerMaster!$B$2:$B$287)</f>
        <v>Customer_169</v>
      </c>
      <c r="S710" t="str">
        <f>_xlfn.XLOOKUP(C710,ProductMaster!$A$2:$A$51,ProductMaster!$B$2:$B$51)</f>
        <v>Product_25</v>
      </c>
      <c r="T710" t="str">
        <f>_xlfn.XLOOKUP(G710,RegionMaster!$A$2:$A$5,RegionMaster!$B$2:$B$5)</f>
        <v>D</v>
      </c>
    </row>
    <row r="711" spans="1:20" ht="15.75" customHeight="1">
      <c r="A711" s="2" t="s">
        <v>1421</v>
      </c>
      <c r="B711" s="2" t="s">
        <v>750</v>
      </c>
      <c r="C711" s="2" t="s">
        <v>194</v>
      </c>
      <c r="D711" s="3">
        <v>45729</v>
      </c>
      <c r="E711" s="3">
        <v>45733</v>
      </c>
      <c r="F711" s="4"/>
      <c r="G711" s="2" t="s">
        <v>7</v>
      </c>
      <c r="H711" s="2" t="s">
        <v>27</v>
      </c>
      <c r="I711" s="2" t="s">
        <v>195</v>
      </c>
      <c r="J711" s="2" t="s">
        <v>133</v>
      </c>
      <c r="K711" s="2">
        <v>3471.21</v>
      </c>
      <c r="L711" s="2" t="str">
        <f t="shared" si="66"/>
        <v>March</v>
      </c>
      <c r="M711" s="2" t="str">
        <f t="shared" si="67"/>
        <v>March</v>
      </c>
      <c r="N711" t="str">
        <f t="shared" si="68"/>
        <v>Delivered</v>
      </c>
      <c r="O711">
        <f t="shared" si="69"/>
        <v>4</v>
      </c>
      <c r="P711" t="str">
        <f t="shared" si="70"/>
        <v>Completed</v>
      </c>
      <c r="Q711" t="str">
        <f t="shared" si="71"/>
        <v>Slow</v>
      </c>
      <c r="R711" t="str">
        <f>_xlfn.XLOOKUP(B711,CustomerMaster!$A$2:$A$287,CustomerMaster!$B$2:$B$287)</f>
        <v>Customer_254</v>
      </c>
      <c r="S711" t="str">
        <f>_xlfn.XLOOKUP(C711,ProductMaster!$A$2:$A$51,ProductMaster!$B$2:$B$51)</f>
        <v>Product_44</v>
      </c>
      <c r="T711" t="str">
        <f>_xlfn.XLOOKUP(G711,RegionMaster!$A$2:$A$5,RegionMaster!$B$2:$B$5)</f>
        <v>A</v>
      </c>
    </row>
    <row r="712" spans="1:20" ht="15.75" customHeight="1">
      <c r="A712" s="2" t="s">
        <v>1422</v>
      </c>
      <c r="B712" s="2" t="s">
        <v>231</v>
      </c>
      <c r="C712" s="2" t="s">
        <v>68</v>
      </c>
      <c r="D712" s="3">
        <v>45685</v>
      </c>
      <c r="E712" s="3">
        <v>45690</v>
      </c>
      <c r="F712" s="4"/>
      <c r="G712" s="2" t="s">
        <v>17</v>
      </c>
      <c r="H712" s="2" t="s">
        <v>37</v>
      </c>
      <c r="I712" s="2" t="s">
        <v>178</v>
      </c>
      <c r="J712" s="2" t="s">
        <v>107</v>
      </c>
      <c r="K712" s="2">
        <v>3849.09</v>
      </c>
      <c r="L712" s="2" t="str">
        <f t="shared" si="66"/>
        <v>January</v>
      </c>
      <c r="M712" s="2" t="str">
        <f t="shared" si="67"/>
        <v>February</v>
      </c>
      <c r="N712" t="str">
        <f t="shared" si="68"/>
        <v>Delivered</v>
      </c>
      <c r="O712">
        <f t="shared" si="69"/>
        <v>5</v>
      </c>
      <c r="P712" t="str">
        <f t="shared" si="70"/>
        <v>Completed</v>
      </c>
      <c r="Q712" t="str">
        <f t="shared" si="71"/>
        <v>Slow</v>
      </c>
      <c r="R712" t="str">
        <f>_xlfn.XLOOKUP(B712,CustomerMaster!$A$2:$A$287,CustomerMaster!$B$2:$B$287)</f>
        <v>Customer_34</v>
      </c>
      <c r="S712" t="str">
        <f>_xlfn.XLOOKUP(C712,ProductMaster!$A$2:$A$51,ProductMaster!$B$2:$B$51)</f>
        <v>Product_13</v>
      </c>
      <c r="T712" t="str">
        <f>_xlfn.XLOOKUP(G712,RegionMaster!$A$2:$A$5,RegionMaster!$B$2:$B$5)</f>
        <v>B</v>
      </c>
    </row>
    <row r="713" spans="1:20" ht="15.75" customHeight="1">
      <c r="A713" s="2" t="s">
        <v>1423</v>
      </c>
      <c r="B713" s="2" t="s">
        <v>51</v>
      </c>
      <c r="C713" s="2" t="s">
        <v>122</v>
      </c>
      <c r="D713" s="3">
        <v>45658</v>
      </c>
      <c r="E713" s="4"/>
      <c r="F713" s="3">
        <v>45659</v>
      </c>
      <c r="G713" s="2" t="s">
        <v>22</v>
      </c>
      <c r="H713" s="2" t="s">
        <v>59</v>
      </c>
      <c r="I713" s="2" t="s">
        <v>195</v>
      </c>
      <c r="J713" s="2" t="s">
        <v>107</v>
      </c>
      <c r="K713" s="2">
        <v>3059.07</v>
      </c>
      <c r="L713" s="2" t="str">
        <f t="shared" si="66"/>
        <v>January</v>
      </c>
      <c r="M713" s="2" t="str">
        <f t="shared" si="67"/>
        <v>Cancelled</v>
      </c>
      <c r="N713" t="str">
        <f t="shared" si="68"/>
        <v>Cancelled</v>
      </c>
      <c r="O713" t="str">
        <f t="shared" si="69"/>
        <v>Order Cancelled</v>
      </c>
      <c r="P713" t="str">
        <f t="shared" si="70"/>
        <v>Cancelled</v>
      </c>
      <c r="Q713" t="str">
        <f t="shared" si="71"/>
        <v>Cancelled</v>
      </c>
      <c r="R713" t="str">
        <f>_xlfn.XLOOKUP(B713,CustomerMaster!$A$2:$A$287,CustomerMaster!$B$2:$B$287)</f>
        <v>Customer_5</v>
      </c>
      <c r="S713" t="str">
        <f>_xlfn.XLOOKUP(C713,ProductMaster!$A$2:$A$51,ProductMaster!$B$2:$B$51)</f>
        <v>Product_23</v>
      </c>
      <c r="T713" t="str">
        <f>_xlfn.XLOOKUP(G713,RegionMaster!$A$2:$A$5,RegionMaster!$B$2:$B$5)</f>
        <v>C</v>
      </c>
    </row>
    <row r="714" spans="1:20" ht="15.75" customHeight="1">
      <c r="A714" s="2" t="s">
        <v>1424</v>
      </c>
      <c r="B714" s="2" t="s">
        <v>694</v>
      </c>
      <c r="C714" s="2" t="s">
        <v>153</v>
      </c>
      <c r="D714" s="3">
        <v>45706</v>
      </c>
      <c r="E714" s="3">
        <v>45711</v>
      </c>
      <c r="F714" s="4"/>
      <c r="G714" s="2" t="s">
        <v>22</v>
      </c>
      <c r="H714" s="2" t="s">
        <v>54</v>
      </c>
      <c r="I714" s="2" t="s">
        <v>106</v>
      </c>
      <c r="J714" s="2" t="s">
        <v>107</v>
      </c>
      <c r="K714" s="2">
        <v>2463.5700000000002</v>
      </c>
      <c r="L714" s="2" t="str">
        <f t="shared" si="66"/>
        <v>February</v>
      </c>
      <c r="M714" s="2" t="str">
        <f t="shared" si="67"/>
        <v>February</v>
      </c>
      <c r="N714" t="str">
        <f t="shared" si="68"/>
        <v>Delivered</v>
      </c>
      <c r="O714">
        <f t="shared" si="69"/>
        <v>5</v>
      </c>
      <c r="P714" t="str">
        <f t="shared" si="70"/>
        <v>Completed</v>
      </c>
      <c r="Q714" t="str">
        <f t="shared" si="71"/>
        <v>Slow</v>
      </c>
      <c r="R714" t="str">
        <f>_xlfn.XLOOKUP(B714,CustomerMaster!$A$2:$A$287,CustomerMaster!$B$2:$B$287)</f>
        <v>Customer_228</v>
      </c>
      <c r="S714" t="str">
        <f>_xlfn.XLOOKUP(C714,ProductMaster!$A$2:$A$51,ProductMaster!$B$2:$B$51)</f>
        <v>Product_32</v>
      </c>
      <c r="T714" t="str">
        <f>_xlfn.XLOOKUP(G714,RegionMaster!$A$2:$A$5,RegionMaster!$B$2:$B$5)</f>
        <v>C</v>
      </c>
    </row>
    <row r="715" spans="1:20" ht="15.75" customHeight="1">
      <c r="A715" s="2" t="s">
        <v>1425</v>
      </c>
      <c r="B715" s="2" t="s">
        <v>408</v>
      </c>
      <c r="C715" s="2" t="s">
        <v>199</v>
      </c>
      <c r="D715" s="3">
        <v>45660</v>
      </c>
      <c r="E715" s="3">
        <v>45664</v>
      </c>
      <c r="F715" s="4"/>
      <c r="G715" s="2" t="s">
        <v>22</v>
      </c>
      <c r="H715" s="2" t="s">
        <v>37</v>
      </c>
      <c r="I715" s="2" t="s">
        <v>90</v>
      </c>
      <c r="J715" s="2" t="s">
        <v>133</v>
      </c>
      <c r="K715" s="2">
        <v>2176.84</v>
      </c>
      <c r="L715" s="2" t="str">
        <f t="shared" si="66"/>
        <v>January</v>
      </c>
      <c r="M715" s="2" t="str">
        <f t="shared" si="67"/>
        <v>January</v>
      </c>
      <c r="N715" t="str">
        <f t="shared" si="68"/>
        <v>Delivered</v>
      </c>
      <c r="O715">
        <f t="shared" si="69"/>
        <v>4</v>
      </c>
      <c r="P715" t="str">
        <f t="shared" si="70"/>
        <v>Completed</v>
      </c>
      <c r="Q715" t="str">
        <f t="shared" si="71"/>
        <v>Slow</v>
      </c>
      <c r="R715" t="str">
        <f>_xlfn.XLOOKUP(B715,CustomerMaster!$A$2:$A$287,CustomerMaster!$B$2:$B$287)</f>
        <v>Customer_108</v>
      </c>
      <c r="S715" t="str">
        <f>_xlfn.XLOOKUP(C715,ProductMaster!$A$2:$A$51,ProductMaster!$B$2:$B$51)</f>
        <v>Product_45</v>
      </c>
      <c r="T715" t="str">
        <f>_xlfn.XLOOKUP(G715,RegionMaster!$A$2:$A$5,RegionMaster!$B$2:$B$5)</f>
        <v>C</v>
      </c>
    </row>
    <row r="716" spans="1:20" ht="15.75" customHeight="1">
      <c r="A716" s="2" t="s">
        <v>1426</v>
      </c>
      <c r="B716" s="2" t="s">
        <v>633</v>
      </c>
      <c r="C716" s="2" t="s">
        <v>164</v>
      </c>
      <c r="D716" s="3">
        <v>45756</v>
      </c>
      <c r="E716" s="3">
        <v>45758</v>
      </c>
      <c r="F716" s="4"/>
      <c r="G716" s="2" t="s">
        <v>17</v>
      </c>
      <c r="H716" s="2" t="s">
        <v>59</v>
      </c>
      <c r="I716" s="2" t="s">
        <v>106</v>
      </c>
      <c r="J716" s="2" t="s">
        <v>133</v>
      </c>
      <c r="K716" s="2">
        <v>1874.57</v>
      </c>
      <c r="L716" s="2" t="str">
        <f t="shared" si="66"/>
        <v>April</v>
      </c>
      <c r="M716" s="2" t="str">
        <f t="shared" si="67"/>
        <v>April</v>
      </c>
      <c r="N716" t="str">
        <f t="shared" si="68"/>
        <v>Delivered</v>
      </c>
      <c r="O716">
        <f t="shared" si="69"/>
        <v>2</v>
      </c>
      <c r="P716" t="str">
        <f t="shared" si="70"/>
        <v>Completed</v>
      </c>
      <c r="Q716" t="str">
        <f t="shared" si="71"/>
        <v>Fast</v>
      </c>
      <c r="R716" t="str">
        <f>_xlfn.XLOOKUP(B716,CustomerMaster!$A$2:$A$287,CustomerMaster!$B$2:$B$287)</f>
        <v>Customer_202</v>
      </c>
      <c r="S716" t="str">
        <f>_xlfn.XLOOKUP(C716,ProductMaster!$A$2:$A$51,ProductMaster!$B$2:$B$51)</f>
        <v>Product_36</v>
      </c>
      <c r="T716" t="str">
        <f>_xlfn.XLOOKUP(G716,RegionMaster!$A$2:$A$5,RegionMaster!$B$2:$B$5)</f>
        <v>B</v>
      </c>
    </row>
    <row r="717" spans="1:20" ht="15.75" customHeight="1">
      <c r="A717" s="2" t="s">
        <v>1427</v>
      </c>
      <c r="B717" s="2" t="s">
        <v>305</v>
      </c>
      <c r="C717" s="2" t="s">
        <v>213</v>
      </c>
      <c r="D717" s="3">
        <v>45754</v>
      </c>
      <c r="E717" s="3">
        <v>45759</v>
      </c>
      <c r="F717" s="4"/>
      <c r="G717" s="2" t="s">
        <v>17</v>
      </c>
      <c r="H717" s="2" t="s">
        <v>54</v>
      </c>
      <c r="I717" s="2" t="s">
        <v>106</v>
      </c>
      <c r="J717" s="2" t="s">
        <v>94</v>
      </c>
      <c r="K717" s="2">
        <v>4661.74</v>
      </c>
      <c r="L717" s="2" t="str">
        <f t="shared" si="66"/>
        <v>April</v>
      </c>
      <c r="M717" s="2" t="str">
        <f t="shared" si="67"/>
        <v>April</v>
      </c>
      <c r="N717" t="str">
        <f t="shared" si="68"/>
        <v>Delivered</v>
      </c>
      <c r="O717">
        <f t="shared" si="69"/>
        <v>5</v>
      </c>
      <c r="P717" t="str">
        <f t="shared" si="70"/>
        <v>Completed</v>
      </c>
      <c r="Q717" t="str">
        <f t="shared" si="71"/>
        <v>Slow</v>
      </c>
      <c r="R717" t="str">
        <f>_xlfn.XLOOKUP(B717,CustomerMaster!$A$2:$A$287,CustomerMaster!$B$2:$B$287)</f>
        <v>Customer_63</v>
      </c>
      <c r="S717" t="str">
        <f>_xlfn.XLOOKUP(C717,ProductMaster!$A$2:$A$51,ProductMaster!$B$2:$B$51)</f>
        <v>Product_49</v>
      </c>
      <c r="T717" t="str">
        <f>_xlfn.XLOOKUP(G717,RegionMaster!$A$2:$A$5,RegionMaster!$B$2:$B$5)</f>
        <v>B</v>
      </c>
    </row>
    <row r="718" spans="1:20" ht="15.75" customHeight="1">
      <c r="A718" s="2" t="s">
        <v>1428</v>
      </c>
      <c r="B718" s="2" t="s">
        <v>268</v>
      </c>
      <c r="C718" s="2" t="s">
        <v>142</v>
      </c>
      <c r="D718" s="3">
        <v>45774</v>
      </c>
      <c r="E718" s="3">
        <v>45779</v>
      </c>
      <c r="F718" s="4"/>
      <c r="G718" s="2" t="s">
        <v>22</v>
      </c>
      <c r="H718" s="2" t="s">
        <v>27</v>
      </c>
      <c r="I718" s="2" t="s">
        <v>90</v>
      </c>
      <c r="J718" s="2" t="s">
        <v>133</v>
      </c>
      <c r="K718" s="2">
        <v>4186.97</v>
      </c>
      <c r="L718" s="2" t="str">
        <f t="shared" si="66"/>
        <v>April</v>
      </c>
      <c r="M718" s="2" t="str">
        <f t="shared" si="67"/>
        <v>May</v>
      </c>
      <c r="N718" t="str">
        <f t="shared" si="68"/>
        <v>Delivered</v>
      </c>
      <c r="O718">
        <f t="shared" si="69"/>
        <v>5</v>
      </c>
      <c r="P718" t="str">
        <f t="shared" si="70"/>
        <v>Completed</v>
      </c>
      <c r="Q718" t="str">
        <f t="shared" si="71"/>
        <v>Slow</v>
      </c>
      <c r="R718" t="str">
        <f>_xlfn.XLOOKUP(B718,CustomerMaster!$A$2:$A$287,CustomerMaster!$B$2:$B$287)</f>
        <v>Customer_48</v>
      </c>
      <c r="S718" t="str">
        <f>_xlfn.XLOOKUP(C718,ProductMaster!$A$2:$A$51,ProductMaster!$B$2:$B$51)</f>
        <v>Product_29</v>
      </c>
      <c r="T718" t="str">
        <f>_xlfn.XLOOKUP(G718,RegionMaster!$A$2:$A$5,RegionMaster!$B$2:$B$5)</f>
        <v>C</v>
      </c>
    </row>
    <row r="719" spans="1:20" ht="15.75" customHeight="1">
      <c r="A719" s="2" t="s">
        <v>1429</v>
      </c>
      <c r="B719" s="2" t="s">
        <v>486</v>
      </c>
      <c r="C719" s="2" t="s">
        <v>180</v>
      </c>
      <c r="D719" s="3">
        <v>45744</v>
      </c>
      <c r="E719" s="3">
        <v>45745</v>
      </c>
      <c r="F719" s="4"/>
      <c r="G719" s="2" t="s">
        <v>17</v>
      </c>
      <c r="H719" s="2" t="s">
        <v>59</v>
      </c>
      <c r="I719" s="2" t="s">
        <v>178</v>
      </c>
      <c r="J719" s="2" t="s">
        <v>133</v>
      </c>
      <c r="K719" s="2">
        <v>4832.13</v>
      </c>
      <c r="L719" s="2" t="str">
        <f t="shared" si="66"/>
        <v>March</v>
      </c>
      <c r="M719" s="2" t="str">
        <f t="shared" si="67"/>
        <v>March</v>
      </c>
      <c r="N719" t="str">
        <f t="shared" si="68"/>
        <v>Delivered</v>
      </c>
      <c r="O719">
        <f t="shared" si="69"/>
        <v>1</v>
      </c>
      <c r="P719" t="str">
        <f t="shared" si="70"/>
        <v>Completed</v>
      </c>
      <c r="Q719" t="str">
        <f t="shared" si="71"/>
        <v>Fast</v>
      </c>
      <c r="R719" t="str">
        <f>_xlfn.XLOOKUP(B719,CustomerMaster!$A$2:$A$287,CustomerMaster!$B$2:$B$287)</f>
        <v>Customer_141</v>
      </c>
      <c r="S719" t="str">
        <f>_xlfn.XLOOKUP(C719,ProductMaster!$A$2:$A$51,ProductMaster!$B$2:$B$51)</f>
        <v>Product_40</v>
      </c>
      <c r="T719" t="str">
        <f>_xlfn.XLOOKUP(G719,RegionMaster!$A$2:$A$5,RegionMaster!$B$2:$B$5)</f>
        <v>B</v>
      </c>
    </row>
    <row r="720" spans="1:20" ht="15.75" customHeight="1">
      <c r="A720" s="2" t="s">
        <v>1430</v>
      </c>
      <c r="B720" s="2" t="s">
        <v>385</v>
      </c>
      <c r="C720" s="2" t="s">
        <v>204</v>
      </c>
      <c r="D720" s="3">
        <v>45777</v>
      </c>
      <c r="E720" s="4"/>
      <c r="F720" s="3">
        <v>45777</v>
      </c>
      <c r="G720" s="2" t="s">
        <v>45</v>
      </c>
      <c r="H720" s="2" t="s">
        <v>16</v>
      </c>
      <c r="I720" s="2" t="s">
        <v>90</v>
      </c>
      <c r="J720" s="2" t="s">
        <v>94</v>
      </c>
      <c r="K720" s="2">
        <v>796.63</v>
      </c>
      <c r="L720" s="2" t="str">
        <f t="shared" si="66"/>
        <v>April</v>
      </c>
      <c r="M720" s="2" t="str">
        <f t="shared" si="67"/>
        <v>Cancelled</v>
      </c>
      <c r="N720" t="str">
        <f t="shared" si="68"/>
        <v>Cancelled</v>
      </c>
      <c r="O720" t="str">
        <f t="shared" si="69"/>
        <v>Order Cancelled</v>
      </c>
      <c r="P720" t="str">
        <f t="shared" si="70"/>
        <v>Cancelled</v>
      </c>
      <c r="Q720" t="str">
        <f t="shared" si="71"/>
        <v>Cancelled</v>
      </c>
      <c r="R720" t="str">
        <f>_xlfn.XLOOKUP(B720,CustomerMaster!$A$2:$A$287,CustomerMaster!$B$2:$B$287)</f>
        <v>Customer_196</v>
      </c>
      <c r="S720" t="str">
        <f>_xlfn.XLOOKUP(C720,ProductMaster!$A$2:$A$51,ProductMaster!$B$2:$B$51)</f>
        <v>Product_46</v>
      </c>
      <c r="T720" t="str">
        <f>_xlfn.XLOOKUP(G720,RegionMaster!$A$2:$A$5,RegionMaster!$B$2:$B$5)</f>
        <v>D</v>
      </c>
    </row>
    <row r="721" spans="1:20" ht="15.75" customHeight="1">
      <c r="A721" s="2" t="s">
        <v>1431</v>
      </c>
      <c r="B721" s="2" t="s">
        <v>681</v>
      </c>
      <c r="C721" s="2" t="s">
        <v>148</v>
      </c>
      <c r="D721" s="3">
        <v>45698</v>
      </c>
      <c r="E721" s="3">
        <v>45703</v>
      </c>
      <c r="F721" s="4"/>
      <c r="G721" s="2" t="s">
        <v>17</v>
      </c>
      <c r="H721" s="2" t="s">
        <v>59</v>
      </c>
      <c r="I721" s="2" t="s">
        <v>195</v>
      </c>
      <c r="J721" s="2" t="s">
        <v>94</v>
      </c>
      <c r="K721" s="2">
        <v>3708.16</v>
      </c>
      <c r="L721" s="2" t="str">
        <f t="shared" si="66"/>
        <v>February</v>
      </c>
      <c r="M721" s="2" t="str">
        <f t="shared" si="67"/>
        <v>February</v>
      </c>
      <c r="N721" t="str">
        <f t="shared" si="68"/>
        <v>Delivered</v>
      </c>
      <c r="O721">
        <f t="shared" si="69"/>
        <v>5</v>
      </c>
      <c r="P721" t="str">
        <f t="shared" si="70"/>
        <v>Completed</v>
      </c>
      <c r="Q721" t="str">
        <f t="shared" si="71"/>
        <v>Slow</v>
      </c>
      <c r="R721" t="str">
        <f>_xlfn.XLOOKUP(B721,CustomerMaster!$A$2:$A$287,CustomerMaster!$B$2:$B$287)</f>
        <v>Customer_222</v>
      </c>
      <c r="S721" t="str">
        <f>_xlfn.XLOOKUP(C721,ProductMaster!$A$2:$A$51,ProductMaster!$B$2:$B$51)</f>
        <v>Product_31</v>
      </c>
      <c r="T721" t="str">
        <f>_xlfn.XLOOKUP(G721,RegionMaster!$A$2:$A$5,RegionMaster!$B$2:$B$5)</f>
        <v>B</v>
      </c>
    </row>
    <row r="722" spans="1:20" ht="15.75" customHeight="1">
      <c r="A722" s="2" t="s">
        <v>1432</v>
      </c>
      <c r="B722" s="2" t="s">
        <v>745</v>
      </c>
      <c r="C722" s="2" t="s">
        <v>180</v>
      </c>
      <c r="D722" s="3">
        <v>45746</v>
      </c>
      <c r="E722" s="4"/>
      <c r="F722" s="3">
        <v>45748</v>
      </c>
      <c r="G722" s="2" t="s">
        <v>45</v>
      </c>
      <c r="H722" s="2" t="s">
        <v>27</v>
      </c>
      <c r="I722" s="2" t="s">
        <v>195</v>
      </c>
      <c r="J722" s="2" t="s">
        <v>107</v>
      </c>
      <c r="K722" s="2">
        <v>4704.03</v>
      </c>
      <c r="L722" s="2" t="str">
        <f t="shared" si="66"/>
        <v>March</v>
      </c>
      <c r="M722" s="2" t="str">
        <f t="shared" si="67"/>
        <v>Cancelled</v>
      </c>
      <c r="N722" t="str">
        <f t="shared" si="68"/>
        <v>Cancelled</v>
      </c>
      <c r="O722" t="str">
        <f t="shared" si="69"/>
        <v>Order Cancelled</v>
      </c>
      <c r="P722" t="str">
        <f t="shared" si="70"/>
        <v>Cancelled</v>
      </c>
      <c r="Q722" t="str">
        <f t="shared" si="71"/>
        <v>Cancelled</v>
      </c>
      <c r="R722" t="str">
        <f>_xlfn.XLOOKUP(B722,CustomerMaster!$A$2:$A$287,CustomerMaster!$B$2:$B$287)</f>
        <v>Customer_252</v>
      </c>
      <c r="S722" t="str">
        <f>_xlfn.XLOOKUP(C722,ProductMaster!$A$2:$A$51,ProductMaster!$B$2:$B$51)</f>
        <v>Product_40</v>
      </c>
      <c r="T722" t="str">
        <f>_xlfn.XLOOKUP(G722,RegionMaster!$A$2:$A$5,RegionMaster!$B$2:$B$5)</f>
        <v>D</v>
      </c>
    </row>
    <row r="723" spans="1:20" ht="15.75" customHeight="1">
      <c r="A723" s="2" t="s">
        <v>1433</v>
      </c>
      <c r="B723" s="2" t="s">
        <v>292</v>
      </c>
      <c r="C723" s="2" t="s">
        <v>72</v>
      </c>
      <c r="D723" s="3">
        <v>45739</v>
      </c>
      <c r="E723" s="3">
        <v>45741</v>
      </c>
      <c r="F723" s="4"/>
      <c r="G723" s="2" t="s">
        <v>17</v>
      </c>
      <c r="H723" s="2" t="s">
        <v>59</v>
      </c>
      <c r="I723" s="2" t="s">
        <v>90</v>
      </c>
      <c r="J723" s="2" t="s">
        <v>107</v>
      </c>
      <c r="K723" s="2">
        <v>1069.92</v>
      </c>
      <c r="L723" s="2" t="str">
        <f t="shared" si="66"/>
        <v>March</v>
      </c>
      <c r="M723" s="2" t="str">
        <f t="shared" si="67"/>
        <v>March</v>
      </c>
      <c r="N723" t="str">
        <f t="shared" si="68"/>
        <v>Delivered</v>
      </c>
      <c r="O723">
        <f t="shared" si="69"/>
        <v>2</v>
      </c>
      <c r="P723" t="str">
        <f t="shared" si="70"/>
        <v>Completed</v>
      </c>
      <c r="Q723" t="str">
        <f t="shared" si="71"/>
        <v>Fast</v>
      </c>
      <c r="R723" t="str">
        <f>_xlfn.XLOOKUP(B723,CustomerMaster!$A$2:$A$287,CustomerMaster!$B$2:$B$287)</f>
        <v>Customer_57</v>
      </c>
      <c r="S723" t="str">
        <f>_xlfn.XLOOKUP(C723,ProductMaster!$A$2:$A$51,ProductMaster!$B$2:$B$51)</f>
        <v>Product_10</v>
      </c>
      <c r="T723" t="str">
        <f>_xlfn.XLOOKUP(G723,RegionMaster!$A$2:$A$5,RegionMaster!$B$2:$B$5)</f>
        <v>B</v>
      </c>
    </row>
    <row r="724" spans="1:20" ht="15.75" customHeight="1">
      <c r="A724" s="2" t="s">
        <v>1434</v>
      </c>
      <c r="B724" s="2" t="s">
        <v>89</v>
      </c>
      <c r="C724" s="2" t="s">
        <v>32</v>
      </c>
      <c r="D724" s="3">
        <v>45777</v>
      </c>
      <c r="E724" s="3">
        <v>45780</v>
      </c>
      <c r="F724" s="4"/>
      <c r="G724" s="2" t="s">
        <v>22</v>
      </c>
      <c r="H724" s="2" t="s">
        <v>59</v>
      </c>
      <c r="I724" s="2" t="s">
        <v>195</v>
      </c>
      <c r="J724" s="2" t="s">
        <v>133</v>
      </c>
      <c r="K724" s="2">
        <v>519.17999999999995</v>
      </c>
      <c r="L724" s="2" t="str">
        <f t="shared" si="66"/>
        <v>April</v>
      </c>
      <c r="M724" s="2" t="str">
        <f t="shared" si="67"/>
        <v>May</v>
      </c>
      <c r="N724" t="str">
        <f t="shared" si="68"/>
        <v>Delivered</v>
      </c>
      <c r="O724">
        <f t="shared" si="69"/>
        <v>3</v>
      </c>
      <c r="P724" t="str">
        <f t="shared" si="70"/>
        <v>Completed</v>
      </c>
      <c r="Q724" t="str">
        <f t="shared" si="71"/>
        <v>Slow</v>
      </c>
      <c r="R724" t="str">
        <f>_xlfn.XLOOKUP(B724,CustomerMaster!$A$2:$A$287,CustomerMaster!$B$2:$B$287)</f>
        <v>Customer_12</v>
      </c>
      <c r="S724" t="str">
        <f>_xlfn.XLOOKUP(C724,ProductMaster!$A$2:$A$51,ProductMaster!$B$2:$B$51)</f>
        <v>Product_3</v>
      </c>
      <c r="T724" t="str">
        <f>_xlfn.XLOOKUP(G724,RegionMaster!$A$2:$A$5,RegionMaster!$B$2:$B$5)</f>
        <v>C</v>
      </c>
    </row>
    <row r="725" spans="1:20" ht="15.75" customHeight="1">
      <c r="A725" s="2" t="s">
        <v>1435</v>
      </c>
      <c r="B725" s="2" t="s">
        <v>332</v>
      </c>
      <c r="C725" s="2" t="s">
        <v>75</v>
      </c>
      <c r="D725" s="3">
        <v>45777</v>
      </c>
      <c r="E725" s="3">
        <v>45779</v>
      </c>
      <c r="F725" s="4"/>
      <c r="G725" s="2" t="s">
        <v>17</v>
      </c>
      <c r="H725" s="2" t="s">
        <v>54</v>
      </c>
      <c r="I725" s="2" t="s">
        <v>178</v>
      </c>
      <c r="J725" s="2" t="s">
        <v>107</v>
      </c>
      <c r="K725" s="2">
        <v>3757.38</v>
      </c>
      <c r="L725" s="2" t="str">
        <f t="shared" si="66"/>
        <v>April</v>
      </c>
      <c r="M725" s="2" t="str">
        <f t="shared" si="67"/>
        <v>May</v>
      </c>
      <c r="N725" t="str">
        <f t="shared" si="68"/>
        <v>Delivered</v>
      </c>
      <c r="O725">
        <f t="shared" si="69"/>
        <v>2</v>
      </c>
      <c r="P725" t="str">
        <f t="shared" si="70"/>
        <v>Completed</v>
      </c>
      <c r="Q725" t="str">
        <f t="shared" si="71"/>
        <v>Fast</v>
      </c>
      <c r="R725" t="str">
        <f>_xlfn.XLOOKUP(B725,CustomerMaster!$A$2:$A$287,CustomerMaster!$B$2:$B$287)</f>
        <v>Customer_75</v>
      </c>
      <c r="S725" t="str">
        <f>_xlfn.XLOOKUP(C725,ProductMaster!$A$2:$A$51,ProductMaster!$B$2:$B$51)</f>
        <v>Product_11</v>
      </c>
      <c r="T725" t="str">
        <f>_xlfn.XLOOKUP(G725,RegionMaster!$A$2:$A$5,RegionMaster!$B$2:$B$5)</f>
        <v>B</v>
      </c>
    </row>
    <row r="726" spans="1:20" ht="15.75" customHeight="1">
      <c r="A726" s="2" t="s">
        <v>1436</v>
      </c>
      <c r="B726" s="2" t="s">
        <v>264</v>
      </c>
      <c r="C726" s="2" t="s">
        <v>56</v>
      </c>
      <c r="D726" s="3">
        <v>45689</v>
      </c>
      <c r="E726" s="3">
        <v>45690</v>
      </c>
      <c r="F726" s="4"/>
      <c r="G726" s="2" t="s">
        <v>7</v>
      </c>
      <c r="H726" s="2" t="s">
        <v>27</v>
      </c>
      <c r="I726" s="2" t="s">
        <v>195</v>
      </c>
      <c r="J726" s="2" t="s">
        <v>133</v>
      </c>
      <c r="K726" s="2">
        <v>2957.47</v>
      </c>
      <c r="L726" s="2" t="str">
        <f t="shared" si="66"/>
        <v>February</v>
      </c>
      <c r="M726" s="2" t="str">
        <f t="shared" si="67"/>
        <v>February</v>
      </c>
      <c r="N726" t="str">
        <f t="shared" si="68"/>
        <v>Delivered</v>
      </c>
      <c r="O726">
        <f t="shared" si="69"/>
        <v>1</v>
      </c>
      <c r="P726" t="str">
        <f t="shared" si="70"/>
        <v>Completed</v>
      </c>
      <c r="Q726" t="str">
        <f t="shared" si="71"/>
        <v>Fast</v>
      </c>
      <c r="R726" t="str">
        <f>_xlfn.XLOOKUP(B726,CustomerMaster!$A$2:$A$287,CustomerMaster!$B$2:$B$287)</f>
        <v>Customer_47</v>
      </c>
      <c r="S726" t="str">
        <f>_xlfn.XLOOKUP(C726,ProductMaster!$A$2:$A$51,ProductMaster!$B$2:$B$51)</f>
        <v>Product_7</v>
      </c>
      <c r="T726" t="str">
        <f>_xlfn.XLOOKUP(G726,RegionMaster!$A$2:$A$5,RegionMaster!$B$2:$B$5)</f>
        <v>A</v>
      </c>
    </row>
    <row r="727" spans="1:20" ht="15.75" customHeight="1">
      <c r="A727" s="2" t="s">
        <v>1437</v>
      </c>
      <c r="B727" s="2" t="s">
        <v>471</v>
      </c>
      <c r="C727" s="2" t="s">
        <v>72</v>
      </c>
      <c r="D727" s="3">
        <v>45725</v>
      </c>
      <c r="E727" s="3">
        <v>45729</v>
      </c>
      <c r="F727" s="4"/>
      <c r="G727" s="2" t="s">
        <v>22</v>
      </c>
      <c r="H727" s="2" t="s">
        <v>59</v>
      </c>
      <c r="I727" s="2" t="s">
        <v>178</v>
      </c>
      <c r="J727" s="2" t="s">
        <v>107</v>
      </c>
      <c r="K727" s="2">
        <v>4240.78</v>
      </c>
      <c r="L727" s="2" t="str">
        <f t="shared" si="66"/>
        <v>March</v>
      </c>
      <c r="M727" s="2" t="str">
        <f t="shared" si="67"/>
        <v>March</v>
      </c>
      <c r="N727" t="str">
        <f t="shared" si="68"/>
        <v>Delivered</v>
      </c>
      <c r="O727">
        <f t="shared" si="69"/>
        <v>4</v>
      </c>
      <c r="P727" t="str">
        <f t="shared" si="70"/>
        <v>Completed</v>
      </c>
      <c r="Q727" t="str">
        <f t="shared" si="71"/>
        <v>Slow</v>
      </c>
      <c r="R727" t="str">
        <f>_xlfn.XLOOKUP(B727,CustomerMaster!$A$2:$A$287,CustomerMaster!$B$2:$B$287)</f>
        <v>Customer_134</v>
      </c>
      <c r="S727" t="str">
        <f>_xlfn.XLOOKUP(C727,ProductMaster!$A$2:$A$51,ProductMaster!$B$2:$B$51)</f>
        <v>Product_10</v>
      </c>
      <c r="T727" t="str">
        <f>_xlfn.XLOOKUP(G727,RegionMaster!$A$2:$A$5,RegionMaster!$B$2:$B$5)</f>
        <v>C</v>
      </c>
    </row>
    <row r="728" spans="1:20" ht="15.75" customHeight="1">
      <c r="A728" s="2" t="s">
        <v>1438</v>
      </c>
      <c r="B728" s="2" t="s">
        <v>421</v>
      </c>
      <c r="C728" s="2" t="s">
        <v>101</v>
      </c>
      <c r="D728" s="3">
        <v>45760</v>
      </c>
      <c r="E728" s="3">
        <v>45761</v>
      </c>
      <c r="F728" s="4"/>
      <c r="G728" s="2" t="s">
        <v>17</v>
      </c>
      <c r="H728" s="2" t="s">
        <v>54</v>
      </c>
      <c r="I728" s="2" t="s">
        <v>195</v>
      </c>
      <c r="J728" s="2" t="s">
        <v>94</v>
      </c>
      <c r="K728" s="2">
        <v>870.91</v>
      </c>
      <c r="L728" s="2" t="str">
        <f t="shared" si="66"/>
        <v>April</v>
      </c>
      <c r="M728" s="2" t="str">
        <f t="shared" si="67"/>
        <v>April</v>
      </c>
      <c r="N728" t="str">
        <f t="shared" si="68"/>
        <v>Delivered</v>
      </c>
      <c r="O728">
        <f t="shared" si="69"/>
        <v>1</v>
      </c>
      <c r="P728" t="str">
        <f t="shared" si="70"/>
        <v>Completed</v>
      </c>
      <c r="Q728" t="str">
        <f t="shared" si="71"/>
        <v>Fast</v>
      </c>
      <c r="R728" t="str">
        <f>_xlfn.XLOOKUP(B728,CustomerMaster!$A$2:$A$287,CustomerMaster!$B$2:$B$287)</f>
        <v>Customer_114</v>
      </c>
      <c r="S728" t="str">
        <f>_xlfn.XLOOKUP(C728,ProductMaster!$A$2:$A$51,ProductMaster!$B$2:$B$51)</f>
        <v>Product_27</v>
      </c>
      <c r="T728" t="str">
        <f>_xlfn.XLOOKUP(G728,RegionMaster!$A$2:$A$5,RegionMaster!$B$2:$B$5)</f>
        <v>B</v>
      </c>
    </row>
    <row r="729" spans="1:20" ht="15.75" customHeight="1">
      <c r="A729" s="2" t="s">
        <v>1439</v>
      </c>
      <c r="B729" s="2" t="s">
        <v>251</v>
      </c>
      <c r="C729" s="2" t="s">
        <v>32</v>
      </c>
      <c r="D729" s="3">
        <v>45750</v>
      </c>
      <c r="E729" s="4"/>
      <c r="F729" s="3">
        <v>45750</v>
      </c>
      <c r="G729" s="2" t="s">
        <v>7</v>
      </c>
      <c r="H729" s="2" t="s">
        <v>54</v>
      </c>
      <c r="I729" s="2" t="s">
        <v>106</v>
      </c>
      <c r="J729" s="2" t="s">
        <v>94</v>
      </c>
      <c r="K729" s="2">
        <v>4017.28</v>
      </c>
      <c r="L729" s="2" t="str">
        <f t="shared" si="66"/>
        <v>April</v>
      </c>
      <c r="M729" s="2" t="str">
        <f t="shared" si="67"/>
        <v>Cancelled</v>
      </c>
      <c r="N729" t="str">
        <f t="shared" si="68"/>
        <v>Cancelled</v>
      </c>
      <c r="O729" t="str">
        <f t="shared" si="69"/>
        <v>Order Cancelled</v>
      </c>
      <c r="P729" t="str">
        <f t="shared" si="70"/>
        <v>Cancelled</v>
      </c>
      <c r="Q729" t="str">
        <f t="shared" si="71"/>
        <v>Cancelled</v>
      </c>
      <c r="R729" t="str">
        <f>_xlfn.XLOOKUP(B729,CustomerMaster!$A$2:$A$287,CustomerMaster!$B$2:$B$287)</f>
        <v>Customer_42</v>
      </c>
      <c r="S729" t="str">
        <f>_xlfn.XLOOKUP(C729,ProductMaster!$A$2:$A$51,ProductMaster!$B$2:$B$51)</f>
        <v>Product_3</v>
      </c>
      <c r="T729" t="str">
        <f>_xlfn.XLOOKUP(G729,RegionMaster!$A$2:$A$5,RegionMaster!$B$2:$B$5)</f>
        <v>A</v>
      </c>
    </row>
    <row r="730" spans="1:20" ht="15.75" customHeight="1">
      <c r="A730" s="2" t="s">
        <v>1440</v>
      </c>
      <c r="B730" s="2" t="s">
        <v>781</v>
      </c>
      <c r="C730" s="2" t="s">
        <v>191</v>
      </c>
      <c r="D730" s="3">
        <v>45760</v>
      </c>
      <c r="E730" s="4"/>
      <c r="F730" s="3">
        <v>45762</v>
      </c>
      <c r="G730" s="2" t="s">
        <v>45</v>
      </c>
      <c r="H730" s="2" t="s">
        <v>27</v>
      </c>
      <c r="I730" s="2" t="s">
        <v>106</v>
      </c>
      <c r="J730" s="2" t="s">
        <v>94</v>
      </c>
      <c r="K730" s="2">
        <v>1167.81</v>
      </c>
      <c r="L730" s="2" t="str">
        <f t="shared" si="66"/>
        <v>April</v>
      </c>
      <c r="M730" s="2" t="str">
        <f t="shared" si="67"/>
        <v>Cancelled</v>
      </c>
      <c r="N730" t="str">
        <f t="shared" si="68"/>
        <v>Cancelled</v>
      </c>
      <c r="O730" t="str">
        <f t="shared" si="69"/>
        <v>Order Cancelled</v>
      </c>
      <c r="P730" t="str">
        <f t="shared" si="70"/>
        <v>Cancelled</v>
      </c>
      <c r="Q730" t="str">
        <f t="shared" si="71"/>
        <v>Cancelled</v>
      </c>
      <c r="R730" t="str">
        <f>_xlfn.XLOOKUP(B730,CustomerMaster!$A$2:$A$287,CustomerMaster!$B$2:$B$287)</f>
        <v>Customer_273</v>
      </c>
      <c r="S730" t="str">
        <f>_xlfn.XLOOKUP(C730,ProductMaster!$A$2:$A$51,ProductMaster!$B$2:$B$51)</f>
        <v>Product_43</v>
      </c>
      <c r="T730" t="str">
        <f>_xlfn.XLOOKUP(G730,RegionMaster!$A$2:$A$5,RegionMaster!$B$2:$B$5)</f>
        <v>D</v>
      </c>
    </row>
    <row r="731" spans="1:20" ht="15.75" customHeight="1">
      <c r="A731" s="2" t="s">
        <v>1441</v>
      </c>
      <c r="B731" s="2" t="s">
        <v>662</v>
      </c>
      <c r="C731" s="2" t="s">
        <v>50</v>
      </c>
      <c r="D731" s="3">
        <v>45750</v>
      </c>
      <c r="E731" s="3">
        <v>45756</v>
      </c>
      <c r="F731" s="4"/>
      <c r="G731" s="2" t="s">
        <v>22</v>
      </c>
      <c r="H731" s="2" t="s">
        <v>59</v>
      </c>
      <c r="I731" s="2" t="s">
        <v>106</v>
      </c>
      <c r="J731" s="2" t="s">
        <v>94</v>
      </c>
      <c r="K731" s="2">
        <v>985.55</v>
      </c>
      <c r="L731" s="2" t="str">
        <f t="shared" si="66"/>
        <v>April</v>
      </c>
      <c r="M731" s="2" t="str">
        <f t="shared" si="67"/>
        <v>April</v>
      </c>
      <c r="N731" t="str">
        <f t="shared" si="68"/>
        <v>Delivered</v>
      </c>
      <c r="O731">
        <f t="shared" si="69"/>
        <v>6</v>
      </c>
      <c r="P731" t="str">
        <f t="shared" si="70"/>
        <v>Completed</v>
      </c>
      <c r="Q731" t="str">
        <f t="shared" si="71"/>
        <v>Slow</v>
      </c>
      <c r="R731" t="str">
        <f>_xlfn.XLOOKUP(B731,CustomerMaster!$A$2:$A$287,CustomerMaster!$B$2:$B$287)</f>
        <v>Customer_213</v>
      </c>
      <c r="S731" t="str">
        <f>_xlfn.XLOOKUP(C731,ProductMaster!$A$2:$A$51,ProductMaster!$B$2:$B$51)</f>
        <v>Product_6</v>
      </c>
      <c r="T731" t="str">
        <f>_xlfn.XLOOKUP(G731,RegionMaster!$A$2:$A$5,RegionMaster!$B$2:$B$5)</f>
        <v>C</v>
      </c>
    </row>
    <row r="732" spans="1:20" ht="15.75" customHeight="1">
      <c r="A732" s="2" t="s">
        <v>1442</v>
      </c>
      <c r="B732" s="2" t="s">
        <v>530</v>
      </c>
      <c r="C732" s="2" t="s">
        <v>91</v>
      </c>
      <c r="D732" s="3">
        <v>45751</v>
      </c>
      <c r="E732" s="3">
        <v>45756</v>
      </c>
      <c r="F732" s="4"/>
      <c r="G732" s="2" t="s">
        <v>7</v>
      </c>
      <c r="H732" s="2" t="s">
        <v>27</v>
      </c>
      <c r="I732" s="2" t="s">
        <v>195</v>
      </c>
      <c r="J732" s="2" t="s">
        <v>133</v>
      </c>
      <c r="K732" s="2">
        <v>988.48</v>
      </c>
      <c r="L732" s="2" t="str">
        <f t="shared" si="66"/>
        <v>April</v>
      </c>
      <c r="M732" s="2" t="str">
        <f t="shared" si="67"/>
        <v>April</v>
      </c>
      <c r="N732" t="str">
        <f t="shared" si="68"/>
        <v>Delivered</v>
      </c>
      <c r="O732">
        <f t="shared" si="69"/>
        <v>5</v>
      </c>
      <c r="P732" t="str">
        <f t="shared" si="70"/>
        <v>Completed</v>
      </c>
      <c r="Q732" t="str">
        <f t="shared" si="71"/>
        <v>Slow</v>
      </c>
      <c r="R732" t="str">
        <f>_xlfn.XLOOKUP(B732,CustomerMaster!$A$2:$A$287,CustomerMaster!$B$2:$B$287)</f>
        <v>Customer_158</v>
      </c>
      <c r="S732" t="str">
        <f>_xlfn.XLOOKUP(C732,ProductMaster!$A$2:$A$51,ProductMaster!$B$2:$B$51)</f>
        <v>Product_16</v>
      </c>
      <c r="T732" t="str">
        <f>_xlfn.XLOOKUP(G732,RegionMaster!$A$2:$A$5,RegionMaster!$B$2:$B$5)</f>
        <v>A</v>
      </c>
    </row>
    <row r="733" spans="1:20" ht="15.75" customHeight="1">
      <c r="A733" s="2" t="s">
        <v>1443</v>
      </c>
      <c r="B733" s="2" t="s">
        <v>320</v>
      </c>
      <c r="C733" s="2" t="s">
        <v>162</v>
      </c>
      <c r="D733" s="3">
        <v>45719</v>
      </c>
      <c r="E733" s="4"/>
      <c r="F733" s="3">
        <v>45721</v>
      </c>
      <c r="G733" s="2" t="s">
        <v>17</v>
      </c>
      <c r="H733" s="2" t="s">
        <v>59</v>
      </c>
      <c r="I733" s="2" t="s">
        <v>178</v>
      </c>
      <c r="J733" s="2" t="s">
        <v>94</v>
      </c>
      <c r="K733" s="2">
        <v>4109.96</v>
      </c>
      <c r="L733" s="2" t="str">
        <f t="shared" si="66"/>
        <v>March</v>
      </c>
      <c r="M733" s="2" t="str">
        <f t="shared" si="67"/>
        <v>Cancelled</v>
      </c>
      <c r="N733" t="str">
        <f t="shared" si="68"/>
        <v>Cancelled</v>
      </c>
      <c r="O733" t="str">
        <f t="shared" si="69"/>
        <v>Order Cancelled</v>
      </c>
      <c r="P733" t="str">
        <f t="shared" si="70"/>
        <v>Cancelled</v>
      </c>
      <c r="Q733" t="str">
        <f t="shared" si="71"/>
        <v>Cancelled</v>
      </c>
      <c r="R733" t="str">
        <f>_xlfn.XLOOKUP(B733,CustomerMaster!$A$2:$A$287,CustomerMaster!$B$2:$B$287)</f>
        <v>Customer_70</v>
      </c>
      <c r="S733" t="str">
        <f>_xlfn.XLOOKUP(C733,ProductMaster!$A$2:$A$51,ProductMaster!$B$2:$B$51)</f>
        <v>Product_35</v>
      </c>
      <c r="T733" t="str">
        <f>_xlfn.XLOOKUP(G733,RegionMaster!$A$2:$A$5,RegionMaster!$B$2:$B$5)</f>
        <v>B</v>
      </c>
    </row>
    <row r="734" spans="1:20" ht="15.75" customHeight="1">
      <c r="A734" s="2" t="s">
        <v>1444</v>
      </c>
      <c r="B734" s="2" t="s">
        <v>378</v>
      </c>
      <c r="C734" s="2" t="s">
        <v>130</v>
      </c>
      <c r="D734" s="3">
        <v>45731</v>
      </c>
      <c r="E734" s="4"/>
      <c r="F734" s="3">
        <v>45732</v>
      </c>
      <c r="G734" s="2" t="s">
        <v>17</v>
      </c>
      <c r="H734" s="2" t="s">
        <v>37</v>
      </c>
      <c r="I734" s="2" t="s">
        <v>195</v>
      </c>
      <c r="J734" s="2" t="s">
        <v>107</v>
      </c>
      <c r="K734" s="2">
        <v>3392.95</v>
      </c>
      <c r="L734" s="2" t="str">
        <f t="shared" si="66"/>
        <v>March</v>
      </c>
      <c r="M734" s="2" t="str">
        <f t="shared" si="67"/>
        <v>Cancelled</v>
      </c>
      <c r="N734" t="str">
        <f t="shared" si="68"/>
        <v>Cancelled</v>
      </c>
      <c r="O734" t="str">
        <f t="shared" si="69"/>
        <v>Order Cancelled</v>
      </c>
      <c r="P734" t="str">
        <f t="shared" si="70"/>
        <v>Cancelled</v>
      </c>
      <c r="Q734" t="str">
        <f t="shared" si="71"/>
        <v>Cancelled</v>
      </c>
      <c r="R734" t="str">
        <f>_xlfn.XLOOKUP(B734,CustomerMaster!$A$2:$A$287,CustomerMaster!$B$2:$B$287)</f>
        <v>Customer_96</v>
      </c>
      <c r="S734" t="str">
        <f>_xlfn.XLOOKUP(C734,ProductMaster!$A$2:$A$51,ProductMaster!$B$2:$B$51)</f>
        <v>Product_26</v>
      </c>
      <c r="T734" t="str">
        <f>_xlfn.XLOOKUP(G734,RegionMaster!$A$2:$A$5,RegionMaster!$B$2:$B$5)</f>
        <v>B</v>
      </c>
    </row>
    <row r="735" spans="1:20" ht="15.75" customHeight="1">
      <c r="A735" s="2" t="s">
        <v>1445</v>
      </c>
      <c r="B735" s="2" t="s">
        <v>720</v>
      </c>
      <c r="C735" s="2" t="s">
        <v>130</v>
      </c>
      <c r="D735" s="3">
        <v>45660</v>
      </c>
      <c r="E735" s="3">
        <v>45664</v>
      </c>
      <c r="F735" s="4"/>
      <c r="G735" s="2" t="s">
        <v>7</v>
      </c>
      <c r="H735" s="2" t="s">
        <v>16</v>
      </c>
      <c r="I735" s="2" t="s">
        <v>178</v>
      </c>
      <c r="J735" s="2" t="s">
        <v>94</v>
      </c>
      <c r="K735" s="2">
        <v>2710.71</v>
      </c>
      <c r="L735" s="2" t="str">
        <f t="shared" si="66"/>
        <v>January</v>
      </c>
      <c r="M735" s="2" t="str">
        <f t="shared" si="67"/>
        <v>January</v>
      </c>
      <c r="N735" t="str">
        <f t="shared" si="68"/>
        <v>Delivered</v>
      </c>
      <c r="O735">
        <f t="shared" si="69"/>
        <v>4</v>
      </c>
      <c r="P735" t="str">
        <f t="shared" si="70"/>
        <v>Completed</v>
      </c>
      <c r="Q735" t="str">
        <f t="shared" si="71"/>
        <v>Slow</v>
      </c>
      <c r="R735" t="str">
        <f>_xlfn.XLOOKUP(B735,CustomerMaster!$A$2:$A$287,CustomerMaster!$B$2:$B$287)</f>
        <v>Customer_240</v>
      </c>
      <c r="S735" t="str">
        <f>_xlfn.XLOOKUP(C735,ProductMaster!$A$2:$A$51,ProductMaster!$B$2:$B$51)</f>
        <v>Product_26</v>
      </c>
      <c r="T735" t="str">
        <f>_xlfn.XLOOKUP(G735,RegionMaster!$A$2:$A$5,RegionMaster!$B$2:$B$5)</f>
        <v>A</v>
      </c>
    </row>
    <row r="736" spans="1:20" ht="15.75" customHeight="1">
      <c r="A736" s="2" t="s">
        <v>1446</v>
      </c>
      <c r="B736" s="2" t="s">
        <v>426</v>
      </c>
      <c r="C736" s="2" t="s">
        <v>50</v>
      </c>
      <c r="D736" s="3">
        <v>45761</v>
      </c>
      <c r="E736" s="4"/>
      <c r="F736" s="3">
        <v>45763</v>
      </c>
      <c r="G736" s="2" t="s">
        <v>22</v>
      </c>
      <c r="H736" s="2" t="s">
        <v>27</v>
      </c>
      <c r="I736" s="2" t="s">
        <v>178</v>
      </c>
      <c r="J736" s="2" t="s">
        <v>107</v>
      </c>
      <c r="K736" s="2">
        <v>1922.39</v>
      </c>
      <c r="L736" s="2" t="str">
        <f t="shared" si="66"/>
        <v>April</v>
      </c>
      <c r="M736" s="2" t="str">
        <f t="shared" si="67"/>
        <v>Cancelled</v>
      </c>
      <c r="N736" t="str">
        <f t="shared" si="68"/>
        <v>Cancelled</v>
      </c>
      <c r="O736" t="str">
        <f t="shared" si="69"/>
        <v>Order Cancelled</v>
      </c>
      <c r="P736" t="str">
        <f t="shared" si="70"/>
        <v>Cancelled</v>
      </c>
      <c r="Q736" t="str">
        <f t="shared" si="71"/>
        <v>Cancelled</v>
      </c>
      <c r="R736" t="str">
        <f>_xlfn.XLOOKUP(B736,CustomerMaster!$A$2:$A$287,CustomerMaster!$B$2:$B$287)</f>
        <v>Customer_116</v>
      </c>
      <c r="S736" t="str">
        <f>_xlfn.XLOOKUP(C736,ProductMaster!$A$2:$A$51,ProductMaster!$B$2:$B$51)</f>
        <v>Product_6</v>
      </c>
      <c r="T736" t="str">
        <f>_xlfn.XLOOKUP(G736,RegionMaster!$A$2:$A$5,RegionMaster!$B$2:$B$5)</f>
        <v>C</v>
      </c>
    </row>
    <row r="737" spans="1:20" ht="15.75" customHeight="1">
      <c r="A737" s="2" t="s">
        <v>1447</v>
      </c>
      <c r="B737" s="2" t="s">
        <v>601</v>
      </c>
      <c r="C737" s="2" t="s">
        <v>68</v>
      </c>
      <c r="D737" s="3">
        <v>45767</v>
      </c>
      <c r="E737" s="3">
        <v>45771</v>
      </c>
      <c r="F737" s="4"/>
      <c r="G737" s="2" t="s">
        <v>45</v>
      </c>
      <c r="H737" s="2" t="s">
        <v>16</v>
      </c>
      <c r="I737" s="2" t="s">
        <v>106</v>
      </c>
      <c r="J737" s="2" t="s">
        <v>133</v>
      </c>
      <c r="K737" s="2">
        <v>4410.5600000000004</v>
      </c>
      <c r="L737" s="2" t="str">
        <f t="shared" si="66"/>
        <v>April</v>
      </c>
      <c r="M737" s="2" t="str">
        <f t="shared" si="67"/>
        <v>April</v>
      </c>
      <c r="N737" t="str">
        <f t="shared" si="68"/>
        <v>Delivered</v>
      </c>
      <c r="O737">
        <f t="shared" si="69"/>
        <v>4</v>
      </c>
      <c r="P737" t="str">
        <f t="shared" si="70"/>
        <v>Completed</v>
      </c>
      <c r="Q737" t="str">
        <f t="shared" si="71"/>
        <v>Slow</v>
      </c>
      <c r="R737" t="str">
        <f>_xlfn.XLOOKUP(B737,CustomerMaster!$A$2:$A$287,CustomerMaster!$B$2:$B$287)</f>
        <v>Customer_187</v>
      </c>
      <c r="S737" t="str">
        <f>_xlfn.XLOOKUP(C737,ProductMaster!$A$2:$A$51,ProductMaster!$B$2:$B$51)</f>
        <v>Product_13</v>
      </c>
      <c r="T737" t="str">
        <f>_xlfn.XLOOKUP(G737,RegionMaster!$A$2:$A$5,RegionMaster!$B$2:$B$5)</f>
        <v>D</v>
      </c>
    </row>
    <row r="738" spans="1:20" ht="15.75" customHeight="1">
      <c r="A738" s="2" t="s">
        <v>1448</v>
      </c>
      <c r="B738" s="2" t="s">
        <v>449</v>
      </c>
      <c r="C738" s="2" t="s">
        <v>102</v>
      </c>
      <c r="D738" s="3">
        <v>45675</v>
      </c>
      <c r="E738" s="3">
        <v>45678</v>
      </c>
      <c r="F738" s="4"/>
      <c r="G738" s="2" t="s">
        <v>45</v>
      </c>
      <c r="H738" s="2" t="s">
        <v>16</v>
      </c>
      <c r="I738" s="2" t="s">
        <v>90</v>
      </c>
      <c r="J738" s="2" t="s">
        <v>94</v>
      </c>
      <c r="K738" s="2">
        <v>2083.7399999999998</v>
      </c>
      <c r="L738" s="2" t="str">
        <f t="shared" si="66"/>
        <v>January</v>
      </c>
      <c r="M738" s="2" t="str">
        <f t="shared" si="67"/>
        <v>January</v>
      </c>
      <c r="N738" t="str">
        <f t="shared" si="68"/>
        <v>Delivered</v>
      </c>
      <c r="O738">
        <f t="shared" si="69"/>
        <v>3</v>
      </c>
      <c r="P738" t="str">
        <f t="shared" si="70"/>
        <v>Completed</v>
      </c>
      <c r="Q738" t="str">
        <f t="shared" si="71"/>
        <v>Slow</v>
      </c>
      <c r="R738" t="str">
        <f>_xlfn.XLOOKUP(B738,CustomerMaster!$A$2:$A$287,CustomerMaster!$B$2:$B$287)</f>
        <v>Customer_125</v>
      </c>
      <c r="S738" t="str">
        <f>_xlfn.XLOOKUP(C738,ProductMaster!$A$2:$A$51,ProductMaster!$B$2:$B$51)</f>
        <v>Product_18</v>
      </c>
      <c r="T738" t="str">
        <f>_xlfn.XLOOKUP(G738,RegionMaster!$A$2:$A$5,RegionMaster!$B$2:$B$5)</f>
        <v>D</v>
      </c>
    </row>
    <row r="739" spans="1:20" ht="15.75" customHeight="1">
      <c r="A739" s="2" t="s">
        <v>1449</v>
      </c>
      <c r="B739" s="2" t="s">
        <v>743</v>
      </c>
      <c r="C739" s="2" t="s">
        <v>213</v>
      </c>
      <c r="D739" s="3">
        <v>45706</v>
      </c>
      <c r="E739" s="3">
        <v>45708</v>
      </c>
      <c r="F739" s="4"/>
      <c r="G739" s="2" t="s">
        <v>7</v>
      </c>
      <c r="H739" s="2" t="s">
        <v>37</v>
      </c>
      <c r="I739" s="2" t="s">
        <v>106</v>
      </c>
      <c r="J739" s="2" t="s">
        <v>133</v>
      </c>
      <c r="K739" s="2">
        <v>4119.68</v>
      </c>
      <c r="L739" s="2" t="str">
        <f t="shared" si="66"/>
        <v>February</v>
      </c>
      <c r="M739" s="2" t="str">
        <f t="shared" si="67"/>
        <v>February</v>
      </c>
      <c r="N739" t="str">
        <f t="shared" si="68"/>
        <v>Delivered</v>
      </c>
      <c r="O739">
        <f t="shared" si="69"/>
        <v>2</v>
      </c>
      <c r="P739" t="str">
        <f t="shared" si="70"/>
        <v>Completed</v>
      </c>
      <c r="Q739" t="str">
        <f t="shared" si="71"/>
        <v>Fast</v>
      </c>
      <c r="R739" t="str">
        <f>_xlfn.XLOOKUP(B739,CustomerMaster!$A$2:$A$287,CustomerMaster!$B$2:$B$287)</f>
        <v>Customer_251</v>
      </c>
      <c r="S739" t="str">
        <f>_xlfn.XLOOKUP(C739,ProductMaster!$A$2:$A$51,ProductMaster!$B$2:$B$51)</f>
        <v>Product_49</v>
      </c>
      <c r="T739" t="str">
        <f>_xlfn.XLOOKUP(G739,RegionMaster!$A$2:$A$5,RegionMaster!$B$2:$B$5)</f>
        <v>A</v>
      </c>
    </row>
    <row r="740" spans="1:20" ht="15.75" customHeight="1">
      <c r="A740" s="2" t="s">
        <v>1450</v>
      </c>
      <c r="B740" s="2" t="s">
        <v>278</v>
      </c>
      <c r="C740" s="2" t="s">
        <v>125</v>
      </c>
      <c r="D740" s="3">
        <v>45702</v>
      </c>
      <c r="E740" s="4"/>
      <c r="F740" s="3">
        <v>45704</v>
      </c>
      <c r="G740" s="2" t="s">
        <v>22</v>
      </c>
      <c r="H740" s="2" t="s">
        <v>37</v>
      </c>
      <c r="I740" s="2" t="s">
        <v>106</v>
      </c>
      <c r="J740" s="2" t="s">
        <v>107</v>
      </c>
      <c r="K740" s="2">
        <v>2307.85</v>
      </c>
      <c r="L740" s="2" t="str">
        <f t="shared" si="66"/>
        <v>February</v>
      </c>
      <c r="M740" s="2" t="str">
        <f t="shared" si="67"/>
        <v>Cancelled</v>
      </c>
      <c r="N740" t="str">
        <f t="shared" si="68"/>
        <v>Cancelled</v>
      </c>
      <c r="O740" t="str">
        <f t="shared" si="69"/>
        <v>Order Cancelled</v>
      </c>
      <c r="P740" t="str">
        <f t="shared" si="70"/>
        <v>Cancelled</v>
      </c>
      <c r="Q740" t="str">
        <f t="shared" si="71"/>
        <v>Cancelled</v>
      </c>
      <c r="R740" t="str">
        <f>_xlfn.XLOOKUP(B740,CustomerMaster!$A$2:$A$287,CustomerMaster!$B$2:$B$287)</f>
        <v>Customer_52</v>
      </c>
      <c r="S740" t="str">
        <f>_xlfn.XLOOKUP(C740,ProductMaster!$A$2:$A$51,ProductMaster!$B$2:$B$51)</f>
        <v>Product_24</v>
      </c>
      <c r="T740" t="str">
        <f>_xlfn.XLOOKUP(G740,RegionMaster!$A$2:$A$5,RegionMaster!$B$2:$B$5)</f>
        <v>C</v>
      </c>
    </row>
    <row r="741" spans="1:20" ht="15.75" customHeight="1">
      <c r="A741" s="2" t="s">
        <v>1451</v>
      </c>
      <c r="B741" s="2" t="s">
        <v>544</v>
      </c>
      <c r="C741" s="2" t="s">
        <v>204</v>
      </c>
      <c r="D741" s="3">
        <v>45661</v>
      </c>
      <c r="E741" s="3">
        <v>45664</v>
      </c>
      <c r="F741" s="4"/>
      <c r="G741" s="2" t="s">
        <v>7</v>
      </c>
      <c r="H741" s="2" t="s">
        <v>37</v>
      </c>
      <c r="I741" s="2" t="s">
        <v>90</v>
      </c>
      <c r="J741" s="2" t="s">
        <v>107</v>
      </c>
      <c r="K741" s="2">
        <v>2009.33</v>
      </c>
      <c r="L741" s="2" t="str">
        <f t="shared" si="66"/>
        <v>January</v>
      </c>
      <c r="M741" s="2" t="str">
        <f t="shared" si="67"/>
        <v>January</v>
      </c>
      <c r="N741" t="str">
        <f t="shared" si="68"/>
        <v>Delivered</v>
      </c>
      <c r="O741">
        <f t="shared" si="69"/>
        <v>3</v>
      </c>
      <c r="P741" t="str">
        <f t="shared" si="70"/>
        <v>Completed</v>
      </c>
      <c r="Q741" t="str">
        <f t="shared" si="71"/>
        <v>Slow</v>
      </c>
      <c r="R741" t="str">
        <f>_xlfn.XLOOKUP(B741,CustomerMaster!$A$2:$A$287,CustomerMaster!$B$2:$B$287)</f>
        <v>Customer_163</v>
      </c>
      <c r="S741" t="str">
        <f>_xlfn.XLOOKUP(C741,ProductMaster!$A$2:$A$51,ProductMaster!$B$2:$B$51)</f>
        <v>Product_46</v>
      </c>
      <c r="T741" t="str">
        <f>_xlfn.XLOOKUP(G741,RegionMaster!$A$2:$A$5,RegionMaster!$B$2:$B$5)</f>
        <v>A</v>
      </c>
    </row>
    <row r="742" spans="1:20" ht="15.75" customHeight="1">
      <c r="A742" s="2" t="s">
        <v>1452</v>
      </c>
      <c r="B742" s="2" t="s">
        <v>139</v>
      </c>
      <c r="C742" s="2" t="s">
        <v>75</v>
      </c>
      <c r="D742" s="3">
        <v>45666</v>
      </c>
      <c r="E742" s="3">
        <v>45670</v>
      </c>
      <c r="F742" s="4"/>
      <c r="G742" s="2" t="s">
        <v>22</v>
      </c>
      <c r="H742" s="2" t="s">
        <v>27</v>
      </c>
      <c r="I742" s="2" t="s">
        <v>121</v>
      </c>
      <c r="J742" s="2" t="s">
        <v>133</v>
      </c>
      <c r="K742" s="2">
        <v>2420.86</v>
      </c>
      <c r="L742" s="2" t="str">
        <f t="shared" si="66"/>
        <v>January</v>
      </c>
      <c r="M742" s="2" t="str">
        <f t="shared" si="67"/>
        <v>January</v>
      </c>
      <c r="N742" t="str">
        <f t="shared" si="68"/>
        <v>Delivered</v>
      </c>
      <c r="O742">
        <f t="shared" si="69"/>
        <v>4</v>
      </c>
      <c r="P742" t="str">
        <f t="shared" si="70"/>
        <v>Completed</v>
      </c>
      <c r="Q742" t="str">
        <f t="shared" si="71"/>
        <v>Slow</v>
      </c>
      <c r="R742" t="str">
        <f>_xlfn.XLOOKUP(B742,CustomerMaster!$A$2:$A$287,CustomerMaster!$B$2:$B$287)</f>
        <v>Customer_232</v>
      </c>
      <c r="S742" t="str">
        <f>_xlfn.XLOOKUP(C742,ProductMaster!$A$2:$A$51,ProductMaster!$B$2:$B$51)</f>
        <v>Product_11</v>
      </c>
      <c r="T742" t="str">
        <f>_xlfn.XLOOKUP(G742,RegionMaster!$A$2:$A$5,RegionMaster!$B$2:$B$5)</f>
        <v>C</v>
      </c>
    </row>
    <row r="743" spans="1:20" ht="15.75" customHeight="1">
      <c r="A743" s="2" t="s">
        <v>1453</v>
      </c>
      <c r="B743" s="2" t="s">
        <v>235</v>
      </c>
      <c r="C743" s="2" t="s">
        <v>39</v>
      </c>
      <c r="D743" s="3">
        <v>45738</v>
      </c>
      <c r="E743" s="3">
        <v>45741</v>
      </c>
      <c r="F743" s="4"/>
      <c r="G743" s="2" t="s">
        <v>17</v>
      </c>
      <c r="H743" s="2" t="s">
        <v>37</v>
      </c>
      <c r="I743" s="2" t="s">
        <v>90</v>
      </c>
      <c r="J743" s="2" t="s">
        <v>94</v>
      </c>
      <c r="K743" s="2">
        <v>1646.61</v>
      </c>
      <c r="L743" s="2" t="str">
        <f t="shared" si="66"/>
        <v>March</v>
      </c>
      <c r="M743" s="2" t="str">
        <f t="shared" si="67"/>
        <v>March</v>
      </c>
      <c r="N743" t="str">
        <f t="shared" si="68"/>
        <v>Delivered</v>
      </c>
      <c r="O743">
        <f t="shared" si="69"/>
        <v>3</v>
      </c>
      <c r="P743" t="str">
        <f t="shared" si="70"/>
        <v>Completed</v>
      </c>
      <c r="Q743" t="str">
        <f t="shared" si="71"/>
        <v>Slow</v>
      </c>
      <c r="R743" t="str">
        <f>_xlfn.XLOOKUP(B743,CustomerMaster!$A$2:$A$287,CustomerMaster!$B$2:$B$287)</f>
        <v>Customer_36</v>
      </c>
      <c r="S743" t="str">
        <f>_xlfn.XLOOKUP(C743,ProductMaster!$A$2:$A$51,ProductMaster!$B$2:$B$51)</f>
        <v>Product_4</v>
      </c>
      <c r="T743" t="str">
        <f>_xlfn.XLOOKUP(G743,RegionMaster!$A$2:$A$5,RegionMaster!$B$2:$B$5)</f>
        <v>B</v>
      </c>
    </row>
    <row r="744" spans="1:20" ht="15.75" customHeight="1">
      <c r="A744" s="2" t="s">
        <v>1454</v>
      </c>
      <c r="B744" s="2" t="s">
        <v>771</v>
      </c>
      <c r="C744" s="2" t="s">
        <v>87</v>
      </c>
      <c r="D744" s="3">
        <v>45732</v>
      </c>
      <c r="E744" s="3">
        <v>45734</v>
      </c>
      <c r="F744" s="4"/>
      <c r="G744" s="2" t="s">
        <v>45</v>
      </c>
      <c r="H744" s="2" t="s">
        <v>27</v>
      </c>
      <c r="I744" s="2" t="s">
        <v>90</v>
      </c>
      <c r="J744" s="2" t="s">
        <v>133</v>
      </c>
      <c r="K744" s="2">
        <v>3788.53</v>
      </c>
      <c r="L744" s="2" t="str">
        <f t="shared" si="66"/>
        <v>March</v>
      </c>
      <c r="M744" s="2" t="str">
        <f t="shared" si="67"/>
        <v>March</v>
      </c>
      <c r="N744" t="str">
        <f t="shared" si="68"/>
        <v>Delivered</v>
      </c>
      <c r="O744">
        <f t="shared" si="69"/>
        <v>2</v>
      </c>
      <c r="P744" t="str">
        <f t="shared" si="70"/>
        <v>Completed</v>
      </c>
      <c r="Q744" t="str">
        <f t="shared" si="71"/>
        <v>Fast</v>
      </c>
      <c r="R744" t="str">
        <f>_xlfn.XLOOKUP(B744,CustomerMaster!$A$2:$A$287,CustomerMaster!$B$2:$B$287)</f>
        <v>Customer_266</v>
      </c>
      <c r="S744" t="str">
        <f>_xlfn.XLOOKUP(C744,ProductMaster!$A$2:$A$51,ProductMaster!$B$2:$B$51)</f>
        <v>Product_15</v>
      </c>
      <c r="T744" t="str">
        <f>_xlfn.XLOOKUP(G744,RegionMaster!$A$2:$A$5,RegionMaster!$B$2:$B$5)</f>
        <v>D</v>
      </c>
    </row>
    <row r="745" spans="1:20" ht="15.75" customHeight="1">
      <c r="A745" s="2" t="s">
        <v>1455</v>
      </c>
      <c r="B745" s="2" t="s">
        <v>494</v>
      </c>
      <c r="C745" s="2" t="s">
        <v>128</v>
      </c>
      <c r="D745" s="3">
        <v>45662</v>
      </c>
      <c r="E745" s="3">
        <v>45664</v>
      </c>
      <c r="F745" s="4"/>
      <c r="G745" s="2" t="s">
        <v>7</v>
      </c>
      <c r="H745" s="2" t="s">
        <v>59</v>
      </c>
      <c r="I745" s="2" t="s">
        <v>106</v>
      </c>
      <c r="J745" s="2" t="s">
        <v>133</v>
      </c>
      <c r="K745" s="2">
        <v>2613.06</v>
      </c>
      <c r="L745" s="2" t="str">
        <f t="shared" si="66"/>
        <v>January</v>
      </c>
      <c r="M745" s="2" t="str">
        <f t="shared" si="67"/>
        <v>January</v>
      </c>
      <c r="N745" t="str">
        <f t="shared" si="68"/>
        <v>Delivered</v>
      </c>
      <c r="O745">
        <f t="shared" si="69"/>
        <v>2</v>
      </c>
      <c r="P745" t="str">
        <f t="shared" si="70"/>
        <v>Completed</v>
      </c>
      <c r="Q745" t="str">
        <f t="shared" si="71"/>
        <v>Fast</v>
      </c>
      <c r="R745" t="str">
        <f>_xlfn.XLOOKUP(B745,CustomerMaster!$A$2:$A$287,CustomerMaster!$B$2:$B$287)</f>
        <v>Customer_144</v>
      </c>
      <c r="S745" t="str">
        <f>_xlfn.XLOOKUP(C745,ProductMaster!$A$2:$A$51,ProductMaster!$B$2:$B$51)</f>
        <v>Product_25</v>
      </c>
      <c r="T745" t="str">
        <f>_xlfn.XLOOKUP(G745,RegionMaster!$A$2:$A$5,RegionMaster!$B$2:$B$5)</f>
        <v>A</v>
      </c>
    </row>
    <row r="746" spans="1:20" ht="15.75" customHeight="1">
      <c r="A746" s="2" t="s">
        <v>1456</v>
      </c>
      <c r="B746" s="2" t="s">
        <v>332</v>
      </c>
      <c r="C746" s="2" t="s">
        <v>125</v>
      </c>
      <c r="D746" s="3">
        <v>45765</v>
      </c>
      <c r="E746" s="4"/>
      <c r="F746" s="3">
        <v>45767</v>
      </c>
      <c r="G746" s="2" t="s">
        <v>17</v>
      </c>
      <c r="H746" s="2" t="s">
        <v>59</v>
      </c>
      <c r="I746" s="2" t="s">
        <v>90</v>
      </c>
      <c r="J746" s="2" t="s">
        <v>94</v>
      </c>
      <c r="K746" s="2">
        <v>1314.62</v>
      </c>
      <c r="L746" s="2" t="str">
        <f t="shared" si="66"/>
        <v>April</v>
      </c>
      <c r="M746" s="2" t="str">
        <f t="shared" si="67"/>
        <v>Cancelled</v>
      </c>
      <c r="N746" t="str">
        <f t="shared" si="68"/>
        <v>Cancelled</v>
      </c>
      <c r="O746" t="str">
        <f t="shared" si="69"/>
        <v>Order Cancelled</v>
      </c>
      <c r="P746" t="str">
        <f t="shared" si="70"/>
        <v>Cancelled</v>
      </c>
      <c r="Q746" t="str">
        <f t="shared" si="71"/>
        <v>Cancelled</v>
      </c>
      <c r="R746" t="str">
        <f>_xlfn.XLOOKUP(B746,CustomerMaster!$A$2:$A$287,CustomerMaster!$B$2:$B$287)</f>
        <v>Customer_75</v>
      </c>
      <c r="S746" t="str">
        <f>_xlfn.XLOOKUP(C746,ProductMaster!$A$2:$A$51,ProductMaster!$B$2:$B$51)</f>
        <v>Product_24</v>
      </c>
      <c r="T746" t="str">
        <f>_xlfn.XLOOKUP(G746,RegionMaster!$A$2:$A$5,RegionMaster!$B$2:$B$5)</f>
        <v>B</v>
      </c>
    </row>
    <row r="747" spans="1:20" ht="15.75" customHeight="1">
      <c r="A747" s="2" t="s">
        <v>1457</v>
      </c>
      <c r="B747" s="2" t="s">
        <v>44</v>
      </c>
      <c r="C747" s="2" t="s">
        <v>91</v>
      </c>
      <c r="D747" s="3">
        <v>45660</v>
      </c>
      <c r="E747" s="3">
        <v>45665</v>
      </c>
      <c r="F747" s="4"/>
      <c r="G747" s="2" t="s">
        <v>7</v>
      </c>
      <c r="H747" s="2" t="s">
        <v>27</v>
      </c>
      <c r="I747" s="2" t="s">
        <v>121</v>
      </c>
      <c r="J747" s="2" t="s">
        <v>133</v>
      </c>
      <c r="K747" s="2">
        <v>4517.96</v>
      </c>
      <c r="L747" s="2" t="str">
        <f t="shared" si="66"/>
        <v>January</v>
      </c>
      <c r="M747" s="2" t="str">
        <f t="shared" si="67"/>
        <v>January</v>
      </c>
      <c r="N747" t="str">
        <f t="shared" si="68"/>
        <v>Delivered</v>
      </c>
      <c r="O747">
        <f t="shared" si="69"/>
        <v>5</v>
      </c>
      <c r="P747" t="str">
        <f t="shared" si="70"/>
        <v>Completed</v>
      </c>
      <c r="Q747" t="str">
        <f t="shared" si="71"/>
        <v>Slow</v>
      </c>
      <c r="R747" t="str">
        <f>_xlfn.XLOOKUP(B747,CustomerMaster!$A$2:$A$287,CustomerMaster!$B$2:$B$287)</f>
        <v>Customer_4</v>
      </c>
      <c r="S747" t="str">
        <f>_xlfn.XLOOKUP(C747,ProductMaster!$A$2:$A$51,ProductMaster!$B$2:$B$51)</f>
        <v>Product_16</v>
      </c>
      <c r="T747" t="str">
        <f>_xlfn.XLOOKUP(G747,RegionMaster!$A$2:$A$5,RegionMaster!$B$2:$B$5)</f>
        <v>A</v>
      </c>
    </row>
    <row r="748" spans="1:20" ht="15.75" customHeight="1">
      <c r="A748" s="2" t="s">
        <v>1458</v>
      </c>
      <c r="B748" s="2" t="s">
        <v>155</v>
      </c>
      <c r="C748" s="2" t="s">
        <v>39</v>
      </c>
      <c r="D748" s="3">
        <v>45713</v>
      </c>
      <c r="E748" s="3">
        <v>45716</v>
      </c>
      <c r="F748" s="4"/>
      <c r="G748" s="2" t="s">
        <v>17</v>
      </c>
      <c r="H748" s="2" t="s">
        <v>37</v>
      </c>
      <c r="I748" s="2" t="s">
        <v>195</v>
      </c>
      <c r="J748" s="2" t="s">
        <v>107</v>
      </c>
      <c r="K748" s="2">
        <v>2042.68</v>
      </c>
      <c r="L748" s="2" t="str">
        <f t="shared" si="66"/>
        <v>February</v>
      </c>
      <c r="M748" s="2" t="str">
        <f t="shared" si="67"/>
        <v>February</v>
      </c>
      <c r="N748" t="str">
        <f t="shared" si="68"/>
        <v>Delivered</v>
      </c>
      <c r="O748">
        <f t="shared" si="69"/>
        <v>3</v>
      </c>
      <c r="P748" t="str">
        <f t="shared" si="70"/>
        <v>Completed</v>
      </c>
      <c r="Q748" t="str">
        <f t="shared" si="71"/>
        <v>Slow</v>
      </c>
      <c r="R748" t="str">
        <f>_xlfn.XLOOKUP(B748,CustomerMaster!$A$2:$A$287,CustomerMaster!$B$2:$B$287)</f>
        <v>Customer_265</v>
      </c>
      <c r="S748" t="str">
        <f>_xlfn.XLOOKUP(C748,ProductMaster!$A$2:$A$51,ProductMaster!$B$2:$B$51)</f>
        <v>Product_4</v>
      </c>
      <c r="T748" t="str">
        <f>_xlfn.XLOOKUP(G748,RegionMaster!$A$2:$A$5,RegionMaster!$B$2:$B$5)</f>
        <v>B</v>
      </c>
    </row>
    <row r="749" spans="1:20" ht="15.75" customHeight="1">
      <c r="A749" s="2" t="s">
        <v>1459</v>
      </c>
      <c r="B749" s="2" t="s">
        <v>171</v>
      </c>
      <c r="C749" s="2" t="s">
        <v>118</v>
      </c>
      <c r="D749" s="3">
        <v>45724</v>
      </c>
      <c r="E749" s="3">
        <v>45729</v>
      </c>
      <c r="F749" s="4"/>
      <c r="G749" s="2" t="s">
        <v>7</v>
      </c>
      <c r="H749" s="2" t="s">
        <v>27</v>
      </c>
      <c r="I749" s="2" t="s">
        <v>121</v>
      </c>
      <c r="J749" s="2" t="s">
        <v>133</v>
      </c>
      <c r="K749" s="2">
        <v>2809.05</v>
      </c>
      <c r="L749" s="2" t="str">
        <f t="shared" si="66"/>
        <v>March</v>
      </c>
      <c r="M749" s="2" t="str">
        <f t="shared" si="67"/>
        <v>March</v>
      </c>
      <c r="N749" t="str">
        <f t="shared" si="68"/>
        <v>Delivered</v>
      </c>
      <c r="O749">
        <f t="shared" si="69"/>
        <v>5</v>
      </c>
      <c r="P749" t="str">
        <f t="shared" si="70"/>
        <v>Completed</v>
      </c>
      <c r="Q749" t="str">
        <f t="shared" si="71"/>
        <v>Slow</v>
      </c>
      <c r="R749" t="str">
        <f>_xlfn.XLOOKUP(B749,CustomerMaster!$A$2:$A$287,CustomerMaster!$B$2:$B$287)</f>
        <v>Customer_250</v>
      </c>
      <c r="S749" t="str">
        <f>_xlfn.XLOOKUP(C749,ProductMaster!$A$2:$A$51,ProductMaster!$B$2:$B$51)</f>
        <v>Product_22</v>
      </c>
      <c r="T749" t="str">
        <f>_xlfn.XLOOKUP(G749,RegionMaster!$A$2:$A$5,RegionMaster!$B$2:$B$5)</f>
        <v>A</v>
      </c>
    </row>
    <row r="750" spans="1:20" ht="15.75" customHeight="1">
      <c r="A750" s="2" t="s">
        <v>1460</v>
      </c>
      <c r="B750" s="2" t="s">
        <v>120</v>
      </c>
      <c r="C750" s="2" t="s">
        <v>153</v>
      </c>
      <c r="D750" s="3">
        <v>45692</v>
      </c>
      <c r="E750" s="4"/>
      <c r="F750" s="3">
        <v>45694</v>
      </c>
      <c r="G750" s="2" t="s">
        <v>7</v>
      </c>
      <c r="H750" s="2" t="s">
        <v>37</v>
      </c>
      <c r="I750" s="2" t="s">
        <v>178</v>
      </c>
      <c r="J750" s="2" t="s">
        <v>133</v>
      </c>
      <c r="K750" s="2">
        <v>4551.07</v>
      </c>
      <c r="L750" s="2" t="str">
        <f t="shared" si="66"/>
        <v>February</v>
      </c>
      <c r="M750" s="2" t="str">
        <f t="shared" si="67"/>
        <v>Cancelled</v>
      </c>
      <c r="N750" t="str">
        <f t="shared" si="68"/>
        <v>Cancelled</v>
      </c>
      <c r="O750" t="str">
        <f t="shared" si="69"/>
        <v>Order Cancelled</v>
      </c>
      <c r="P750" t="str">
        <f t="shared" si="70"/>
        <v>Cancelled</v>
      </c>
      <c r="Q750" t="str">
        <f t="shared" si="71"/>
        <v>Cancelled</v>
      </c>
      <c r="R750" t="str">
        <f>_xlfn.XLOOKUP(B750,CustomerMaster!$A$2:$A$287,CustomerMaster!$B$2:$B$287)</f>
        <v>Customer_16</v>
      </c>
      <c r="S750" t="str">
        <f>_xlfn.XLOOKUP(C750,ProductMaster!$A$2:$A$51,ProductMaster!$B$2:$B$51)</f>
        <v>Product_32</v>
      </c>
      <c r="T750" t="str">
        <f>_xlfn.XLOOKUP(G750,RegionMaster!$A$2:$A$5,RegionMaster!$B$2:$B$5)</f>
        <v>A</v>
      </c>
    </row>
    <row r="751" spans="1:20" ht="15.75" customHeight="1">
      <c r="A751" s="2" t="s">
        <v>1461</v>
      </c>
      <c r="B751" s="2" t="s">
        <v>799</v>
      </c>
      <c r="C751" s="2" t="s">
        <v>191</v>
      </c>
      <c r="D751" s="3">
        <v>45729</v>
      </c>
      <c r="E751" s="3">
        <v>45731</v>
      </c>
      <c r="F751" s="4"/>
      <c r="G751" s="2" t="s">
        <v>7</v>
      </c>
      <c r="H751" s="2" t="s">
        <v>16</v>
      </c>
      <c r="I751" s="2" t="s">
        <v>195</v>
      </c>
      <c r="J751" s="2" t="s">
        <v>133</v>
      </c>
      <c r="K751" s="2">
        <v>3196.34</v>
      </c>
      <c r="L751" s="2" t="str">
        <f t="shared" si="66"/>
        <v>March</v>
      </c>
      <c r="M751" s="2" t="str">
        <f t="shared" si="67"/>
        <v>March</v>
      </c>
      <c r="N751" t="str">
        <f t="shared" si="68"/>
        <v>Delivered</v>
      </c>
      <c r="O751">
        <f t="shared" si="69"/>
        <v>2</v>
      </c>
      <c r="P751" t="str">
        <f t="shared" si="70"/>
        <v>Completed</v>
      </c>
      <c r="Q751" t="str">
        <f t="shared" si="71"/>
        <v>Fast</v>
      </c>
      <c r="R751" t="str">
        <f>_xlfn.XLOOKUP(B751,CustomerMaster!$A$2:$A$287,CustomerMaster!$B$2:$B$287)</f>
        <v>Customer_284</v>
      </c>
      <c r="S751" t="str">
        <f>_xlfn.XLOOKUP(C751,ProductMaster!$A$2:$A$51,ProductMaster!$B$2:$B$51)</f>
        <v>Product_43</v>
      </c>
      <c r="T751" t="str">
        <f>_xlfn.XLOOKUP(G751,RegionMaster!$A$2:$A$5,RegionMaster!$B$2:$B$5)</f>
        <v>A</v>
      </c>
    </row>
    <row r="752" spans="1:20" ht="15.75" customHeight="1">
      <c r="A752" s="2" t="s">
        <v>1462</v>
      </c>
      <c r="B752" s="2" t="s">
        <v>97</v>
      </c>
      <c r="C752" s="2" t="s">
        <v>101</v>
      </c>
      <c r="D752" s="3">
        <v>45746</v>
      </c>
      <c r="E752" s="3">
        <v>45751</v>
      </c>
      <c r="F752" s="4"/>
      <c r="G752" s="2" t="s">
        <v>7</v>
      </c>
      <c r="H752" s="2" t="s">
        <v>54</v>
      </c>
      <c r="I752" s="2" t="s">
        <v>195</v>
      </c>
      <c r="J752" s="2" t="s">
        <v>107</v>
      </c>
      <c r="K752" s="2">
        <v>761.11</v>
      </c>
      <c r="L752" s="2" t="str">
        <f t="shared" si="66"/>
        <v>March</v>
      </c>
      <c r="M752" s="2" t="str">
        <f t="shared" si="67"/>
        <v>April</v>
      </c>
      <c r="N752" t="str">
        <f t="shared" si="68"/>
        <v>Delivered</v>
      </c>
      <c r="O752">
        <f t="shared" si="69"/>
        <v>5</v>
      </c>
      <c r="P752" t="str">
        <f t="shared" si="70"/>
        <v>Completed</v>
      </c>
      <c r="Q752" t="str">
        <f t="shared" si="71"/>
        <v>Slow</v>
      </c>
      <c r="R752" t="str">
        <f>_xlfn.XLOOKUP(B752,CustomerMaster!$A$2:$A$287,CustomerMaster!$B$2:$B$287)</f>
        <v>Customer_13</v>
      </c>
      <c r="S752" t="str">
        <f>_xlfn.XLOOKUP(C752,ProductMaster!$A$2:$A$51,ProductMaster!$B$2:$B$51)</f>
        <v>Product_27</v>
      </c>
      <c r="T752" t="str">
        <f>_xlfn.XLOOKUP(G752,RegionMaster!$A$2:$A$5,RegionMaster!$B$2:$B$5)</f>
        <v>A</v>
      </c>
    </row>
    <row r="753" spans="1:20" ht="15.75" customHeight="1">
      <c r="A753" s="2" t="s">
        <v>1463</v>
      </c>
      <c r="B753" s="2" t="s">
        <v>186</v>
      </c>
      <c r="C753" s="2" t="s">
        <v>29</v>
      </c>
      <c r="D753" s="3">
        <v>45743</v>
      </c>
      <c r="E753" s="4"/>
      <c r="F753" s="3">
        <v>45743</v>
      </c>
      <c r="G753" s="2" t="s">
        <v>45</v>
      </c>
      <c r="H753" s="2" t="s">
        <v>37</v>
      </c>
      <c r="I753" s="2" t="s">
        <v>121</v>
      </c>
      <c r="J753" s="2" t="s">
        <v>94</v>
      </c>
      <c r="K753" s="2">
        <v>4711.1899999999996</v>
      </c>
      <c r="L753" s="2" t="str">
        <f t="shared" si="66"/>
        <v>March</v>
      </c>
      <c r="M753" s="2" t="str">
        <f t="shared" si="67"/>
        <v>Cancelled</v>
      </c>
      <c r="N753" t="str">
        <f t="shared" si="68"/>
        <v>Cancelled</v>
      </c>
      <c r="O753" t="str">
        <f t="shared" si="69"/>
        <v>Order Cancelled</v>
      </c>
      <c r="P753" t="str">
        <f t="shared" si="70"/>
        <v>Cancelled</v>
      </c>
      <c r="Q753" t="str">
        <f t="shared" si="71"/>
        <v>Cancelled</v>
      </c>
      <c r="R753" t="str">
        <f>_xlfn.XLOOKUP(B753,CustomerMaster!$A$2:$A$287,CustomerMaster!$B$2:$B$287)</f>
        <v>Customer_24</v>
      </c>
      <c r="S753" t="str">
        <f>_xlfn.XLOOKUP(C753,ProductMaster!$A$2:$A$51,ProductMaster!$B$2:$B$51)</f>
        <v>Product_2</v>
      </c>
      <c r="T753" t="str">
        <f>_xlfn.XLOOKUP(G753,RegionMaster!$A$2:$A$5,RegionMaster!$B$2:$B$5)</f>
        <v>D</v>
      </c>
    </row>
    <row r="754" spans="1:20" ht="15.75" customHeight="1">
      <c r="A754" s="2" t="s">
        <v>1464</v>
      </c>
      <c r="B754" s="2" t="s">
        <v>610</v>
      </c>
      <c r="C754" s="2" t="s">
        <v>29</v>
      </c>
      <c r="D754" s="3">
        <v>45666</v>
      </c>
      <c r="E754" s="4"/>
      <c r="F754" s="3">
        <v>45668</v>
      </c>
      <c r="G754" s="2" t="s">
        <v>7</v>
      </c>
      <c r="H754" s="2" t="s">
        <v>37</v>
      </c>
      <c r="I754" s="2" t="s">
        <v>106</v>
      </c>
      <c r="J754" s="2" t="s">
        <v>94</v>
      </c>
      <c r="K754" s="2">
        <v>3213</v>
      </c>
      <c r="L754" s="2" t="str">
        <f t="shared" si="66"/>
        <v>January</v>
      </c>
      <c r="M754" s="2" t="str">
        <f t="shared" si="67"/>
        <v>Cancelled</v>
      </c>
      <c r="N754" t="str">
        <f t="shared" si="68"/>
        <v>Cancelled</v>
      </c>
      <c r="O754" t="str">
        <f t="shared" si="69"/>
        <v>Order Cancelled</v>
      </c>
      <c r="P754" t="str">
        <f t="shared" si="70"/>
        <v>Cancelled</v>
      </c>
      <c r="Q754" t="str">
        <f t="shared" si="71"/>
        <v>Cancelled</v>
      </c>
      <c r="R754" t="str">
        <f>_xlfn.XLOOKUP(B754,CustomerMaster!$A$2:$A$287,CustomerMaster!$B$2:$B$287)</f>
        <v>Customer_191</v>
      </c>
      <c r="S754" t="str">
        <f>_xlfn.XLOOKUP(C754,ProductMaster!$A$2:$A$51,ProductMaster!$B$2:$B$51)</f>
        <v>Product_2</v>
      </c>
      <c r="T754" t="str">
        <f>_xlfn.XLOOKUP(G754,RegionMaster!$A$2:$A$5,RegionMaster!$B$2:$B$5)</f>
        <v>A</v>
      </c>
    </row>
    <row r="755" spans="1:20" ht="15.75" customHeight="1">
      <c r="A755" s="2" t="s">
        <v>1465</v>
      </c>
      <c r="B755" s="2" t="s">
        <v>563</v>
      </c>
      <c r="C755" s="2" t="s">
        <v>102</v>
      </c>
      <c r="D755" s="3">
        <v>45737</v>
      </c>
      <c r="E755" s="4"/>
      <c r="F755" s="3">
        <v>45737</v>
      </c>
      <c r="G755" s="2" t="s">
        <v>22</v>
      </c>
      <c r="H755" s="2" t="s">
        <v>27</v>
      </c>
      <c r="I755" s="2" t="s">
        <v>106</v>
      </c>
      <c r="J755" s="2" t="s">
        <v>107</v>
      </c>
      <c r="K755" s="2">
        <v>1807.55</v>
      </c>
      <c r="L755" s="2" t="str">
        <f t="shared" si="66"/>
        <v>March</v>
      </c>
      <c r="M755" s="2" t="str">
        <f t="shared" si="67"/>
        <v>Cancelled</v>
      </c>
      <c r="N755" t="str">
        <f t="shared" si="68"/>
        <v>Cancelled</v>
      </c>
      <c r="O755" t="str">
        <f t="shared" si="69"/>
        <v>Order Cancelled</v>
      </c>
      <c r="P755" t="str">
        <f t="shared" si="70"/>
        <v>Cancelled</v>
      </c>
      <c r="Q755" t="str">
        <f t="shared" si="71"/>
        <v>Cancelled</v>
      </c>
      <c r="R755" t="str">
        <f>_xlfn.XLOOKUP(B755,CustomerMaster!$A$2:$A$287,CustomerMaster!$B$2:$B$287)</f>
        <v>Customer_172</v>
      </c>
      <c r="S755" t="str">
        <f>_xlfn.XLOOKUP(C755,ProductMaster!$A$2:$A$51,ProductMaster!$B$2:$B$51)</f>
        <v>Product_18</v>
      </c>
      <c r="T755" t="str">
        <f>_xlfn.XLOOKUP(G755,RegionMaster!$A$2:$A$5,RegionMaster!$B$2:$B$5)</f>
        <v>C</v>
      </c>
    </row>
    <row r="756" spans="1:20" ht="15.75" customHeight="1">
      <c r="A756" s="2" t="s">
        <v>1466</v>
      </c>
      <c r="B756" s="2" t="s">
        <v>38</v>
      </c>
      <c r="C756" s="2" t="s">
        <v>75</v>
      </c>
      <c r="D756" s="3">
        <v>45727</v>
      </c>
      <c r="E756" s="3">
        <v>45730</v>
      </c>
      <c r="F756" s="4"/>
      <c r="G756" s="2" t="s">
        <v>7</v>
      </c>
      <c r="H756" s="2" t="s">
        <v>16</v>
      </c>
      <c r="I756" s="2" t="s">
        <v>90</v>
      </c>
      <c r="J756" s="2" t="s">
        <v>94</v>
      </c>
      <c r="K756" s="2">
        <v>868.51</v>
      </c>
      <c r="L756" s="2" t="str">
        <f t="shared" si="66"/>
        <v>March</v>
      </c>
      <c r="M756" s="2" t="str">
        <f t="shared" si="67"/>
        <v>March</v>
      </c>
      <c r="N756" t="str">
        <f t="shared" si="68"/>
        <v>Delivered</v>
      </c>
      <c r="O756">
        <f t="shared" si="69"/>
        <v>3</v>
      </c>
      <c r="P756" t="str">
        <f t="shared" si="70"/>
        <v>Completed</v>
      </c>
      <c r="Q756" t="str">
        <f t="shared" si="71"/>
        <v>Slow</v>
      </c>
      <c r="R756" t="str">
        <f>_xlfn.XLOOKUP(B756,CustomerMaster!$A$2:$A$287,CustomerMaster!$B$2:$B$287)</f>
        <v>Customer_3</v>
      </c>
      <c r="S756" t="str">
        <f>_xlfn.XLOOKUP(C756,ProductMaster!$A$2:$A$51,ProductMaster!$B$2:$B$51)</f>
        <v>Product_11</v>
      </c>
      <c r="T756" t="str">
        <f>_xlfn.XLOOKUP(G756,RegionMaster!$A$2:$A$5,RegionMaster!$B$2:$B$5)</f>
        <v>A</v>
      </c>
    </row>
    <row r="757" spans="1:20" ht="15.75" customHeight="1">
      <c r="A757" s="2" t="s">
        <v>1467</v>
      </c>
      <c r="B757" s="2" t="s">
        <v>108</v>
      </c>
      <c r="C757" s="2" t="s">
        <v>199</v>
      </c>
      <c r="D757" s="3">
        <v>45772</v>
      </c>
      <c r="E757" s="3">
        <v>45776</v>
      </c>
      <c r="F757" s="4"/>
      <c r="G757" s="2" t="s">
        <v>22</v>
      </c>
      <c r="H757" s="2" t="s">
        <v>54</v>
      </c>
      <c r="I757" s="2" t="s">
        <v>178</v>
      </c>
      <c r="J757" s="2" t="s">
        <v>133</v>
      </c>
      <c r="K757" s="2">
        <v>4011.32</v>
      </c>
      <c r="L757" s="2" t="str">
        <f t="shared" si="66"/>
        <v>April</v>
      </c>
      <c r="M757" s="2" t="str">
        <f t="shared" si="67"/>
        <v>April</v>
      </c>
      <c r="N757" t="str">
        <f t="shared" si="68"/>
        <v>Delivered</v>
      </c>
      <c r="O757">
        <f t="shared" si="69"/>
        <v>4</v>
      </c>
      <c r="P757" t="str">
        <f t="shared" si="70"/>
        <v>Completed</v>
      </c>
      <c r="Q757" t="str">
        <f t="shared" si="71"/>
        <v>Slow</v>
      </c>
      <c r="R757" t="str">
        <f>_xlfn.XLOOKUP(B757,CustomerMaster!$A$2:$A$287,CustomerMaster!$B$2:$B$287)</f>
        <v>Customer_14</v>
      </c>
      <c r="S757" t="str">
        <f>_xlfn.XLOOKUP(C757,ProductMaster!$A$2:$A$51,ProductMaster!$B$2:$B$51)</f>
        <v>Product_45</v>
      </c>
      <c r="T757" t="str">
        <f>_xlfn.XLOOKUP(G757,RegionMaster!$A$2:$A$5,RegionMaster!$B$2:$B$5)</f>
        <v>C</v>
      </c>
    </row>
    <row r="758" spans="1:20" ht="15.75" customHeight="1">
      <c r="A758" s="2" t="s">
        <v>1468</v>
      </c>
      <c r="B758" s="2" t="s">
        <v>408</v>
      </c>
      <c r="C758" s="2" t="s">
        <v>141</v>
      </c>
      <c r="D758" s="3">
        <v>45714</v>
      </c>
      <c r="E758" s="3">
        <v>45718</v>
      </c>
      <c r="F758" s="4"/>
      <c r="G758" s="2" t="s">
        <v>7</v>
      </c>
      <c r="H758" s="2" t="s">
        <v>37</v>
      </c>
      <c r="I758" s="2" t="s">
        <v>178</v>
      </c>
      <c r="J758" s="2" t="s">
        <v>94</v>
      </c>
      <c r="K758" s="2">
        <v>3176.35</v>
      </c>
      <c r="L758" s="2" t="str">
        <f t="shared" si="66"/>
        <v>February</v>
      </c>
      <c r="M758" s="2" t="str">
        <f t="shared" si="67"/>
        <v>March</v>
      </c>
      <c r="N758" t="str">
        <f t="shared" si="68"/>
        <v>Delivered</v>
      </c>
      <c r="O758">
        <f t="shared" si="69"/>
        <v>4</v>
      </c>
      <c r="P758" t="str">
        <f t="shared" si="70"/>
        <v>Completed</v>
      </c>
      <c r="Q758" t="str">
        <f t="shared" si="71"/>
        <v>Slow</v>
      </c>
      <c r="R758" t="str">
        <f>_xlfn.XLOOKUP(B758,CustomerMaster!$A$2:$A$287,CustomerMaster!$B$2:$B$287)</f>
        <v>Customer_108</v>
      </c>
      <c r="S758" t="str">
        <f>_xlfn.XLOOKUP(C758,ProductMaster!$A$2:$A$51,ProductMaster!$B$2:$B$51)</f>
        <v>Product_42</v>
      </c>
      <c r="T758" t="str">
        <f>_xlfn.XLOOKUP(G758,RegionMaster!$A$2:$A$5,RegionMaster!$B$2:$B$5)</f>
        <v>A</v>
      </c>
    </row>
    <row r="759" spans="1:20" ht="15.75" customHeight="1">
      <c r="A759" s="2" t="s">
        <v>1469</v>
      </c>
      <c r="B759" s="2" t="s">
        <v>489</v>
      </c>
      <c r="C759" s="2" t="s">
        <v>101</v>
      </c>
      <c r="D759" s="3">
        <v>45690</v>
      </c>
      <c r="E759" s="3">
        <v>45694</v>
      </c>
      <c r="F759" s="4"/>
      <c r="G759" s="2" t="s">
        <v>22</v>
      </c>
      <c r="H759" s="2" t="s">
        <v>59</v>
      </c>
      <c r="I759" s="2" t="s">
        <v>90</v>
      </c>
      <c r="J759" s="2" t="s">
        <v>133</v>
      </c>
      <c r="K759" s="2">
        <v>2760.61</v>
      </c>
      <c r="L759" s="2" t="str">
        <f t="shared" si="66"/>
        <v>February</v>
      </c>
      <c r="M759" s="2" t="str">
        <f t="shared" si="67"/>
        <v>February</v>
      </c>
      <c r="N759" t="str">
        <f t="shared" si="68"/>
        <v>Delivered</v>
      </c>
      <c r="O759">
        <f t="shared" si="69"/>
        <v>4</v>
      </c>
      <c r="P759" t="str">
        <f t="shared" si="70"/>
        <v>Completed</v>
      </c>
      <c r="Q759" t="str">
        <f t="shared" si="71"/>
        <v>Slow</v>
      </c>
      <c r="R759" t="str">
        <f>_xlfn.XLOOKUP(B759,CustomerMaster!$A$2:$A$287,CustomerMaster!$B$2:$B$287)</f>
        <v>Customer_142</v>
      </c>
      <c r="S759" t="str">
        <f>_xlfn.XLOOKUP(C759,ProductMaster!$A$2:$A$51,ProductMaster!$B$2:$B$51)</f>
        <v>Product_27</v>
      </c>
      <c r="T759" t="str">
        <f>_xlfn.XLOOKUP(G759,RegionMaster!$A$2:$A$5,RegionMaster!$B$2:$B$5)</f>
        <v>C</v>
      </c>
    </row>
    <row r="760" spans="1:20" ht="15.75" customHeight="1">
      <c r="A760" s="2" t="s">
        <v>1470</v>
      </c>
      <c r="B760" s="2" t="s">
        <v>351</v>
      </c>
      <c r="C760" s="2" t="s">
        <v>63</v>
      </c>
      <c r="D760" s="3">
        <v>45697</v>
      </c>
      <c r="E760" s="4"/>
      <c r="F760" s="3">
        <v>45698</v>
      </c>
      <c r="G760" s="2" t="s">
        <v>22</v>
      </c>
      <c r="H760" s="2" t="s">
        <v>37</v>
      </c>
      <c r="I760" s="2" t="s">
        <v>195</v>
      </c>
      <c r="J760" s="2" t="s">
        <v>133</v>
      </c>
      <c r="K760" s="2">
        <v>4490.68</v>
      </c>
      <c r="L760" s="2" t="str">
        <f t="shared" si="66"/>
        <v>February</v>
      </c>
      <c r="M760" s="2" t="str">
        <f t="shared" si="67"/>
        <v>Cancelled</v>
      </c>
      <c r="N760" t="str">
        <f t="shared" si="68"/>
        <v>Cancelled</v>
      </c>
      <c r="O760" t="str">
        <f t="shared" si="69"/>
        <v>Order Cancelled</v>
      </c>
      <c r="P760" t="str">
        <f t="shared" si="70"/>
        <v>Cancelled</v>
      </c>
      <c r="Q760" t="str">
        <f t="shared" si="71"/>
        <v>Cancelled</v>
      </c>
      <c r="R760" t="str">
        <f>_xlfn.XLOOKUP(B760,CustomerMaster!$A$2:$A$287,CustomerMaster!$B$2:$B$287)</f>
        <v>Customer_83</v>
      </c>
      <c r="S760" t="str">
        <f>_xlfn.XLOOKUP(C760,ProductMaster!$A$2:$A$51,ProductMaster!$B$2:$B$51)</f>
        <v>Product_8</v>
      </c>
      <c r="T760" t="str">
        <f>_xlfn.XLOOKUP(G760,RegionMaster!$A$2:$A$5,RegionMaster!$B$2:$B$5)</f>
        <v>C</v>
      </c>
    </row>
    <row r="761" spans="1:20" ht="15.75" customHeight="1">
      <c r="A761" s="2" t="s">
        <v>1471</v>
      </c>
      <c r="B761" s="2" t="s">
        <v>768</v>
      </c>
      <c r="C761" s="2" t="s">
        <v>142</v>
      </c>
      <c r="D761" s="3">
        <v>45723</v>
      </c>
      <c r="E761" s="3">
        <v>45728</v>
      </c>
      <c r="F761" s="4"/>
      <c r="G761" s="2" t="s">
        <v>17</v>
      </c>
      <c r="H761" s="2" t="s">
        <v>27</v>
      </c>
      <c r="I761" s="2" t="s">
        <v>121</v>
      </c>
      <c r="J761" s="2" t="s">
        <v>107</v>
      </c>
      <c r="K761" s="2">
        <v>3985.27</v>
      </c>
      <c r="L761" s="2" t="str">
        <f t="shared" si="66"/>
        <v>March</v>
      </c>
      <c r="M761" s="2" t="str">
        <f t="shared" si="67"/>
        <v>March</v>
      </c>
      <c r="N761" t="str">
        <f t="shared" si="68"/>
        <v>Delivered</v>
      </c>
      <c r="O761">
        <f t="shared" si="69"/>
        <v>5</v>
      </c>
      <c r="P761" t="str">
        <f t="shared" si="70"/>
        <v>Completed</v>
      </c>
      <c r="Q761" t="str">
        <f t="shared" si="71"/>
        <v>Slow</v>
      </c>
      <c r="R761" t="str">
        <f>_xlfn.XLOOKUP(B761,CustomerMaster!$A$2:$A$287,CustomerMaster!$B$2:$B$287)</f>
        <v>Customer_264</v>
      </c>
      <c r="S761" t="str">
        <f>_xlfn.XLOOKUP(C761,ProductMaster!$A$2:$A$51,ProductMaster!$B$2:$B$51)</f>
        <v>Product_29</v>
      </c>
      <c r="T761" t="str">
        <f>_xlfn.XLOOKUP(G761,RegionMaster!$A$2:$A$5,RegionMaster!$B$2:$B$5)</f>
        <v>B</v>
      </c>
    </row>
    <row r="762" spans="1:20" ht="15.75" customHeight="1">
      <c r="A762" s="2" t="s">
        <v>1472</v>
      </c>
      <c r="B762" s="2" t="s">
        <v>202</v>
      </c>
      <c r="C762" s="2" t="s">
        <v>29</v>
      </c>
      <c r="D762" s="3">
        <v>45760</v>
      </c>
      <c r="E762" s="3">
        <v>45765</v>
      </c>
      <c r="F762" s="4"/>
      <c r="G762" s="2" t="s">
        <v>7</v>
      </c>
      <c r="H762" s="2" t="s">
        <v>59</v>
      </c>
      <c r="I762" s="2" t="s">
        <v>121</v>
      </c>
      <c r="J762" s="2" t="s">
        <v>94</v>
      </c>
      <c r="K762" s="2">
        <v>928.04</v>
      </c>
      <c r="L762" s="2" t="str">
        <f t="shared" si="66"/>
        <v>April</v>
      </c>
      <c r="M762" s="2" t="str">
        <f t="shared" si="67"/>
        <v>April</v>
      </c>
      <c r="N762" t="str">
        <f t="shared" si="68"/>
        <v>Delivered</v>
      </c>
      <c r="O762">
        <f t="shared" si="69"/>
        <v>5</v>
      </c>
      <c r="P762" t="str">
        <f t="shared" si="70"/>
        <v>Completed</v>
      </c>
      <c r="Q762" t="str">
        <f t="shared" si="71"/>
        <v>Slow</v>
      </c>
      <c r="R762" t="str">
        <f>_xlfn.XLOOKUP(B762,CustomerMaster!$A$2:$A$287,CustomerMaster!$B$2:$B$287)</f>
        <v>Customer_27</v>
      </c>
      <c r="S762" t="str">
        <f>_xlfn.XLOOKUP(C762,ProductMaster!$A$2:$A$51,ProductMaster!$B$2:$B$51)</f>
        <v>Product_2</v>
      </c>
      <c r="T762" t="str">
        <f>_xlfn.XLOOKUP(G762,RegionMaster!$A$2:$A$5,RegionMaster!$B$2:$B$5)</f>
        <v>A</v>
      </c>
    </row>
    <row r="763" spans="1:20" ht="15.75" customHeight="1">
      <c r="A763" s="2" t="s">
        <v>1473</v>
      </c>
      <c r="B763" s="2" t="s">
        <v>430</v>
      </c>
      <c r="C763" s="2" t="s">
        <v>114</v>
      </c>
      <c r="D763" s="3">
        <v>45744</v>
      </c>
      <c r="E763" s="3">
        <v>45749</v>
      </c>
      <c r="F763" s="4"/>
      <c r="G763" s="2" t="s">
        <v>45</v>
      </c>
      <c r="H763" s="2" t="s">
        <v>16</v>
      </c>
      <c r="I763" s="2" t="s">
        <v>178</v>
      </c>
      <c r="J763" s="2" t="s">
        <v>94</v>
      </c>
      <c r="K763" s="2">
        <v>1696.27</v>
      </c>
      <c r="L763" s="2" t="str">
        <f t="shared" si="66"/>
        <v>March</v>
      </c>
      <c r="M763" s="2" t="str">
        <f t="shared" si="67"/>
        <v>April</v>
      </c>
      <c r="N763" t="str">
        <f t="shared" si="68"/>
        <v>Delivered</v>
      </c>
      <c r="O763">
        <f t="shared" si="69"/>
        <v>5</v>
      </c>
      <c r="P763" t="str">
        <f t="shared" si="70"/>
        <v>Completed</v>
      </c>
      <c r="Q763" t="str">
        <f t="shared" si="71"/>
        <v>Slow</v>
      </c>
      <c r="R763" t="str">
        <f>_xlfn.XLOOKUP(B763,CustomerMaster!$A$2:$A$287,CustomerMaster!$B$2:$B$287)</f>
        <v>Customer_118</v>
      </c>
      <c r="S763" t="str">
        <f>_xlfn.XLOOKUP(C763,ProductMaster!$A$2:$A$51,ProductMaster!$B$2:$B$51)</f>
        <v>Product_21</v>
      </c>
      <c r="T763" t="str">
        <f>_xlfn.XLOOKUP(G763,RegionMaster!$A$2:$A$5,RegionMaster!$B$2:$B$5)</f>
        <v>D</v>
      </c>
    </row>
    <row r="764" spans="1:20" ht="15.75" customHeight="1">
      <c r="A764" s="2" t="s">
        <v>1474</v>
      </c>
      <c r="B764" s="2" t="s">
        <v>330</v>
      </c>
      <c r="C764" s="2" t="s">
        <v>20</v>
      </c>
      <c r="D764" s="3">
        <v>45680</v>
      </c>
      <c r="E764" s="3">
        <v>45682</v>
      </c>
      <c r="F764" s="4"/>
      <c r="G764" s="2" t="s">
        <v>17</v>
      </c>
      <c r="H764" s="2" t="s">
        <v>27</v>
      </c>
      <c r="I764" s="2" t="s">
        <v>195</v>
      </c>
      <c r="J764" s="2" t="s">
        <v>133</v>
      </c>
      <c r="K764" s="2">
        <v>1392.75</v>
      </c>
      <c r="L764" s="2" t="str">
        <f t="shared" si="66"/>
        <v>January</v>
      </c>
      <c r="M764" s="2" t="str">
        <f t="shared" si="67"/>
        <v>January</v>
      </c>
      <c r="N764" t="str">
        <f t="shared" si="68"/>
        <v>Delivered</v>
      </c>
      <c r="O764">
        <f t="shared" si="69"/>
        <v>2</v>
      </c>
      <c r="P764" t="str">
        <f t="shared" si="70"/>
        <v>Completed</v>
      </c>
      <c r="Q764" t="str">
        <f t="shared" si="71"/>
        <v>Fast</v>
      </c>
      <c r="R764" t="str">
        <f>_xlfn.XLOOKUP(B764,CustomerMaster!$A$2:$A$287,CustomerMaster!$B$2:$B$287)</f>
        <v>Customer_74</v>
      </c>
      <c r="S764" t="str">
        <f>_xlfn.XLOOKUP(C764,ProductMaster!$A$2:$A$51,ProductMaster!$B$2:$B$51)</f>
        <v>Product_1</v>
      </c>
      <c r="T764" t="str">
        <f>_xlfn.XLOOKUP(G764,RegionMaster!$A$2:$A$5,RegionMaster!$B$2:$B$5)</f>
        <v>B</v>
      </c>
    </row>
    <row r="765" spans="1:20" ht="15.75" customHeight="1">
      <c r="A765" s="2" t="s">
        <v>1475</v>
      </c>
      <c r="B765" s="2" t="s">
        <v>57</v>
      </c>
      <c r="C765" s="2" t="s">
        <v>199</v>
      </c>
      <c r="D765" s="3">
        <v>45756</v>
      </c>
      <c r="E765" s="4"/>
      <c r="F765" s="3">
        <v>45758</v>
      </c>
      <c r="G765" s="2" t="s">
        <v>22</v>
      </c>
      <c r="H765" s="2" t="s">
        <v>27</v>
      </c>
      <c r="I765" s="2" t="s">
        <v>106</v>
      </c>
      <c r="J765" s="2" t="s">
        <v>133</v>
      </c>
      <c r="K765" s="2">
        <v>3770.94</v>
      </c>
      <c r="L765" s="2" t="str">
        <f t="shared" si="66"/>
        <v>April</v>
      </c>
      <c r="M765" s="2" t="str">
        <f t="shared" si="67"/>
        <v>Cancelled</v>
      </c>
      <c r="N765" t="str">
        <f t="shared" si="68"/>
        <v>Cancelled</v>
      </c>
      <c r="O765" t="str">
        <f t="shared" si="69"/>
        <v>Order Cancelled</v>
      </c>
      <c r="P765" t="str">
        <f t="shared" si="70"/>
        <v>Cancelled</v>
      </c>
      <c r="Q765" t="str">
        <f t="shared" si="71"/>
        <v>Cancelled</v>
      </c>
      <c r="R765" t="str">
        <f>_xlfn.XLOOKUP(B765,CustomerMaster!$A$2:$A$287,CustomerMaster!$B$2:$B$287)</f>
        <v>Customer_6</v>
      </c>
      <c r="S765" t="str">
        <f>_xlfn.XLOOKUP(C765,ProductMaster!$A$2:$A$51,ProductMaster!$B$2:$B$51)</f>
        <v>Product_45</v>
      </c>
      <c r="T765" t="str">
        <f>_xlfn.XLOOKUP(G765,RegionMaster!$A$2:$A$5,RegionMaster!$B$2:$B$5)</f>
        <v>C</v>
      </c>
    </row>
    <row r="766" spans="1:20" ht="15.75" customHeight="1">
      <c r="A766" s="2" t="s">
        <v>1476</v>
      </c>
      <c r="B766" s="2" t="s">
        <v>678</v>
      </c>
      <c r="C766" s="2" t="s">
        <v>199</v>
      </c>
      <c r="D766" s="3">
        <v>45778</v>
      </c>
      <c r="E766" s="3">
        <v>45781</v>
      </c>
      <c r="F766" s="4"/>
      <c r="G766" s="2" t="s">
        <v>7</v>
      </c>
      <c r="H766" s="2" t="s">
        <v>37</v>
      </c>
      <c r="I766" s="2" t="s">
        <v>90</v>
      </c>
      <c r="J766" s="2" t="s">
        <v>133</v>
      </c>
      <c r="K766" s="2">
        <v>360.96</v>
      </c>
      <c r="L766" s="2" t="str">
        <f t="shared" si="66"/>
        <v>May</v>
      </c>
      <c r="M766" s="2" t="str">
        <f t="shared" si="67"/>
        <v>May</v>
      </c>
      <c r="N766" t="str">
        <f t="shared" si="68"/>
        <v>Delivered</v>
      </c>
      <c r="O766">
        <f t="shared" si="69"/>
        <v>3</v>
      </c>
      <c r="P766" t="str">
        <f t="shared" si="70"/>
        <v>Completed</v>
      </c>
      <c r="Q766" t="str">
        <f t="shared" si="71"/>
        <v>Slow</v>
      </c>
      <c r="R766" t="str">
        <f>_xlfn.XLOOKUP(B766,CustomerMaster!$A$2:$A$287,CustomerMaster!$B$2:$B$287)</f>
        <v>Customer_221</v>
      </c>
      <c r="S766" t="str">
        <f>_xlfn.XLOOKUP(C766,ProductMaster!$A$2:$A$51,ProductMaster!$B$2:$B$51)</f>
        <v>Product_45</v>
      </c>
      <c r="T766" t="str">
        <f>_xlfn.XLOOKUP(G766,RegionMaster!$A$2:$A$5,RegionMaster!$B$2:$B$5)</f>
        <v>A</v>
      </c>
    </row>
    <row r="767" spans="1:20" ht="15.75" customHeight="1">
      <c r="A767" s="2" t="s">
        <v>1477</v>
      </c>
      <c r="B767" s="2" t="s">
        <v>226</v>
      </c>
      <c r="C767" s="2" t="s">
        <v>138</v>
      </c>
      <c r="D767" s="3">
        <v>45664</v>
      </c>
      <c r="E767" s="3">
        <v>45668</v>
      </c>
      <c r="F767" s="4"/>
      <c r="G767" s="2" t="s">
        <v>7</v>
      </c>
      <c r="H767" s="2" t="s">
        <v>54</v>
      </c>
      <c r="I767" s="2" t="s">
        <v>121</v>
      </c>
      <c r="J767" s="2" t="s">
        <v>94</v>
      </c>
      <c r="K767" s="2">
        <v>2935.47</v>
      </c>
      <c r="L767" s="2" t="str">
        <f t="shared" si="66"/>
        <v>January</v>
      </c>
      <c r="M767" s="2" t="str">
        <f t="shared" si="67"/>
        <v>January</v>
      </c>
      <c r="N767" t="str">
        <f t="shared" si="68"/>
        <v>Delivered</v>
      </c>
      <c r="O767">
        <f t="shared" si="69"/>
        <v>4</v>
      </c>
      <c r="P767" t="str">
        <f t="shared" si="70"/>
        <v>Completed</v>
      </c>
      <c r="Q767" t="str">
        <f t="shared" si="71"/>
        <v>Slow</v>
      </c>
      <c r="R767" t="str">
        <f>_xlfn.XLOOKUP(B767,CustomerMaster!$A$2:$A$287,CustomerMaster!$B$2:$B$287)</f>
        <v>Customer_32</v>
      </c>
      <c r="S767" t="str">
        <f>_xlfn.XLOOKUP(C767,ProductMaster!$A$2:$A$51,ProductMaster!$B$2:$B$51)</f>
        <v>Product_28</v>
      </c>
      <c r="T767" t="str">
        <f>_xlfn.XLOOKUP(G767,RegionMaster!$A$2:$A$5,RegionMaster!$B$2:$B$5)</f>
        <v>A</v>
      </c>
    </row>
    <row r="768" spans="1:20" ht="15.75" customHeight="1">
      <c r="A768" s="2" t="s">
        <v>1478</v>
      </c>
      <c r="B768" s="2" t="s">
        <v>706</v>
      </c>
      <c r="C768" s="2" t="s">
        <v>199</v>
      </c>
      <c r="D768" s="3">
        <v>45736</v>
      </c>
      <c r="E768" s="3">
        <v>45741</v>
      </c>
      <c r="F768" s="4"/>
      <c r="G768" s="2" t="s">
        <v>17</v>
      </c>
      <c r="H768" s="2" t="s">
        <v>27</v>
      </c>
      <c r="I768" s="2" t="s">
        <v>195</v>
      </c>
      <c r="J768" s="2" t="s">
        <v>94</v>
      </c>
      <c r="K768" s="2">
        <v>3859.8</v>
      </c>
      <c r="L768" s="2" t="str">
        <f t="shared" si="66"/>
        <v>March</v>
      </c>
      <c r="M768" s="2" t="str">
        <f t="shared" si="67"/>
        <v>March</v>
      </c>
      <c r="N768" t="str">
        <f t="shared" si="68"/>
        <v>Delivered</v>
      </c>
      <c r="O768">
        <f t="shared" si="69"/>
        <v>5</v>
      </c>
      <c r="P768" t="str">
        <f t="shared" si="70"/>
        <v>Completed</v>
      </c>
      <c r="Q768" t="str">
        <f t="shared" si="71"/>
        <v>Slow</v>
      </c>
      <c r="R768" t="str">
        <f>_xlfn.XLOOKUP(B768,CustomerMaster!$A$2:$A$287,CustomerMaster!$B$2:$B$287)</f>
        <v>Customer_234</v>
      </c>
      <c r="S768" t="str">
        <f>_xlfn.XLOOKUP(C768,ProductMaster!$A$2:$A$51,ProductMaster!$B$2:$B$51)</f>
        <v>Product_45</v>
      </c>
      <c r="T768" t="str">
        <f>_xlfn.XLOOKUP(G768,RegionMaster!$A$2:$A$5,RegionMaster!$B$2:$B$5)</f>
        <v>B</v>
      </c>
    </row>
    <row r="769" spans="1:20" ht="15.75" customHeight="1">
      <c r="A769" s="2" t="s">
        <v>1479</v>
      </c>
      <c r="B769" s="2" t="s">
        <v>97</v>
      </c>
      <c r="C769" s="2" t="s">
        <v>95</v>
      </c>
      <c r="D769" s="3">
        <v>45778</v>
      </c>
      <c r="E769" s="4"/>
      <c r="F769" s="3">
        <v>45778</v>
      </c>
      <c r="G769" s="2" t="s">
        <v>17</v>
      </c>
      <c r="H769" s="2" t="s">
        <v>54</v>
      </c>
      <c r="I769" s="2" t="s">
        <v>90</v>
      </c>
      <c r="J769" s="2" t="s">
        <v>94</v>
      </c>
      <c r="K769" s="2">
        <v>4408.4799999999996</v>
      </c>
      <c r="L769" s="2" t="str">
        <f t="shared" si="66"/>
        <v>May</v>
      </c>
      <c r="M769" s="2" t="str">
        <f t="shared" si="67"/>
        <v>Cancelled</v>
      </c>
      <c r="N769" t="str">
        <f t="shared" si="68"/>
        <v>Cancelled</v>
      </c>
      <c r="O769" t="str">
        <f t="shared" si="69"/>
        <v>Order Cancelled</v>
      </c>
      <c r="P769" t="str">
        <f t="shared" si="70"/>
        <v>Cancelled</v>
      </c>
      <c r="Q769" t="str">
        <f t="shared" si="71"/>
        <v>Cancelled</v>
      </c>
      <c r="R769" t="str">
        <f>_xlfn.XLOOKUP(B769,CustomerMaster!$A$2:$A$287,CustomerMaster!$B$2:$B$287)</f>
        <v>Customer_13</v>
      </c>
      <c r="S769" t="str">
        <f>_xlfn.XLOOKUP(C769,ProductMaster!$A$2:$A$51,ProductMaster!$B$2:$B$51)</f>
        <v>Product_17</v>
      </c>
      <c r="T769" t="str">
        <f>_xlfn.XLOOKUP(G769,RegionMaster!$A$2:$A$5,RegionMaster!$B$2:$B$5)</f>
        <v>B</v>
      </c>
    </row>
    <row r="770" spans="1:20" ht="15.75" customHeight="1">
      <c r="A770" s="2" t="s">
        <v>1480</v>
      </c>
      <c r="B770" s="2" t="s">
        <v>64</v>
      </c>
      <c r="C770" s="2" t="s">
        <v>207</v>
      </c>
      <c r="D770" s="3">
        <v>45709</v>
      </c>
      <c r="E770" s="3">
        <v>45713</v>
      </c>
      <c r="F770" s="4"/>
      <c r="G770" s="2" t="s">
        <v>17</v>
      </c>
      <c r="H770" s="2" t="s">
        <v>54</v>
      </c>
      <c r="I770" s="2" t="s">
        <v>106</v>
      </c>
      <c r="J770" s="2" t="s">
        <v>107</v>
      </c>
      <c r="K770" s="2">
        <v>1841.99</v>
      </c>
      <c r="L770" s="2" t="str">
        <f t="shared" si="66"/>
        <v>February</v>
      </c>
      <c r="M770" s="2" t="str">
        <f t="shared" si="67"/>
        <v>February</v>
      </c>
      <c r="N770" t="str">
        <f t="shared" si="68"/>
        <v>Delivered</v>
      </c>
      <c r="O770">
        <f t="shared" si="69"/>
        <v>4</v>
      </c>
      <c r="P770" t="str">
        <f t="shared" si="70"/>
        <v>Completed</v>
      </c>
      <c r="Q770" t="str">
        <f t="shared" si="71"/>
        <v>Slow</v>
      </c>
      <c r="R770" t="str">
        <f>_xlfn.XLOOKUP(B770,CustomerMaster!$A$2:$A$287,CustomerMaster!$B$2:$B$287)</f>
        <v>Customer_7</v>
      </c>
      <c r="S770" t="str">
        <f>_xlfn.XLOOKUP(C770,ProductMaster!$A$2:$A$51,ProductMaster!$B$2:$B$51)</f>
        <v>Product_47</v>
      </c>
      <c r="T770" t="str">
        <f>_xlfn.XLOOKUP(G770,RegionMaster!$A$2:$A$5,RegionMaster!$B$2:$B$5)</f>
        <v>B</v>
      </c>
    </row>
    <row r="771" spans="1:20" ht="15.75" customHeight="1">
      <c r="A771" s="2" t="s">
        <v>1481</v>
      </c>
      <c r="B771" s="2" t="s">
        <v>523</v>
      </c>
      <c r="C771" s="2" t="s">
        <v>138</v>
      </c>
      <c r="D771" s="3">
        <v>45735</v>
      </c>
      <c r="E771" s="3">
        <v>45738</v>
      </c>
      <c r="F771" s="4"/>
      <c r="G771" s="2" t="s">
        <v>17</v>
      </c>
      <c r="H771" s="2" t="s">
        <v>27</v>
      </c>
      <c r="I771" s="2" t="s">
        <v>121</v>
      </c>
      <c r="J771" s="2" t="s">
        <v>133</v>
      </c>
      <c r="K771" s="2">
        <v>4142.04</v>
      </c>
      <c r="L771" s="2" t="str">
        <f t="shared" ref="L771:L834" si="72">TEXT(D771,"MMMM")</f>
        <v>March</v>
      </c>
      <c r="M771" s="2" t="str">
        <f t="shared" ref="M771:M834" si="73">IF(NOT(ISBLANK(E771)),TEXT(E771,"MMMM"),"Cancelled")</f>
        <v>March</v>
      </c>
      <c r="N771" t="str">
        <f t="shared" ref="N771:N834" si="74">IF(F771="","Delivered","Cancelled")</f>
        <v>Delivered</v>
      </c>
      <c r="O771">
        <f t="shared" ref="O771:O834" si="75">IF(E771="","Order Cancelled",_xlfn.DAYS(E771,D771))</f>
        <v>3</v>
      </c>
      <c r="P771" t="str">
        <f t="shared" ref="P771:P834" si="76">IF(F771="","Completed","Cancelled")</f>
        <v>Completed</v>
      </c>
      <c r="Q771" t="str">
        <f t="shared" ref="Q771:Q834" si="77">IF(O771="Order Cancelled","Cancelled",IF(O771&lt;=2,"Fast","Slow"))</f>
        <v>Slow</v>
      </c>
      <c r="R771" t="str">
        <f>_xlfn.XLOOKUP(B771,CustomerMaster!$A$2:$A$287,CustomerMaster!$B$2:$B$287)</f>
        <v>Customer_229</v>
      </c>
      <c r="S771" t="str">
        <f>_xlfn.XLOOKUP(C771,ProductMaster!$A$2:$A$51,ProductMaster!$B$2:$B$51)</f>
        <v>Product_28</v>
      </c>
      <c r="T771" t="str">
        <f>_xlfn.XLOOKUP(G771,RegionMaster!$A$2:$A$5,RegionMaster!$B$2:$B$5)</f>
        <v>B</v>
      </c>
    </row>
    <row r="772" spans="1:20" ht="15.75" customHeight="1">
      <c r="A772" s="2" t="s">
        <v>1482</v>
      </c>
      <c r="B772" s="2" t="s">
        <v>711</v>
      </c>
      <c r="C772" s="2" t="s">
        <v>180</v>
      </c>
      <c r="D772" s="3">
        <v>45693</v>
      </c>
      <c r="E772" s="4"/>
      <c r="F772" s="3">
        <v>45694</v>
      </c>
      <c r="G772" s="2" t="s">
        <v>17</v>
      </c>
      <c r="H772" s="2" t="s">
        <v>16</v>
      </c>
      <c r="I772" s="2" t="s">
        <v>195</v>
      </c>
      <c r="J772" s="2" t="s">
        <v>133</v>
      </c>
      <c r="K772" s="2">
        <v>731.03</v>
      </c>
      <c r="L772" s="2" t="str">
        <f t="shared" si="72"/>
        <v>February</v>
      </c>
      <c r="M772" s="2" t="str">
        <f t="shared" si="73"/>
        <v>Cancelled</v>
      </c>
      <c r="N772" t="str">
        <f t="shared" si="74"/>
        <v>Cancelled</v>
      </c>
      <c r="O772" t="str">
        <f t="shared" si="75"/>
        <v>Order Cancelled</v>
      </c>
      <c r="P772" t="str">
        <f t="shared" si="76"/>
        <v>Cancelled</v>
      </c>
      <c r="Q772" t="str">
        <f t="shared" si="77"/>
        <v>Cancelled</v>
      </c>
      <c r="R772" t="str">
        <f>_xlfn.XLOOKUP(B772,CustomerMaster!$A$2:$A$287,CustomerMaster!$B$2:$B$287)</f>
        <v>Customer_236</v>
      </c>
      <c r="S772" t="str">
        <f>_xlfn.XLOOKUP(C772,ProductMaster!$A$2:$A$51,ProductMaster!$B$2:$B$51)</f>
        <v>Product_40</v>
      </c>
      <c r="T772" t="str">
        <f>_xlfn.XLOOKUP(G772,RegionMaster!$A$2:$A$5,RegionMaster!$B$2:$B$5)</f>
        <v>B</v>
      </c>
    </row>
    <row r="773" spans="1:20" ht="15.75" customHeight="1">
      <c r="A773" s="2" t="s">
        <v>1483</v>
      </c>
      <c r="B773" s="2" t="s">
        <v>739</v>
      </c>
      <c r="C773" s="2" t="s">
        <v>101</v>
      </c>
      <c r="D773" s="3">
        <v>45761</v>
      </c>
      <c r="E773" s="4"/>
      <c r="F773" s="3">
        <v>45762</v>
      </c>
      <c r="G773" s="2" t="s">
        <v>17</v>
      </c>
      <c r="H773" s="2" t="s">
        <v>54</v>
      </c>
      <c r="I773" s="2" t="s">
        <v>195</v>
      </c>
      <c r="J773" s="2" t="s">
        <v>94</v>
      </c>
      <c r="K773" s="2">
        <v>4262.97</v>
      </c>
      <c r="L773" s="2" t="str">
        <f t="shared" si="72"/>
        <v>April</v>
      </c>
      <c r="M773" s="2" t="str">
        <f t="shared" si="73"/>
        <v>Cancelled</v>
      </c>
      <c r="N773" t="str">
        <f t="shared" si="74"/>
        <v>Cancelled</v>
      </c>
      <c r="O773" t="str">
        <f t="shared" si="75"/>
        <v>Order Cancelled</v>
      </c>
      <c r="P773" t="str">
        <f t="shared" si="76"/>
        <v>Cancelled</v>
      </c>
      <c r="Q773" t="str">
        <f t="shared" si="77"/>
        <v>Cancelled</v>
      </c>
      <c r="R773" t="str">
        <f>_xlfn.XLOOKUP(B773,CustomerMaster!$A$2:$A$287,CustomerMaster!$B$2:$B$287)</f>
        <v>Customer_249</v>
      </c>
      <c r="S773" t="str">
        <f>_xlfn.XLOOKUP(C773,ProductMaster!$A$2:$A$51,ProductMaster!$B$2:$B$51)</f>
        <v>Product_27</v>
      </c>
      <c r="T773" t="str">
        <f>_xlfn.XLOOKUP(G773,RegionMaster!$A$2:$A$5,RegionMaster!$B$2:$B$5)</f>
        <v>B</v>
      </c>
    </row>
    <row r="774" spans="1:20" ht="15.75" customHeight="1">
      <c r="A774" s="2" t="s">
        <v>1484</v>
      </c>
      <c r="B774" s="2" t="s">
        <v>588</v>
      </c>
      <c r="C774" s="2" t="s">
        <v>122</v>
      </c>
      <c r="D774" s="3">
        <v>45715</v>
      </c>
      <c r="E774" s="3">
        <v>45717</v>
      </c>
      <c r="F774" s="4"/>
      <c r="G774" s="2" t="s">
        <v>22</v>
      </c>
      <c r="H774" s="2" t="s">
        <v>27</v>
      </c>
      <c r="I774" s="2" t="s">
        <v>195</v>
      </c>
      <c r="J774" s="2" t="s">
        <v>107</v>
      </c>
      <c r="K774" s="2">
        <v>811.95</v>
      </c>
      <c r="L774" s="2" t="str">
        <f t="shared" si="72"/>
        <v>February</v>
      </c>
      <c r="M774" s="2" t="str">
        <f t="shared" si="73"/>
        <v>March</v>
      </c>
      <c r="N774" t="str">
        <f t="shared" si="74"/>
        <v>Delivered</v>
      </c>
      <c r="O774">
        <f t="shared" si="75"/>
        <v>2</v>
      </c>
      <c r="P774" t="str">
        <f t="shared" si="76"/>
        <v>Completed</v>
      </c>
      <c r="Q774" t="str">
        <f t="shared" si="77"/>
        <v>Fast</v>
      </c>
      <c r="R774" t="str">
        <f>_xlfn.XLOOKUP(B774,CustomerMaster!$A$2:$A$287,CustomerMaster!$B$2:$B$287)</f>
        <v>Customer_182</v>
      </c>
      <c r="S774" t="str">
        <f>_xlfn.XLOOKUP(C774,ProductMaster!$A$2:$A$51,ProductMaster!$B$2:$B$51)</f>
        <v>Product_23</v>
      </c>
      <c r="T774" t="str">
        <f>_xlfn.XLOOKUP(G774,RegionMaster!$A$2:$A$5,RegionMaster!$B$2:$B$5)</f>
        <v>C</v>
      </c>
    </row>
    <row r="775" spans="1:20" ht="15.75" customHeight="1">
      <c r="A775" s="2" t="s">
        <v>1485</v>
      </c>
      <c r="B775" s="2" t="s">
        <v>85</v>
      </c>
      <c r="C775" s="2" t="s">
        <v>125</v>
      </c>
      <c r="D775" s="3">
        <v>45763</v>
      </c>
      <c r="E775" s="3">
        <v>45765</v>
      </c>
      <c r="F775" s="4"/>
      <c r="G775" s="2" t="s">
        <v>17</v>
      </c>
      <c r="H775" s="2" t="s">
        <v>27</v>
      </c>
      <c r="I775" s="2" t="s">
        <v>90</v>
      </c>
      <c r="J775" s="2" t="s">
        <v>94</v>
      </c>
      <c r="K775" s="2">
        <v>2106.98</v>
      </c>
      <c r="L775" s="2" t="str">
        <f t="shared" si="72"/>
        <v>April</v>
      </c>
      <c r="M775" s="2" t="str">
        <f t="shared" si="73"/>
        <v>April</v>
      </c>
      <c r="N775" t="str">
        <f t="shared" si="74"/>
        <v>Delivered</v>
      </c>
      <c r="O775">
        <f t="shared" si="75"/>
        <v>2</v>
      </c>
      <c r="P775" t="str">
        <f t="shared" si="76"/>
        <v>Completed</v>
      </c>
      <c r="Q775" t="str">
        <f t="shared" si="77"/>
        <v>Fast</v>
      </c>
      <c r="R775" t="str">
        <f>_xlfn.XLOOKUP(B775,CustomerMaster!$A$2:$A$287,CustomerMaster!$B$2:$B$287)</f>
        <v>Customer_11</v>
      </c>
      <c r="S775" t="str">
        <f>_xlfn.XLOOKUP(C775,ProductMaster!$A$2:$A$51,ProductMaster!$B$2:$B$51)</f>
        <v>Product_24</v>
      </c>
      <c r="T775" t="str">
        <f>_xlfn.XLOOKUP(G775,RegionMaster!$A$2:$A$5,RegionMaster!$B$2:$B$5)</f>
        <v>B</v>
      </c>
    </row>
    <row r="776" spans="1:20" ht="15.75" customHeight="1">
      <c r="A776" s="2" t="s">
        <v>1486</v>
      </c>
      <c r="B776" s="2" t="s">
        <v>421</v>
      </c>
      <c r="C776" s="2" t="s">
        <v>75</v>
      </c>
      <c r="D776" s="3">
        <v>45719</v>
      </c>
      <c r="E776" s="3">
        <v>45724</v>
      </c>
      <c r="F776" s="4"/>
      <c r="G776" s="2" t="s">
        <v>22</v>
      </c>
      <c r="H776" s="2" t="s">
        <v>16</v>
      </c>
      <c r="I776" s="2" t="s">
        <v>195</v>
      </c>
      <c r="J776" s="2" t="s">
        <v>107</v>
      </c>
      <c r="K776" s="2">
        <v>4027.02</v>
      </c>
      <c r="L776" s="2" t="str">
        <f t="shared" si="72"/>
        <v>March</v>
      </c>
      <c r="M776" s="2" t="str">
        <f t="shared" si="73"/>
        <v>March</v>
      </c>
      <c r="N776" t="str">
        <f t="shared" si="74"/>
        <v>Delivered</v>
      </c>
      <c r="O776">
        <f t="shared" si="75"/>
        <v>5</v>
      </c>
      <c r="P776" t="str">
        <f t="shared" si="76"/>
        <v>Completed</v>
      </c>
      <c r="Q776" t="str">
        <f t="shared" si="77"/>
        <v>Slow</v>
      </c>
      <c r="R776" t="str">
        <f>_xlfn.XLOOKUP(B776,CustomerMaster!$A$2:$A$287,CustomerMaster!$B$2:$B$287)</f>
        <v>Customer_114</v>
      </c>
      <c r="S776" t="str">
        <f>_xlfn.XLOOKUP(C776,ProductMaster!$A$2:$A$51,ProductMaster!$B$2:$B$51)</f>
        <v>Product_11</v>
      </c>
      <c r="T776" t="str">
        <f>_xlfn.XLOOKUP(G776,RegionMaster!$A$2:$A$5,RegionMaster!$B$2:$B$5)</f>
        <v>C</v>
      </c>
    </row>
    <row r="777" spans="1:20" ht="15.75" customHeight="1">
      <c r="A777" s="2" t="s">
        <v>1487</v>
      </c>
      <c r="B777" s="2" t="s">
        <v>639</v>
      </c>
      <c r="C777" s="2" t="s">
        <v>101</v>
      </c>
      <c r="D777" s="3">
        <v>45680</v>
      </c>
      <c r="E777" s="3">
        <v>45684</v>
      </c>
      <c r="F777" s="4"/>
      <c r="G777" s="2" t="s">
        <v>17</v>
      </c>
      <c r="H777" s="2" t="s">
        <v>59</v>
      </c>
      <c r="I777" s="2" t="s">
        <v>90</v>
      </c>
      <c r="J777" s="2" t="s">
        <v>107</v>
      </c>
      <c r="K777" s="2">
        <v>919.6</v>
      </c>
      <c r="L777" s="2" t="str">
        <f t="shared" si="72"/>
        <v>January</v>
      </c>
      <c r="M777" s="2" t="str">
        <f t="shared" si="73"/>
        <v>January</v>
      </c>
      <c r="N777" t="str">
        <f t="shared" si="74"/>
        <v>Delivered</v>
      </c>
      <c r="O777">
        <f t="shared" si="75"/>
        <v>4</v>
      </c>
      <c r="P777" t="str">
        <f t="shared" si="76"/>
        <v>Completed</v>
      </c>
      <c r="Q777" t="str">
        <f t="shared" si="77"/>
        <v>Slow</v>
      </c>
      <c r="R777" t="str">
        <f>_xlfn.XLOOKUP(B777,CustomerMaster!$A$2:$A$287,CustomerMaster!$B$2:$B$287)</f>
        <v>Customer_204</v>
      </c>
      <c r="S777" t="str">
        <f>_xlfn.XLOOKUP(C777,ProductMaster!$A$2:$A$51,ProductMaster!$B$2:$B$51)</f>
        <v>Product_27</v>
      </c>
      <c r="T777" t="str">
        <f>_xlfn.XLOOKUP(G777,RegionMaster!$A$2:$A$5,RegionMaster!$B$2:$B$5)</f>
        <v>B</v>
      </c>
    </row>
    <row r="778" spans="1:20" ht="15.75" customHeight="1">
      <c r="A778" s="2" t="s">
        <v>1488</v>
      </c>
      <c r="B778" s="2" t="s">
        <v>57</v>
      </c>
      <c r="C778" s="2" t="s">
        <v>9</v>
      </c>
      <c r="D778" s="3">
        <v>45711</v>
      </c>
      <c r="E778" s="3">
        <v>45712</v>
      </c>
      <c r="F778" s="4"/>
      <c r="G778" s="2" t="s">
        <v>45</v>
      </c>
      <c r="H778" s="2" t="s">
        <v>54</v>
      </c>
      <c r="I778" s="2" t="s">
        <v>195</v>
      </c>
      <c r="J778" s="2" t="s">
        <v>107</v>
      </c>
      <c r="K778" s="2">
        <v>1300.4100000000001</v>
      </c>
      <c r="L778" s="2" t="str">
        <f t="shared" si="72"/>
        <v>February</v>
      </c>
      <c r="M778" s="2" t="str">
        <f t="shared" si="73"/>
        <v>February</v>
      </c>
      <c r="N778" t="str">
        <f t="shared" si="74"/>
        <v>Delivered</v>
      </c>
      <c r="O778">
        <f t="shared" si="75"/>
        <v>1</v>
      </c>
      <c r="P778" t="str">
        <f t="shared" si="76"/>
        <v>Completed</v>
      </c>
      <c r="Q778" t="str">
        <f t="shared" si="77"/>
        <v>Fast</v>
      </c>
      <c r="R778" t="str">
        <f>_xlfn.XLOOKUP(B778,CustomerMaster!$A$2:$A$287,CustomerMaster!$B$2:$B$287)</f>
        <v>Customer_6</v>
      </c>
      <c r="S778" t="str">
        <f>_xlfn.XLOOKUP(C778,ProductMaster!$A$2:$A$51,ProductMaster!$B$2:$B$51)</f>
        <v>Product_0</v>
      </c>
      <c r="T778" t="str">
        <f>_xlfn.XLOOKUP(G778,RegionMaster!$A$2:$A$5,RegionMaster!$B$2:$B$5)</f>
        <v>D</v>
      </c>
    </row>
    <row r="779" spans="1:20" ht="15.75" customHeight="1">
      <c r="A779" s="2" t="s">
        <v>1489</v>
      </c>
      <c r="B779" s="2" t="s">
        <v>202</v>
      </c>
      <c r="C779" s="2" t="s">
        <v>32</v>
      </c>
      <c r="D779" s="3">
        <v>45662</v>
      </c>
      <c r="E779" s="3">
        <v>45664</v>
      </c>
      <c r="F779" s="4"/>
      <c r="G779" s="2" t="s">
        <v>7</v>
      </c>
      <c r="H779" s="2" t="s">
        <v>37</v>
      </c>
      <c r="I779" s="2" t="s">
        <v>90</v>
      </c>
      <c r="J779" s="2" t="s">
        <v>133</v>
      </c>
      <c r="K779" s="2">
        <v>3666.81</v>
      </c>
      <c r="L779" s="2" t="str">
        <f t="shared" si="72"/>
        <v>January</v>
      </c>
      <c r="M779" s="2" t="str">
        <f t="shared" si="73"/>
        <v>January</v>
      </c>
      <c r="N779" t="str">
        <f t="shared" si="74"/>
        <v>Delivered</v>
      </c>
      <c r="O779">
        <f t="shared" si="75"/>
        <v>2</v>
      </c>
      <c r="P779" t="str">
        <f t="shared" si="76"/>
        <v>Completed</v>
      </c>
      <c r="Q779" t="str">
        <f t="shared" si="77"/>
        <v>Fast</v>
      </c>
      <c r="R779" t="str">
        <f>_xlfn.XLOOKUP(B779,CustomerMaster!$A$2:$A$287,CustomerMaster!$B$2:$B$287)</f>
        <v>Customer_27</v>
      </c>
      <c r="S779" t="str">
        <f>_xlfn.XLOOKUP(C779,ProductMaster!$A$2:$A$51,ProductMaster!$B$2:$B$51)</f>
        <v>Product_3</v>
      </c>
      <c r="T779" t="str">
        <f>_xlfn.XLOOKUP(G779,RegionMaster!$A$2:$A$5,RegionMaster!$B$2:$B$5)</f>
        <v>A</v>
      </c>
    </row>
    <row r="780" spans="1:20" ht="15.75" customHeight="1">
      <c r="A780" s="2" t="s">
        <v>1490</v>
      </c>
      <c r="B780" s="2" t="s">
        <v>417</v>
      </c>
      <c r="C780" s="2" t="s">
        <v>130</v>
      </c>
      <c r="D780" s="3">
        <v>45719</v>
      </c>
      <c r="E780" s="4"/>
      <c r="F780" s="3">
        <v>45719</v>
      </c>
      <c r="G780" s="2" t="s">
        <v>7</v>
      </c>
      <c r="H780" s="2" t="s">
        <v>59</v>
      </c>
      <c r="I780" s="2" t="s">
        <v>195</v>
      </c>
      <c r="J780" s="2" t="s">
        <v>133</v>
      </c>
      <c r="K780" s="2">
        <v>3656.18</v>
      </c>
      <c r="L780" s="2" t="str">
        <f t="shared" si="72"/>
        <v>March</v>
      </c>
      <c r="M780" s="2" t="str">
        <f t="shared" si="73"/>
        <v>Cancelled</v>
      </c>
      <c r="N780" t="str">
        <f t="shared" si="74"/>
        <v>Cancelled</v>
      </c>
      <c r="O780" t="str">
        <f t="shared" si="75"/>
        <v>Order Cancelled</v>
      </c>
      <c r="P780" t="str">
        <f t="shared" si="76"/>
        <v>Cancelled</v>
      </c>
      <c r="Q780" t="str">
        <f t="shared" si="77"/>
        <v>Cancelled</v>
      </c>
      <c r="R780" t="str">
        <f>_xlfn.XLOOKUP(B780,CustomerMaster!$A$2:$A$287,CustomerMaster!$B$2:$B$287)</f>
        <v>Customer_112</v>
      </c>
      <c r="S780" t="str">
        <f>_xlfn.XLOOKUP(C780,ProductMaster!$A$2:$A$51,ProductMaster!$B$2:$B$51)</f>
        <v>Product_26</v>
      </c>
      <c r="T780" t="str">
        <f>_xlfn.XLOOKUP(G780,RegionMaster!$A$2:$A$5,RegionMaster!$B$2:$B$5)</f>
        <v>A</v>
      </c>
    </row>
    <row r="781" spans="1:20" ht="15.75" customHeight="1">
      <c r="A781" s="2" t="s">
        <v>1491</v>
      </c>
      <c r="B781" s="2" t="s">
        <v>785</v>
      </c>
      <c r="C781" s="2" t="s">
        <v>125</v>
      </c>
      <c r="D781" s="3">
        <v>45693</v>
      </c>
      <c r="E781" s="3">
        <v>45696</v>
      </c>
      <c r="F781" s="4"/>
      <c r="G781" s="2" t="s">
        <v>22</v>
      </c>
      <c r="H781" s="2" t="s">
        <v>16</v>
      </c>
      <c r="I781" s="2" t="s">
        <v>106</v>
      </c>
      <c r="J781" s="2" t="s">
        <v>133</v>
      </c>
      <c r="K781" s="2">
        <v>3277.51</v>
      </c>
      <c r="L781" s="2" t="str">
        <f t="shared" si="72"/>
        <v>February</v>
      </c>
      <c r="M781" s="2" t="str">
        <f t="shared" si="73"/>
        <v>February</v>
      </c>
      <c r="N781" t="str">
        <f t="shared" si="74"/>
        <v>Delivered</v>
      </c>
      <c r="O781">
        <f t="shared" si="75"/>
        <v>3</v>
      </c>
      <c r="P781" t="str">
        <f t="shared" si="76"/>
        <v>Completed</v>
      </c>
      <c r="Q781" t="str">
        <f t="shared" si="77"/>
        <v>Slow</v>
      </c>
      <c r="R781" t="str">
        <f>_xlfn.XLOOKUP(B781,CustomerMaster!$A$2:$A$287,CustomerMaster!$B$2:$B$287)</f>
        <v>Customer_275</v>
      </c>
      <c r="S781" t="str">
        <f>_xlfn.XLOOKUP(C781,ProductMaster!$A$2:$A$51,ProductMaster!$B$2:$B$51)</f>
        <v>Product_24</v>
      </c>
      <c r="T781" t="str">
        <f>_xlfn.XLOOKUP(G781,RegionMaster!$A$2:$A$5,RegionMaster!$B$2:$B$5)</f>
        <v>C</v>
      </c>
    </row>
    <row r="782" spans="1:20" ht="15.75" customHeight="1">
      <c r="A782" s="2" t="s">
        <v>1492</v>
      </c>
      <c r="B782" s="2" t="s">
        <v>762</v>
      </c>
      <c r="C782" s="2" t="s">
        <v>153</v>
      </c>
      <c r="D782" s="3">
        <v>45725</v>
      </c>
      <c r="E782" s="3">
        <v>45731</v>
      </c>
      <c r="F782" s="4"/>
      <c r="G782" s="2" t="s">
        <v>7</v>
      </c>
      <c r="H782" s="2" t="s">
        <v>54</v>
      </c>
      <c r="I782" s="2" t="s">
        <v>178</v>
      </c>
      <c r="J782" s="2" t="s">
        <v>107</v>
      </c>
      <c r="K782" s="2">
        <v>3530.95</v>
      </c>
      <c r="L782" s="2" t="str">
        <f t="shared" si="72"/>
        <v>March</v>
      </c>
      <c r="M782" s="2" t="str">
        <f t="shared" si="73"/>
        <v>March</v>
      </c>
      <c r="N782" t="str">
        <f t="shared" si="74"/>
        <v>Delivered</v>
      </c>
      <c r="O782">
        <f t="shared" si="75"/>
        <v>6</v>
      </c>
      <c r="P782" t="str">
        <f t="shared" si="76"/>
        <v>Completed</v>
      </c>
      <c r="Q782" t="str">
        <f t="shared" si="77"/>
        <v>Slow</v>
      </c>
      <c r="R782" t="str">
        <f>_xlfn.XLOOKUP(B782,CustomerMaster!$A$2:$A$287,CustomerMaster!$B$2:$B$287)</f>
        <v>Customer_261</v>
      </c>
      <c r="S782" t="str">
        <f>_xlfn.XLOOKUP(C782,ProductMaster!$A$2:$A$51,ProductMaster!$B$2:$B$51)</f>
        <v>Product_32</v>
      </c>
      <c r="T782" t="str">
        <f>_xlfn.XLOOKUP(G782,RegionMaster!$A$2:$A$5,RegionMaster!$B$2:$B$5)</f>
        <v>A</v>
      </c>
    </row>
    <row r="783" spans="1:20" ht="15.75" customHeight="1">
      <c r="A783" s="2" t="s">
        <v>1493</v>
      </c>
      <c r="B783" s="2" t="s">
        <v>382</v>
      </c>
      <c r="C783" s="2" t="s">
        <v>32</v>
      </c>
      <c r="D783" s="3">
        <v>45688</v>
      </c>
      <c r="E783" s="3">
        <v>45693</v>
      </c>
      <c r="F783" s="4"/>
      <c r="G783" s="2" t="s">
        <v>45</v>
      </c>
      <c r="H783" s="2" t="s">
        <v>37</v>
      </c>
      <c r="I783" s="2" t="s">
        <v>121</v>
      </c>
      <c r="J783" s="2" t="s">
        <v>94</v>
      </c>
      <c r="K783" s="2">
        <v>2805.08</v>
      </c>
      <c r="L783" s="2" t="str">
        <f t="shared" si="72"/>
        <v>January</v>
      </c>
      <c r="M783" s="2" t="str">
        <f t="shared" si="73"/>
        <v>February</v>
      </c>
      <c r="N783" t="str">
        <f t="shared" si="74"/>
        <v>Delivered</v>
      </c>
      <c r="O783">
        <f t="shared" si="75"/>
        <v>5</v>
      </c>
      <c r="P783" t="str">
        <f t="shared" si="76"/>
        <v>Completed</v>
      </c>
      <c r="Q783" t="str">
        <f t="shared" si="77"/>
        <v>Slow</v>
      </c>
      <c r="R783" t="str">
        <f>_xlfn.XLOOKUP(B783,CustomerMaster!$A$2:$A$287,CustomerMaster!$B$2:$B$287)</f>
        <v>Customer_98</v>
      </c>
      <c r="S783" t="str">
        <f>_xlfn.XLOOKUP(C783,ProductMaster!$A$2:$A$51,ProductMaster!$B$2:$B$51)</f>
        <v>Product_3</v>
      </c>
      <c r="T783" t="str">
        <f>_xlfn.XLOOKUP(G783,RegionMaster!$A$2:$A$5,RegionMaster!$B$2:$B$5)</f>
        <v>D</v>
      </c>
    </row>
    <row r="784" spans="1:20" ht="15.75" customHeight="1">
      <c r="A784" s="2" t="s">
        <v>1494</v>
      </c>
      <c r="B784" s="2" t="s">
        <v>454</v>
      </c>
      <c r="C784" s="2" t="s">
        <v>75</v>
      </c>
      <c r="D784" s="3">
        <v>45764</v>
      </c>
      <c r="E784" s="3">
        <v>45769</v>
      </c>
      <c r="F784" s="4"/>
      <c r="G784" s="2" t="s">
        <v>45</v>
      </c>
      <c r="H784" s="2" t="s">
        <v>59</v>
      </c>
      <c r="I784" s="2" t="s">
        <v>195</v>
      </c>
      <c r="J784" s="2" t="s">
        <v>107</v>
      </c>
      <c r="K784" s="2">
        <v>1408.64</v>
      </c>
      <c r="L784" s="2" t="str">
        <f t="shared" si="72"/>
        <v>April</v>
      </c>
      <c r="M784" s="2" t="str">
        <f t="shared" si="73"/>
        <v>April</v>
      </c>
      <c r="N784" t="str">
        <f t="shared" si="74"/>
        <v>Delivered</v>
      </c>
      <c r="O784">
        <f t="shared" si="75"/>
        <v>5</v>
      </c>
      <c r="P784" t="str">
        <f t="shared" si="76"/>
        <v>Completed</v>
      </c>
      <c r="Q784" t="str">
        <f t="shared" si="77"/>
        <v>Slow</v>
      </c>
      <c r="R784" t="str">
        <f>_xlfn.XLOOKUP(B784,CustomerMaster!$A$2:$A$287,CustomerMaster!$B$2:$B$287)</f>
        <v>Customer_197</v>
      </c>
      <c r="S784" t="str">
        <f>_xlfn.XLOOKUP(C784,ProductMaster!$A$2:$A$51,ProductMaster!$B$2:$B$51)</f>
        <v>Product_11</v>
      </c>
      <c r="T784" t="str">
        <f>_xlfn.XLOOKUP(G784,RegionMaster!$A$2:$A$5,RegionMaster!$B$2:$B$5)</f>
        <v>D</v>
      </c>
    </row>
    <row r="785" spans="1:20" ht="15.75" customHeight="1">
      <c r="A785" s="2" t="s">
        <v>1495</v>
      </c>
      <c r="B785" s="2" t="s">
        <v>787</v>
      </c>
      <c r="C785" s="2" t="s">
        <v>101</v>
      </c>
      <c r="D785" s="3">
        <v>45715</v>
      </c>
      <c r="E785" s="3">
        <v>45721</v>
      </c>
      <c r="F785" s="4"/>
      <c r="G785" s="2" t="s">
        <v>17</v>
      </c>
      <c r="H785" s="2" t="s">
        <v>16</v>
      </c>
      <c r="I785" s="2" t="s">
        <v>195</v>
      </c>
      <c r="J785" s="2" t="s">
        <v>133</v>
      </c>
      <c r="K785" s="2">
        <v>1859.34</v>
      </c>
      <c r="L785" s="2" t="str">
        <f t="shared" si="72"/>
        <v>February</v>
      </c>
      <c r="M785" s="2" t="str">
        <f t="shared" si="73"/>
        <v>March</v>
      </c>
      <c r="N785" t="str">
        <f t="shared" si="74"/>
        <v>Delivered</v>
      </c>
      <c r="O785">
        <f t="shared" si="75"/>
        <v>6</v>
      </c>
      <c r="P785" t="str">
        <f t="shared" si="76"/>
        <v>Completed</v>
      </c>
      <c r="Q785" t="str">
        <f t="shared" si="77"/>
        <v>Slow</v>
      </c>
      <c r="R785" t="str">
        <f>_xlfn.XLOOKUP(B785,CustomerMaster!$A$2:$A$287,CustomerMaster!$B$2:$B$287)</f>
        <v>Customer_276</v>
      </c>
      <c r="S785" t="str">
        <f>_xlfn.XLOOKUP(C785,ProductMaster!$A$2:$A$51,ProductMaster!$B$2:$B$51)</f>
        <v>Product_27</v>
      </c>
      <c r="T785" t="str">
        <f>_xlfn.XLOOKUP(G785,RegionMaster!$A$2:$A$5,RegionMaster!$B$2:$B$5)</f>
        <v>B</v>
      </c>
    </row>
    <row r="786" spans="1:20" ht="15.75" customHeight="1">
      <c r="A786" s="2" t="s">
        <v>1496</v>
      </c>
      <c r="B786" s="2" t="s">
        <v>483</v>
      </c>
      <c r="C786" s="2" t="s">
        <v>91</v>
      </c>
      <c r="D786" s="3">
        <v>45673</v>
      </c>
      <c r="E786" s="4"/>
      <c r="F786" s="3">
        <v>45674</v>
      </c>
      <c r="G786" s="2" t="s">
        <v>7</v>
      </c>
      <c r="H786" s="2" t="s">
        <v>37</v>
      </c>
      <c r="I786" s="2" t="s">
        <v>106</v>
      </c>
      <c r="J786" s="2" t="s">
        <v>94</v>
      </c>
      <c r="K786" s="2">
        <v>1071.67</v>
      </c>
      <c r="L786" s="2" t="str">
        <f t="shared" si="72"/>
        <v>January</v>
      </c>
      <c r="M786" s="2" t="str">
        <f t="shared" si="73"/>
        <v>Cancelled</v>
      </c>
      <c r="N786" t="str">
        <f t="shared" si="74"/>
        <v>Cancelled</v>
      </c>
      <c r="O786" t="str">
        <f t="shared" si="75"/>
        <v>Order Cancelled</v>
      </c>
      <c r="P786" t="str">
        <f t="shared" si="76"/>
        <v>Cancelled</v>
      </c>
      <c r="Q786" t="str">
        <f t="shared" si="77"/>
        <v>Cancelled</v>
      </c>
      <c r="R786" t="str">
        <f>_xlfn.XLOOKUP(B786,CustomerMaster!$A$2:$A$287,CustomerMaster!$B$2:$B$287)</f>
        <v>Customer_139</v>
      </c>
      <c r="S786" t="str">
        <f>_xlfn.XLOOKUP(C786,ProductMaster!$A$2:$A$51,ProductMaster!$B$2:$B$51)</f>
        <v>Product_16</v>
      </c>
      <c r="T786" t="str">
        <f>_xlfn.XLOOKUP(G786,RegionMaster!$A$2:$A$5,RegionMaster!$B$2:$B$5)</f>
        <v>A</v>
      </c>
    </row>
    <row r="787" spans="1:20" ht="15.75" customHeight="1">
      <c r="A787" s="2" t="s">
        <v>1497</v>
      </c>
      <c r="B787" s="2" t="s">
        <v>758</v>
      </c>
      <c r="C787" s="2" t="s">
        <v>130</v>
      </c>
      <c r="D787" s="3">
        <v>45712</v>
      </c>
      <c r="E787" s="4"/>
      <c r="F787" s="3">
        <v>45714</v>
      </c>
      <c r="G787" s="2" t="s">
        <v>17</v>
      </c>
      <c r="H787" s="2" t="s">
        <v>16</v>
      </c>
      <c r="I787" s="2" t="s">
        <v>178</v>
      </c>
      <c r="J787" s="2" t="s">
        <v>94</v>
      </c>
      <c r="K787" s="2">
        <v>4560.5600000000004</v>
      </c>
      <c r="L787" s="2" t="str">
        <f t="shared" si="72"/>
        <v>February</v>
      </c>
      <c r="M787" s="2" t="str">
        <f t="shared" si="73"/>
        <v>Cancelled</v>
      </c>
      <c r="N787" t="str">
        <f t="shared" si="74"/>
        <v>Cancelled</v>
      </c>
      <c r="O787" t="str">
        <f t="shared" si="75"/>
        <v>Order Cancelled</v>
      </c>
      <c r="P787" t="str">
        <f t="shared" si="76"/>
        <v>Cancelled</v>
      </c>
      <c r="Q787" t="str">
        <f t="shared" si="77"/>
        <v>Cancelled</v>
      </c>
      <c r="R787" t="str">
        <f>_xlfn.XLOOKUP(B787,CustomerMaster!$A$2:$A$287,CustomerMaster!$B$2:$B$287)</f>
        <v>Customer_259</v>
      </c>
      <c r="S787" t="str">
        <f>_xlfn.XLOOKUP(C787,ProductMaster!$A$2:$A$51,ProductMaster!$B$2:$B$51)</f>
        <v>Product_26</v>
      </c>
      <c r="T787" t="str">
        <f>_xlfn.XLOOKUP(G787,RegionMaster!$A$2:$A$5,RegionMaster!$B$2:$B$5)</f>
        <v>B</v>
      </c>
    </row>
    <row r="788" spans="1:20" ht="15.75" customHeight="1">
      <c r="A788" s="2" t="s">
        <v>1498</v>
      </c>
      <c r="B788" s="2" t="s">
        <v>391</v>
      </c>
      <c r="C788" s="2" t="s">
        <v>32</v>
      </c>
      <c r="D788" s="3">
        <v>45750</v>
      </c>
      <c r="E788" s="4"/>
      <c r="F788" s="3">
        <v>45750</v>
      </c>
      <c r="G788" s="2" t="s">
        <v>45</v>
      </c>
      <c r="H788" s="2" t="s">
        <v>27</v>
      </c>
      <c r="I788" s="2" t="s">
        <v>121</v>
      </c>
      <c r="J788" s="2" t="s">
        <v>107</v>
      </c>
      <c r="K788" s="2">
        <v>3000.28</v>
      </c>
      <c r="L788" s="2" t="str">
        <f t="shared" si="72"/>
        <v>April</v>
      </c>
      <c r="M788" s="2" t="str">
        <f t="shared" si="73"/>
        <v>Cancelled</v>
      </c>
      <c r="N788" t="str">
        <f t="shared" si="74"/>
        <v>Cancelled</v>
      </c>
      <c r="O788" t="str">
        <f t="shared" si="75"/>
        <v>Order Cancelled</v>
      </c>
      <c r="P788" t="str">
        <f t="shared" si="76"/>
        <v>Cancelled</v>
      </c>
      <c r="Q788" t="str">
        <f t="shared" si="77"/>
        <v>Cancelled</v>
      </c>
      <c r="R788" t="str">
        <f>_xlfn.XLOOKUP(B788,CustomerMaster!$A$2:$A$287,CustomerMaster!$B$2:$B$287)</f>
        <v>Customer_178</v>
      </c>
      <c r="S788" t="str">
        <f>_xlfn.XLOOKUP(C788,ProductMaster!$A$2:$A$51,ProductMaster!$B$2:$B$51)</f>
        <v>Product_3</v>
      </c>
      <c r="T788" t="str">
        <f>_xlfn.XLOOKUP(G788,RegionMaster!$A$2:$A$5,RegionMaster!$B$2:$B$5)</f>
        <v>D</v>
      </c>
    </row>
    <row r="789" spans="1:20" ht="15.75" customHeight="1">
      <c r="A789" s="2" t="s">
        <v>1499</v>
      </c>
      <c r="B789" s="2" t="s">
        <v>224</v>
      </c>
      <c r="C789" s="2" t="s">
        <v>204</v>
      </c>
      <c r="D789" s="3">
        <v>45731</v>
      </c>
      <c r="E789" s="4"/>
      <c r="F789" s="3">
        <v>45731</v>
      </c>
      <c r="G789" s="2" t="s">
        <v>45</v>
      </c>
      <c r="H789" s="2" t="s">
        <v>27</v>
      </c>
      <c r="I789" s="2" t="s">
        <v>178</v>
      </c>
      <c r="J789" s="2" t="s">
        <v>94</v>
      </c>
      <c r="K789" s="2">
        <v>2124.09</v>
      </c>
      <c r="L789" s="2" t="str">
        <f t="shared" si="72"/>
        <v>March</v>
      </c>
      <c r="M789" s="2" t="str">
        <f t="shared" si="73"/>
        <v>Cancelled</v>
      </c>
      <c r="N789" t="str">
        <f t="shared" si="74"/>
        <v>Cancelled</v>
      </c>
      <c r="O789" t="str">
        <f t="shared" si="75"/>
        <v>Order Cancelled</v>
      </c>
      <c r="P789" t="str">
        <f t="shared" si="76"/>
        <v>Cancelled</v>
      </c>
      <c r="Q789" t="str">
        <f t="shared" si="77"/>
        <v>Cancelled</v>
      </c>
      <c r="R789" t="str">
        <f>_xlfn.XLOOKUP(B789,CustomerMaster!$A$2:$A$287,CustomerMaster!$B$2:$B$287)</f>
        <v>Customer_31</v>
      </c>
      <c r="S789" t="str">
        <f>_xlfn.XLOOKUP(C789,ProductMaster!$A$2:$A$51,ProductMaster!$B$2:$B$51)</f>
        <v>Product_46</v>
      </c>
      <c r="T789" t="str">
        <f>_xlfn.XLOOKUP(G789,RegionMaster!$A$2:$A$5,RegionMaster!$B$2:$B$5)</f>
        <v>D</v>
      </c>
    </row>
    <row r="790" spans="1:20" ht="15.75" customHeight="1">
      <c r="A790" s="2" t="s">
        <v>1500</v>
      </c>
      <c r="B790" s="2" t="s">
        <v>776</v>
      </c>
      <c r="C790" s="2" t="s">
        <v>39</v>
      </c>
      <c r="D790" s="3">
        <v>45740</v>
      </c>
      <c r="E790" s="3">
        <v>45744</v>
      </c>
      <c r="F790" s="4"/>
      <c r="G790" s="2" t="s">
        <v>7</v>
      </c>
      <c r="H790" s="2" t="s">
        <v>54</v>
      </c>
      <c r="I790" s="2" t="s">
        <v>90</v>
      </c>
      <c r="J790" s="2" t="s">
        <v>107</v>
      </c>
      <c r="K790" s="2">
        <v>2417.63</v>
      </c>
      <c r="L790" s="2" t="str">
        <f t="shared" si="72"/>
        <v>March</v>
      </c>
      <c r="M790" s="2" t="str">
        <f t="shared" si="73"/>
        <v>March</v>
      </c>
      <c r="N790" t="str">
        <f t="shared" si="74"/>
        <v>Delivered</v>
      </c>
      <c r="O790">
        <f t="shared" si="75"/>
        <v>4</v>
      </c>
      <c r="P790" t="str">
        <f t="shared" si="76"/>
        <v>Completed</v>
      </c>
      <c r="Q790" t="str">
        <f t="shared" si="77"/>
        <v>Slow</v>
      </c>
      <c r="R790" t="str">
        <f>_xlfn.XLOOKUP(B790,CustomerMaster!$A$2:$A$287,CustomerMaster!$B$2:$B$287)</f>
        <v>Customer_270</v>
      </c>
      <c r="S790" t="str">
        <f>_xlfn.XLOOKUP(C790,ProductMaster!$A$2:$A$51,ProductMaster!$B$2:$B$51)</f>
        <v>Product_4</v>
      </c>
      <c r="T790" t="str">
        <f>_xlfn.XLOOKUP(G790,RegionMaster!$A$2:$A$5,RegionMaster!$B$2:$B$5)</f>
        <v>A</v>
      </c>
    </row>
    <row r="791" spans="1:20" ht="15.75" customHeight="1">
      <c r="A791" s="2" t="s">
        <v>1501</v>
      </c>
      <c r="B791" s="2" t="s">
        <v>430</v>
      </c>
      <c r="C791" s="2" t="s">
        <v>162</v>
      </c>
      <c r="D791" s="3">
        <v>45736</v>
      </c>
      <c r="E791" s="3">
        <v>45738</v>
      </c>
      <c r="F791" s="4"/>
      <c r="G791" s="2" t="s">
        <v>45</v>
      </c>
      <c r="H791" s="2" t="s">
        <v>59</v>
      </c>
      <c r="I791" s="2" t="s">
        <v>106</v>
      </c>
      <c r="J791" s="2" t="s">
        <v>107</v>
      </c>
      <c r="K791" s="2">
        <v>4746.96</v>
      </c>
      <c r="L791" s="2" t="str">
        <f t="shared" si="72"/>
        <v>March</v>
      </c>
      <c r="M791" s="2" t="str">
        <f t="shared" si="73"/>
        <v>March</v>
      </c>
      <c r="N791" t="str">
        <f t="shared" si="74"/>
        <v>Delivered</v>
      </c>
      <c r="O791">
        <f t="shared" si="75"/>
        <v>2</v>
      </c>
      <c r="P791" t="str">
        <f t="shared" si="76"/>
        <v>Completed</v>
      </c>
      <c r="Q791" t="str">
        <f t="shared" si="77"/>
        <v>Fast</v>
      </c>
      <c r="R791" t="str">
        <f>_xlfn.XLOOKUP(B791,CustomerMaster!$A$2:$A$287,CustomerMaster!$B$2:$B$287)</f>
        <v>Customer_118</v>
      </c>
      <c r="S791" t="str">
        <f>_xlfn.XLOOKUP(C791,ProductMaster!$A$2:$A$51,ProductMaster!$B$2:$B$51)</f>
        <v>Product_35</v>
      </c>
      <c r="T791" t="str">
        <f>_xlfn.XLOOKUP(G791,RegionMaster!$A$2:$A$5,RegionMaster!$B$2:$B$5)</f>
        <v>D</v>
      </c>
    </row>
    <row r="792" spans="1:20" ht="15.75" customHeight="1">
      <c r="A792" s="2" t="s">
        <v>1502</v>
      </c>
      <c r="B792" s="2" t="s">
        <v>637</v>
      </c>
      <c r="C792" s="2" t="s">
        <v>125</v>
      </c>
      <c r="D792" s="3">
        <v>45735</v>
      </c>
      <c r="E792" s="3">
        <v>45737</v>
      </c>
      <c r="F792" s="4"/>
      <c r="G792" s="2" t="s">
        <v>7</v>
      </c>
      <c r="H792" s="2" t="s">
        <v>27</v>
      </c>
      <c r="I792" s="2" t="s">
        <v>121</v>
      </c>
      <c r="J792" s="2" t="s">
        <v>133</v>
      </c>
      <c r="K792" s="2">
        <v>936.09</v>
      </c>
      <c r="L792" s="2" t="str">
        <f t="shared" si="72"/>
        <v>March</v>
      </c>
      <c r="M792" s="2" t="str">
        <f t="shared" si="73"/>
        <v>March</v>
      </c>
      <c r="N792" t="str">
        <f t="shared" si="74"/>
        <v>Delivered</v>
      </c>
      <c r="O792">
        <f t="shared" si="75"/>
        <v>2</v>
      </c>
      <c r="P792" t="str">
        <f t="shared" si="76"/>
        <v>Completed</v>
      </c>
      <c r="Q792" t="str">
        <f t="shared" si="77"/>
        <v>Fast</v>
      </c>
      <c r="R792" t="str">
        <f>_xlfn.XLOOKUP(B792,CustomerMaster!$A$2:$A$287,CustomerMaster!$B$2:$B$287)</f>
        <v>Customer_203</v>
      </c>
      <c r="S792" t="str">
        <f>_xlfn.XLOOKUP(C792,ProductMaster!$A$2:$A$51,ProductMaster!$B$2:$B$51)</f>
        <v>Product_24</v>
      </c>
      <c r="T792" t="str">
        <f>_xlfn.XLOOKUP(G792,RegionMaster!$A$2:$A$5,RegionMaster!$B$2:$B$5)</f>
        <v>A</v>
      </c>
    </row>
    <row r="793" spans="1:20" ht="15.75" customHeight="1">
      <c r="A793" s="2" t="s">
        <v>1503</v>
      </c>
      <c r="B793" s="2" t="s">
        <v>247</v>
      </c>
      <c r="C793" s="2" t="s">
        <v>199</v>
      </c>
      <c r="D793" s="3">
        <v>45756</v>
      </c>
      <c r="E793" s="3">
        <v>45758</v>
      </c>
      <c r="F793" s="4"/>
      <c r="G793" s="2" t="s">
        <v>17</v>
      </c>
      <c r="H793" s="2" t="s">
        <v>59</v>
      </c>
      <c r="I793" s="2" t="s">
        <v>90</v>
      </c>
      <c r="J793" s="2" t="s">
        <v>94</v>
      </c>
      <c r="K793" s="2">
        <v>3013.9</v>
      </c>
      <c r="L793" s="2" t="str">
        <f t="shared" si="72"/>
        <v>April</v>
      </c>
      <c r="M793" s="2" t="str">
        <f t="shared" si="73"/>
        <v>April</v>
      </c>
      <c r="N793" t="str">
        <f t="shared" si="74"/>
        <v>Delivered</v>
      </c>
      <c r="O793">
        <f t="shared" si="75"/>
        <v>2</v>
      </c>
      <c r="P793" t="str">
        <f t="shared" si="76"/>
        <v>Completed</v>
      </c>
      <c r="Q793" t="str">
        <f t="shared" si="77"/>
        <v>Fast</v>
      </c>
      <c r="R793" t="str">
        <f>_xlfn.XLOOKUP(B793,CustomerMaster!$A$2:$A$287,CustomerMaster!$B$2:$B$287)</f>
        <v>Customer_40</v>
      </c>
      <c r="S793" t="str">
        <f>_xlfn.XLOOKUP(C793,ProductMaster!$A$2:$A$51,ProductMaster!$B$2:$B$51)</f>
        <v>Product_45</v>
      </c>
      <c r="T793" t="str">
        <f>_xlfn.XLOOKUP(G793,RegionMaster!$A$2:$A$5,RegionMaster!$B$2:$B$5)</f>
        <v>B</v>
      </c>
    </row>
    <row r="794" spans="1:20" ht="15.75" customHeight="1">
      <c r="A794" s="2" t="s">
        <v>1504</v>
      </c>
      <c r="B794" s="2" t="s">
        <v>670</v>
      </c>
      <c r="C794" s="2" t="s">
        <v>199</v>
      </c>
      <c r="D794" s="3">
        <v>45683</v>
      </c>
      <c r="E794" s="4"/>
      <c r="F794" s="3">
        <v>45684</v>
      </c>
      <c r="G794" s="2" t="s">
        <v>22</v>
      </c>
      <c r="H794" s="2" t="s">
        <v>27</v>
      </c>
      <c r="I794" s="2" t="s">
        <v>121</v>
      </c>
      <c r="J794" s="2" t="s">
        <v>107</v>
      </c>
      <c r="K794" s="2">
        <v>2628.27</v>
      </c>
      <c r="L794" s="2" t="str">
        <f t="shared" si="72"/>
        <v>January</v>
      </c>
      <c r="M794" s="2" t="str">
        <f t="shared" si="73"/>
        <v>Cancelled</v>
      </c>
      <c r="N794" t="str">
        <f t="shared" si="74"/>
        <v>Cancelled</v>
      </c>
      <c r="O794" t="str">
        <f t="shared" si="75"/>
        <v>Order Cancelled</v>
      </c>
      <c r="P794" t="str">
        <f t="shared" si="76"/>
        <v>Cancelled</v>
      </c>
      <c r="Q794" t="str">
        <f t="shared" si="77"/>
        <v>Cancelled</v>
      </c>
      <c r="R794" t="str">
        <f>_xlfn.XLOOKUP(B794,CustomerMaster!$A$2:$A$287,CustomerMaster!$B$2:$B$287)</f>
        <v>Customer_217</v>
      </c>
      <c r="S794" t="str">
        <f>_xlfn.XLOOKUP(C794,ProductMaster!$A$2:$A$51,ProductMaster!$B$2:$B$51)</f>
        <v>Product_45</v>
      </c>
      <c r="T794" t="str">
        <f>_xlfn.XLOOKUP(G794,RegionMaster!$A$2:$A$5,RegionMaster!$B$2:$B$5)</f>
        <v>C</v>
      </c>
    </row>
    <row r="795" spans="1:20" ht="15.75" customHeight="1">
      <c r="A795" s="2" t="s">
        <v>1505</v>
      </c>
      <c r="B795" s="2" t="s">
        <v>186</v>
      </c>
      <c r="C795" s="2" t="s">
        <v>138</v>
      </c>
      <c r="D795" s="3">
        <v>45691</v>
      </c>
      <c r="E795" s="3">
        <v>45693</v>
      </c>
      <c r="F795" s="4"/>
      <c r="G795" s="2" t="s">
        <v>17</v>
      </c>
      <c r="H795" s="2" t="s">
        <v>59</v>
      </c>
      <c r="I795" s="2" t="s">
        <v>106</v>
      </c>
      <c r="J795" s="2" t="s">
        <v>133</v>
      </c>
      <c r="K795" s="2">
        <v>3134.98</v>
      </c>
      <c r="L795" s="2" t="str">
        <f t="shared" si="72"/>
        <v>February</v>
      </c>
      <c r="M795" s="2" t="str">
        <f t="shared" si="73"/>
        <v>February</v>
      </c>
      <c r="N795" t="str">
        <f t="shared" si="74"/>
        <v>Delivered</v>
      </c>
      <c r="O795">
        <f t="shared" si="75"/>
        <v>2</v>
      </c>
      <c r="P795" t="str">
        <f t="shared" si="76"/>
        <v>Completed</v>
      </c>
      <c r="Q795" t="str">
        <f t="shared" si="77"/>
        <v>Fast</v>
      </c>
      <c r="R795" t="str">
        <f>_xlfn.XLOOKUP(B795,CustomerMaster!$A$2:$A$287,CustomerMaster!$B$2:$B$287)</f>
        <v>Customer_24</v>
      </c>
      <c r="S795" t="str">
        <f>_xlfn.XLOOKUP(C795,ProductMaster!$A$2:$A$51,ProductMaster!$B$2:$B$51)</f>
        <v>Product_28</v>
      </c>
      <c r="T795" t="str">
        <f>_xlfn.XLOOKUP(G795,RegionMaster!$A$2:$A$5,RegionMaster!$B$2:$B$5)</f>
        <v>B</v>
      </c>
    </row>
    <row r="796" spans="1:20" ht="15.75" customHeight="1">
      <c r="A796" s="2" t="s">
        <v>1506</v>
      </c>
      <c r="B796" s="2" t="s">
        <v>305</v>
      </c>
      <c r="C796" s="2" t="s">
        <v>168</v>
      </c>
      <c r="D796" s="3">
        <v>45757</v>
      </c>
      <c r="E796" s="3">
        <v>45760</v>
      </c>
      <c r="F796" s="4"/>
      <c r="G796" s="2" t="s">
        <v>45</v>
      </c>
      <c r="H796" s="2" t="s">
        <v>59</v>
      </c>
      <c r="I796" s="2" t="s">
        <v>178</v>
      </c>
      <c r="J796" s="2" t="s">
        <v>94</v>
      </c>
      <c r="K796" s="2">
        <v>286.93</v>
      </c>
      <c r="L796" s="2" t="str">
        <f t="shared" si="72"/>
        <v>April</v>
      </c>
      <c r="M796" s="2" t="str">
        <f t="shared" si="73"/>
        <v>April</v>
      </c>
      <c r="N796" t="str">
        <f t="shared" si="74"/>
        <v>Delivered</v>
      </c>
      <c r="O796">
        <f t="shared" si="75"/>
        <v>3</v>
      </c>
      <c r="P796" t="str">
        <f t="shared" si="76"/>
        <v>Completed</v>
      </c>
      <c r="Q796" t="str">
        <f t="shared" si="77"/>
        <v>Slow</v>
      </c>
      <c r="R796" t="str">
        <f>_xlfn.XLOOKUP(B796,CustomerMaster!$A$2:$A$287,CustomerMaster!$B$2:$B$287)</f>
        <v>Customer_63</v>
      </c>
      <c r="S796" t="str">
        <f>_xlfn.XLOOKUP(C796,ProductMaster!$A$2:$A$51,ProductMaster!$B$2:$B$51)</f>
        <v>Product_37</v>
      </c>
      <c r="T796" t="str">
        <f>_xlfn.XLOOKUP(G796,RegionMaster!$A$2:$A$5,RegionMaster!$B$2:$B$5)</f>
        <v>D</v>
      </c>
    </row>
    <row r="797" spans="1:20" ht="15.75" customHeight="1">
      <c r="A797" s="2" t="s">
        <v>1507</v>
      </c>
      <c r="B797" s="2" t="s">
        <v>659</v>
      </c>
      <c r="C797" s="2" t="s">
        <v>79</v>
      </c>
      <c r="D797" s="3">
        <v>45773</v>
      </c>
      <c r="E797" s="3">
        <v>45776</v>
      </c>
      <c r="F797" s="4"/>
      <c r="G797" s="2" t="s">
        <v>22</v>
      </c>
      <c r="H797" s="2" t="s">
        <v>59</v>
      </c>
      <c r="I797" s="2" t="s">
        <v>90</v>
      </c>
      <c r="J797" s="2" t="s">
        <v>94</v>
      </c>
      <c r="K797" s="2">
        <v>4386.1899999999996</v>
      </c>
      <c r="L797" s="2" t="str">
        <f t="shared" si="72"/>
        <v>April</v>
      </c>
      <c r="M797" s="2" t="str">
        <f t="shared" si="73"/>
        <v>April</v>
      </c>
      <c r="N797" t="str">
        <f t="shared" si="74"/>
        <v>Delivered</v>
      </c>
      <c r="O797">
        <f t="shared" si="75"/>
        <v>3</v>
      </c>
      <c r="P797" t="str">
        <f t="shared" si="76"/>
        <v>Completed</v>
      </c>
      <c r="Q797" t="str">
        <f t="shared" si="77"/>
        <v>Slow</v>
      </c>
      <c r="R797" t="str">
        <f>_xlfn.XLOOKUP(B797,CustomerMaster!$A$2:$A$287,CustomerMaster!$B$2:$B$287)</f>
        <v>Customer_212</v>
      </c>
      <c r="S797" t="str">
        <f>_xlfn.XLOOKUP(C797,ProductMaster!$A$2:$A$51,ProductMaster!$B$2:$B$51)</f>
        <v>Product_12</v>
      </c>
      <c r="T797" t="str">
        <f>_xlfn.XLOOKUP(G797,RegionMaster!$A$2:$A$5,RegionMaster!$B$2:$B$5)</f>
        <v>C</v>
      </c>
    </row>
    <row r="798" spans="1:20" ht="15.75" customHeight="1">
      <c r="A798" s="2" t="s">
        <v>1508</v>
      </c>
      <c r="B798" s="2" t="s">
        <v>606</v>
      </c>
      <c r="C798" s="2" t="s">
        <v>199</v>
      </c>
      <c r="D798" s="3">
        <v>45733</v>
      </c>
      <c r="E798" s="3">
        <v>45737</v>
      </c>
      <c r="F798" s="4"/>
      <c r="G798" s="2" t="s">
        <v>45</v>
      </c>
      <c r="H798" s="2" t="s">
        <v>27</v>
      </c>
      <c r="I798" s="2" t="s">
        <v>195</v>
      </c>
      <c r="J798" s="2" t="s">
        <v>133</v>
      </c>
      <c r="K798" s="2">
        <v>4674.17</v>
      </c>
      <c r="L798" s="2" t="str">
        <f t="shared" si="72"/>
        <v>March</v>
      </c>
      <c r="M798" s="2" t="str">
        <f t="shared" si="73"/>
        <v>March</v>
      </c>
      <c r="N798" t="str">
        <f t="shared" si="74"/>
        <v>Delivered</v>
      </c>
      <c r="O798">
        <f t="shared" si="75"/>
        <v>4</v>
      </c>
      <c r="P798" t="str">
        <f t="shared" si="76"/>
        <v>Completed</v>
      </c>
      <c r="Q798" t="str">
        <f t="shared" si="77"/>
        <v>Slow</v>
      </c>
      <c r="R798" t="str">
        <f>_xlfn.XLOOKUP(B798,CustomerMaster!$A$2:$A$287,CustomerMaster!$B$2:$B$287)</f>
        <v>Customer_189</v>
      </c>
      <c r="S798" t="str">
        <f>_xlfn.XLOOKUP(C798,ProductMaster!$A$2:$A$51,ProductMaster!$B$2:$B$51)</f>
        <v>Product_45</v>
      </c>
      <c r="T798" t="str">
        <f>_xlfn.XLOOKUP(G798,RegionMaster!$A$2:$A$5,RegionMaster!$B$2:$B$5)</f>
        <v>D</v>
      </c>
    </row>
    <row r="799" spans="1:20" ht="15.75" customHeight="1">
      <c r="A799" s="2" t="s">
        <v>1509</v>
      </c>
      <c r="B799" s="2" t="s">
        <v>251</v>
      </c>
      <c r="C799" s="2" t="s">
        <v>43</v>
      </c>
      <c r="D799" s="3">
        <v>45771</v>
      </c>
      <c r="E799" s="3">
        <v>45773</v>
      </c>
      <c r="F799" s="4"/>
      <c r="G799" s="2" t="s">
        <v>7</v>
      </c>
      <c r="H799" s="2" t="s">
        <v>16</v>
      </c>
      <c r="I799" s="2" t="s">
        <v>121</v>
      </c>
      <c r="J799" s="2" t="s">
        <v>133</v>
      </c>
      <c r="K799" s="2">
        <v>2912.64</v>
      </c>
      <c r="L799" s="2" t="str">
        <f t="shared" si="72"/>
        <v>April</v>
      </c>
      <c r="M799" s="2" t="str">
        <f t="shared" si="73"/>
        <v>April</v>
      </c>
      <c r="N799" t="str">
        <f t="shared" si="74"/>
        <v>Delivered</v>
      </c>
      <c r="O799">
        <f t="shared" si="75"/>
        <v>2</v>
      </c>
      <c r="P799" t="str">
        <f t="shared" si="76"/>
        <v>Completed</v>
      </c>
      <c r="Q799" t="str">
        <f t="shared" si="77"/>
        <v>Fast</v>
      </c>
      <c r="R799" t="str">
        <f>_xlfn.XLOOKUP(B799,CustomerMaster!$A$2:$A$287,CustomerMaster!$B$2:$B$287)</f>
        <v>Customer_42</v>
      </c>
      <c r="S799" t="str">
        <f>_xlfn.XLOOKUP(C799,ProductMaster!$A$2:$A$51,ProductMaster!$B$2:$B$51)</f>
        <v>Product_5</v>
      </c>
      <c r="T799" t="str">
        <f>_xlfn.XLOOKUP(G799,RegionMaster!$A$2:$A$5,RegionMaster!$B$2:$B$5)</f>
        <v>A</v>
      </c>
    </row>
    <row r="800" spans="1:20" ht="15.75" customHeight="1">
      <c r="A800" s="2" t="s">
        <v>1510</v>
      </c>
      <c r="B800" s="2" t="s">
        <v>466</v>
      </c>
      <c r="C800" s="2" t="s">
        <v>102</v>
      </c>
      <c r="D800" s="3">
        <v>45695</v>
      </c>
      <c r="E800" s="3">
        <v>45700</v>
      </c>
      <c r="F800" s="4"/>
      <c r="G800" s="2" t="s">
        <v>17</v>
      </c>
      <c r="H800" s="2" t="s">
        <v>37</v>
      </c>
      <c r="I800" s="2" t="s">
        <v>106</v>
      </c>
      <c r="J800" s="2" t="s">
        <v>107</v>
      </c>
      <c r="K800" s="2">
        <v>3543.92</v>
      </c>
      <c r="L800" s="2" t="str">
        <f t="shared" si="72"/>
        <v>February</v>
      </c>
      <c r="M800" s="2" t="str">
        <f t="shared" si="73"/>
        <v>February</v>
      </c>
      <c r="N800" t="str">
        <f t="shared" si="74"/>
        <v>Delivered</v>
      </c>
      <c r="O800">
        <f t="shared" si="75"/>
        <v>5</v>
      </c>
      <c r="P800" t="str">
        <f t="shared" si="76"/>
        <v>Completed</v>
      </c>
      <c r="Q800" t="str">
        <f t="shared" si="77"/>
        <v>Slow</v>
      </c>
      <c r="R800" t="str">
        <f>_xlfn.XLOOKUP(B800,CustomerMaster!$A$2:$A$287,CustomerMaster!$B$2:$B$287)</f>
        <v>Customer_132</v>
      </c>
      <c r="S800" t="str">
        <f>_xlfn.XLOOKUP(C800,ProductMaster!$A$2:$A$51,ProductMaster!$B$2:$B$51)</f>
        <v>Product_18</v>
      </c>
      <c r="T800" t="str">
        <f>_xlfn.XLOOKUP(G800,RegionMaster!$A$2:$A$5,RegionMaster!$B$2:$B$5)</f>
        <v>B</v>
      </c>
    </row>
    <row r="801" spans="1:20" ht="15.75" customHeight="1">
      <c r="A801" s="2" t="s">
        <v>1511</v>
      </c>
      <c r="B801" s="2" t="s">
        <v>328</v>
      </c>
      <c r="C801" s="2" t="s">
        <v>95</v>
      </c>
      <c r="D801" s="3">
        <v>45723</v>
      </c>
      <c r="E801" s="3">
        <v>45728</v>
      </c>
      <c r="F801" s="4"/>
      <c r="G801" s="2" t="s">
        <v>17</v>
      </c>
      <c r="H801" s="2" t="s">
        <v>27</v>
      </c>
      <c r="I801" s="2" t="s">
        <v>106</v>
      </c>
      <c r="J801" s="2" t="s">
        <v>133</v>
      </c>
      <c r="K801" s="2">
        <v>4628</v>
      </c>
      <c r="L801" s="2" t="str">
        <f t="shared" si="72"/>
        <v>March</v>
      </c>
      <c r="M801" s="2" t="str">
        <f t="shared" si="73"/>
        <v>March</v>
      </c>
      <c r="N801" t="str">
        <f t="shared" si="74"/>
        <v>Delivered</v>
      </c>
      <c r="O801">
        <f t="shared" si="75"/>
        <v>5</v>
      </c>
      <c r="P801" t="str">
        <f t="shared" si="76"/>
        <v>Completed</v>
      </c>
      <c r="Q801" t="str">
        <f t="shared" si="77"/>
        <v>Slow</v>
      </c>
      <c r="R801" t="str">
        <f>_xlfn.XLOOKUP(B801,CustomerMaster!$A$2:$A$287,CustomerMaster!$B$2:$B$287)</f>
        <v>Customer_73</v>
      </c>
      <c r="S801" t="str">
        <f>_xlfn.XLOOKUP(C801,ProductMaster!$A$2:$A$51,ProductMaster!$B$2:$B$51)</f>
        <v>Product_17</v>
      </c>
      <c r="T801" t="str">
        <f>_xlfn.XLOOKUP(G801,RegionMaster!$A$2:$A$5,RegionMaster!$B$2:$B$5)</f>
        <v>B</v>
      </c>
    </row>
    <row r="802" spans="1:20" ht="15.75" customHeight="1">
      <c r="A802" s="2" t="s">
        <v>1512</v>
      </c>
      <c r="B802" s="2" t="s">
        <v>312</v>
      </c>
      <c r="C802" s="2" t="s">
        <v>172</v>
      </c>
      <c r="D802" s="3">
        <v>45666</v>
      </c>
      <c r="E802" s="3">
        <v>45668</v>
      </c>
      <c r="F802" s="4"/>
      <c r="G802" s="2" t="s">
        <v>17</v>
      </c>
      <c r="H802" s="2" t="s">
        <v>16</v>
      </c>
      <c r="I802" s="2" t="s">
        <v>121</v>
      </c>
      <c r="J802" s="2" t="s">
        <v>107</v>
      </c>
      <c r="K802" s="2">
        <v>3594.75</v>
      </c>
      <c r="L802" s="2" t="str">
        <f t="shared" si="72"/>
        <v>January</v>
      </c>
      <c r="M802" s="2" t="str">
        <f t="shared" si="73"/>
        <v>January</v>
      </c>
      <c r="N802" t="str">
        <f t="shared" si="74"/>
        <v>Delivered</v>
      </c>
      <c r="O802">
        <f t="shared" si="75"/>
        <v>2</v>
      </c>
      <c r="P802" t="str">
        <f t="shared" si="76"/>
        <v>Completed</v>
      </c>
      <c r="Q802" t="str">
        <f t="shared" si="77"/>
        <v>Fast</v>
      </c>
      <c r="R802" t="str">
        <f>_xlfn.XLOOKUP(B802,CustomerMaster!$A$2:$A$287,CustomerMaster!$B$2:$B$287)</f>
        <v>Customer_278</v>
      </c>
      <c r="S802" t="str">
        <f>_xlfn.XLOOKUP(C802,ProductMaster!$A$2:$A$51,ProductMaster!$B$2:$B$51)</f>
        <v>Product_39</v>
      </c>
      <c r="T802" t="str">
        <f>_xlfn.XLOOKUP(G802,RegionMaster!$A$2:$A$5,RegionMaster!$B$2:$B$5)</f>
        <v>B</v>
      </c>
    </row>
    <row r="803" spans="1:20" ht="15.75" customHeight="1">
      <c r="A803" s="2" t="s">
        <v>1513</v>
      </c>
      <c r="B803" s="2" t="s">
        <v>781</v>
      </c>
      <c r="C803" s="2" t="s">
        <v>173</v>
      </c>
      <c r="D803" s="3">
        <v>45670</v>
      </c>
      <c r="E803" s="3">
        <v>45672</v>
      </c>
      <c r="F803" s="4"/>
      <c r="G803" s="2" t="s">
        <v>45</v>
      </c>
      <c r="H803" s="2" t="s">
        <v>54</v>
      </c>
      <c r="I803" s="2" t="s">
        <v>121</v>
      </c>
      <c r="J803" s="2" t="s">
        <v>133</v>
      </c>
      <c r="K803" s="2">
        <v>932.19</v>
      </c>
      <c r="L803" s="2" t="str">
        <f t="shared" si="72"/>
        <v>January</v>
      </c>
      <c r="M803" s="2" t="str">
        <f t="shared" si="73"/>
        <v>January</v>
      </c>
      <c r="N803" t="str">
        <f t="shared" si="74"/>
        <v>Delivered</v>
      </c>
      <c r="O803">
        <f t="shared" si="75"/>
        <v>2</v>
      </c>
      <c r="P803" t="str">
        <f t="shared" si="76"/>
        <v>Completed</v>
      </c>
      <c r="Q803" t="str">
        <f t="shared" si="77"/>
        <v>Fast</v>
      </c>
      <c r="R803" t="str">
        <f>_xlfn.XLOOKUP(B803,CustomerMaster!$A$2:$A$287,CustomerMaster!$B$2:$B$287)</f>
        <v>Customer_273</v>
      </c>
      <c r="S803" t="str">
        <f>_xlfn.XLOOKUP(C803,ProductMaster!$A$2:$A$51,ProductMaster!$B$2:$B$51)</f>
        <v>Product_38</v>
      </c>
      <c r="T803" t="str">
        <f>_xlfn.XLOOKUP(G803,RegionMaster!$A$2:$A$5,RegionMaster!$B$2:$B$5)</f>
        <v>D</v>
      </c>
    </row>
    <row r="804" spans="1:20" ht="15.75" customHeight="1">
      <c r="A804" s="2" t="s">
        <v>1514</v>
      </c>
      <c r="B804" s="2" t="s">
        <v>187</v>
      </c>
      <c r="C804" s="2" t="s">
        <v>87</v>
      </c>
      <c r="D804" s="3">
        <v>45741</v>
      </c>
      <c r="E804" s="3">
        <v>45743</v>
      </c>
      <c r="F804" s="4"/>
      <c r="G804" s="2" t="s">
        <v>7</v>
      </c>
      <c r="H804" s="2" t="s">
        <v>16</v>
      </c>
      <c r="I804" s="2" t="s">
        <v>178</v>
      </c>
      <c r="J804" s="2" t="s">
        <v>94</v>
      </c>
      <c r="K804" s="2">
        <v>2966.18</v>
      </c>
      <c r="L804" s="2" t="str">
        <f t="shared" si="72"/>
        <v>March</v>
      </c>
      <c r="M804" s="2" t="str">
        <f t="shared" si="73"/>
        <v>March</v>
      </c>
      <c r="N804" t="str">
        <f t="shared" si="74"/>
        <v>Delivered</v>
      </c>
      <c r="O804">
        <f t="shared" si="75"/>
        <v>2</v>
      </c>
      <c r="P804" t="str">
        <f t="shared" si="76"/>
        <v>Completed</v>
      </c>
      <c r="Q804" t="str">
        <f t="shared" si="77"/>
        <v>Fast</v>
      </c>
      <c r="R804" t="str">
        <f>_xlfn.XLOOKUP(B804,CustomerMaster!$A$2:$A$287,CustomerMaster!$B$2:$B$287)</f>
        <v>Customer_60</v>
      </c>
      <c r="S804" t="str">
        <f>_xlfn.XLOOKUP(C804,ProductMaster!$A$2:$A$51,ProductMaster!$B$2:$B$51)</f>
        <v>Product_15</v>
      </c>
      <c r="T804" t="str">
        <f>_xlfn.XLOOKUP(G804,RegionMaster!$A$2:$A$5,RegionMaster!$B$2:$B$5)</f>
        <v>A</v>
      </c>
    </row>
    <row r="805" spans="1:20" ht="15.75" customHeight="1">
      <c r="A805" s="2" t="s">
        <v>1515</v>
      </c>
      <c r="B805" s="2" t="s">
        <v>419</v>
      </c>
      <c r="C805" s="2" t="s">
        <v>29</v>
      </c>
      <c r="D805" s="3">
        <v>45751</v>
      </c>
      <c r="E805" s="3">
        <v>45757</v>
      </c>
      <c r="F805" s="4"/>
      <c r="G805" s="2" t="s">
        <v>17</v>
      </c>
      <c r="H805" s="2" t="s">
        <v>27</v>
      </c>
      <c r="I805" s="2" t="s">
        <v>90</v>
      </c>
      <c r="J805" s="2" t="s">
        <v>133</v>
      </c>
      <c r="K805" s="2">
        <v>3112.23</v>
      </c>
      <c r="L805" s="2" t="str">
        <f t="shared" si="72"/>
        <v>April</v>
      </c>
      <c r="M805" s="2" t="str">
        <f t="shared" si="73"/>
        <v>April</v>
      </c>
      <c r="N805" t="str">
        <f t="shared" si="74"/>
        <v>Delivered</v>
      </c>
      <c r="O805">
        <f t="shared" si="75"/>
        <v>6</v>
      </c>
      <c r="P805" t="str">
        <f t="shared" si="76"/>
        <v>Completed</v>
      </c>
      <c r="Q805" t="str">
        <f t="shared" si="77"/>
        <v>Slow</v>
      </c>
      <c r="R805" t="str">
        <f>_xlfn.XLOOKUP(B805,CustomerMaster!$A$2:$A$287,CustomerMaster!$B$2:$B$287)</f>
        <v>Customer_113</v>
      </c>
      <c r="S805" t="str">
        <f>_xlfn.XLOOKUP(C805,ProductMaster!$A$2:$A$51,ProductMaster!$B$2:$B$51)</f>
        <v>Product_2</v>
      </c>
      <c r="T805" t="str">
        <f>_xlfn.XLOOKUP(G805,RegionMaster!$A$2:$A$5,RegionMaster!$B$2:$B$5)</f>
        <v>B</v>
      </c>
    </row>
    <row r="806" spans="1:20" ht="15.75" customHeight="1">
      <c r="A806" s="2" t="s">
        <v>1516</v>
      </c>
      <c r="B806" s="2" t="s">
        <v>570</v>
      </c>
      <c r="C806" s="2" t="s">
        <v>204</v>
      </c>
      <c r="D806" s="3">
        <v>45731</v>
      </c>
      <c r="E806" s="3">
        <v>45735</v>
      </c>
      <c r="F806" s="4"/>
      <c r="G806" s="2" t="s">
        <v>17</v>
      </c>
      <c r="H806" s="2" t="s">
        <v>54</v>
      </c>
      <c r="I806" s="2" t="s">
        <v>178</v>
      </c>
      <c r="J806" s="2" t="s">
        <v>133</v>
      </c>
      <c r="K806" s="2">
        <v>2235.83</v>
      </c>
      <c r="L806" s="2" t="str">
        <f t="shared" si="72"/>
        <v>March</v>
      </c>
      <c r="M806" s="2" t="str">
        <f t="shared" si="73"/>
        <v>March</v>
      </c>
      <c r="N806" t="str">
        <f t="shared" si="74"/>
        <v>Delivered</v>
      </c>
      <c r="O806">
        <f t="shared" si="75"/>
        <v>4</v>
      </c>
      <c r="P806" t="str">
        <f t="shared" si="76"/>
        <v>Completed</v>
      </c>
      <c r="Q806" t="str">
        <f t="shared" si="77"/>
        <v>Slow</v>
      </c>
      <c r="R806" t="str">
        <f>_xlfn.XLOOKUP(B806,CustomerMaster!$A$2:$A$287,CustomerMaster!$B$2:$B$287)</f>
        <v>Customer_175</v>
      </c>
      <c r="S806" t="str">
        <f>_xlfn.XLOOKUP(C806,ProductMaster!$A$2:$A$51,ProductMaster!$B$2:$B$51)</f>
        <v>Product_46</v>
      </c>
      <c r="T806" t="str">
        <f>_xlfn.XLOOKUP(G806,RegionMaster!$A$2:$A$5,RegionMaster!$B$2:$B$5)</f>
        <v>B</v>
      </c>
    </row>
    <row r="807" spans="1:20" ht="15.75" customHeight="1">
      <c r="A807" s="2" t="s">
        <v>1517</v>
      </c>
      <c r="B807" s="2" t="s">
        <v>673</v>
      </c>
      <c r="C807" s="2" t="s">
        <v>43</v>
      </c>
      <c r="D807" s="3">
        <v>45720</v>
      </c>
      <c r="E807" s="3">
        <v>45723</v>
      </c>
      <c r="F807" s="4"/>
      <c r="G807" s="2" t="s">
        <v>22</v>
      </c>
      <c r="H807" s="2" t="s">
        <v>59</v>
      </c>
      <c r="I807" s="2" t="s">
        <v>195</v>
      </c>
      <c r="J807" s="2" t="s">
        <v>107</v>
      </c>
      <c r="K807" s="2">
        <v>3734.93</v>
      </c>
      <c r="L807" s="2" t="str">
        <f t="shared" si="72"/>
        <v>March</v>
      </c>
      <c r="M807" s="2" t="str">
        <f t="shared" si="73"/>
        <v>March</v>
      </c>
      <c r="N807" t="str">
        <f t="shared" si="74"/>
        <v>Delivered</v>
      </c>
      <c r="O807">
        <f t="shared" si="75"/>
        <v>3</v>
      </c>
      <c r="P807" t="str">
        <f t="shared" si="76"/>
        <v>Completed</v>
      </c>
      <c r="Q807" t="str">
        <f t="shared" si="77"/>
        <v>Slow</v>
      </c>
      <c r="R807" t="str">
        <f>_xlfn.XLOOKUP(B807,CustomerMaster!$A$2:$A$287,CustomerMaster!$B$2:$B$287)</f>
        <v>Customer_219</v>
      </c>
      <c r="S807" t="str">
        <f>_xlfn.XLOOKUP(C807,ProductMaster!$A$2:$A$51,ProductMaster!$B$2:$B$51)</f>
        <v>Product_5</v>
      </c>
      <c r="T807" t="str">
        <f>_xlfn.XLOOKUP(G807,RegionMaster!$A$2:$A$5,RegionMaster!$B$2:$B$5)</f>
        <v>C</v>
      </c>
    </row>
    <row r="808" spans="1:20" ht="15.75" customHeight="1">
      <c r="A808" s="2" t="s">
        <v>1518</v>
      </c>
      <c r="B808" s="2" t="s">
        <v>676</v>
      </c>
      <c r="C808" s="2" t="s">
        <v>95</v>
      </c>
      <c r="D808" s="3">
        <v>45767</v>
      </c>
      <c r="E808" s="3">
        <v>45769</v>
      </c>
      <c r="F808" s="4"/>
      <c r="G808" s="2" t="s">
        <v>22</v>
      </c>
      <c r="H808" s="2" t="s">
        <v>59</v>
      </c>
      <c r="I808" s="2" t="s">
        <v>195</v>
      </c>
      <c r="J808" s="2" t="s">
        <v>107</v>
      </c>
      <c r="K808" s="2">
        <v>4684.96</v>
      </c>
      <c r="L808" s="2" t="str">
        <f t="shared" si="72"/>
        <v>April</v>
      </c>
      <c r="M808" s="2" t="str">
        <f t="shared" si="73"/>
        <v>April</v>
      </c>
      <c r="N808" t="str">
        <f t="shared" si="74"/>
        <v>Delivered</v>
      </c>
      <c r="O808">
        <f t="shared" si="75"/>
        <v>2</v>
      </c>
      <c r="P808" t="str">
        <f t="shared" si="76"/>
        <v>Completed</v>
      </c>
      <c r="Q808" t="str">
        <f t="shared" si="77"/>
        <v>Fast</v>
      </c>
      <c r="R808" t="str">
        <f>_xlfn.XLOOKUP(B808,CustomerMaster!$A$2:$A$287,CustomerMaster!$B$2:$B$287)</f>
        <v>Customer_220</v>
      </c>
      <c r="S808" t="str">
        <f>_xlfn.XLOOKUP(C808,ProductMaster!$A$2:$A$51,ProductMaster!$B$2:$B$51)</f>
        <v>Product_17</v>
      </c>
      <c r="T808" t="str">
        <f>_xlfn.XLOOKUP(G808,RegionMaster!$A$2:$A$5,RegionMaster!$B$2:$B$5)</f>
        <v>C</v>
      </c>
    </row>
    <row r="809" spans="1:20" ht="15.75" customHeight="1">
      <c r="A809" s="2" t="s">
        <v>1519</v>
      </c>
      <c r="B809" s="2" t="s">
        <v>617</v>
      </c>
      <c r="C809" s="2" t="s">
        <v>69</v>
      </c>
      <c r="D809" s="3">
        <v>45759</v>
      </c>
      <c r="E809" s="3">
        <v>45763</v>
      </c>
      <c r="F809" s="4"/>
      <c r="G809" s="2" t="s">
        <v>17</v>
      </c>
      <c r="H809" s="2" t="s">
        <v>54</v>
      </c>
      <c r="I809" s="2" t="s">
        <v>90</v>
      </c>
      <c r="J809" s="2" t="s">
        <v>133</v>
      </c>
      <c r="K809" s="2">
        <v>4642.7299999999996</v>
      </c>
      <c r="L809" s="2" t="str">
        <f t="shared" si="72"/>
        <v>April</v>
      </c>
      <c r="M809" s="2" t="str">
        <f t="shared" si="73"/>
        <v>April</v>
      </c>
      <c r="N809" t="str">
        <f t="shared" si="74"/>
        <v>Delivered</v>
      </c>
      <c r="O809">
        <f t="shared" si="75"/>
        <v>4</v>
      </c>
      <c r="P809" t="str">
        <f t="shared" si="76"/>
        <v>Completed</v>
      </c>
      <c r="Q809" t="str">
        <f t="shared" si="77"/>
        <v>Slow</v>
      </c>
      <c r="R809" t="str">
        <f>_xlfn.XLOOKUP(B809,CustomerMaster!$A$2:$A$287,CustomerMaster!$B$2:$B$287)</f>
        <v>Customer_194</v>
      </c>
      <c r="S809" t="str">
        <f>_xlfn.XLOOKUP(C809,ProductMaster!$A$2:$A$51,ProductMaster!$B$2:$B$51)</f>
        <v>Product_9</v>
      </c>
      <c r="T809" t="str">
        <f>_xlfn.XLOOKUP(G809,RegionMaster!$A$2:$A$5,RegionMaster!$B$2:$B$5)</f>
        <v>B</v>
      </c>
    </row>
    <row r="810" spans="1:20" ht="15.75" customHeight="1">
      <c r="A810" s="2" t="s">
        <v>1520</v>
      </c>
      <c r="B810" s="2" t="s">
        <v>323</v>
      </c>
      <c r="C810" s="2" t="s">
        <v>142</v>
      </c>
      <c r="D810" s="3">
        <v>45671</v>
      </c>
      <c r="E810" s="3">
        <v>45674</v>
      </c>
      <c r="F810" s="4"/>
      <c r="G810" s="2" t="s">
        <v>7</v>
      </c>
      <c r="H810" s="2" t="s">
        <v>54</v>
      </c>
      <c r="I810" s="2" t="s">
        <v>121</v>
      </c>
      <c r="J810" s="2" t="s">
        <v>94</v>
      </c>
      <c r="K810" s="2">
        <v>2364.0300000000002</v>
      </c>
      <c r="L810" s="2" t="str">
        <f t="shared" si="72"/>
        <v>January</v>
      </c>
      <c r="M810" s="2" t="str">
        <f t="shared" si="73"/>
        <v>January</v>
      </c>
      <c r="N810" t="str">
        <f t="shared" si="74"/>
        <v>Delivered</v>
      </c>
      <c r="O810">
        <f t="shared" si="75"/>
        <v>3</v>
      </c>
      <c r="P810" t="str">
        <f t="shared" si="76"/>
        <v>Completed</v>
      </c>
      <c r="Q810" t="str">
        <f t="shared" si="77"/>
        <v>Slow</v>
      </c>
      <c r="R810" t="str">
        <f>_xlfn.XLOOKUP(B810,CustomerMaster!$A$2:$A$287,CustomerMaster!$B$2:$B$287)</f>
        <v>Customer_71</v>
      </c>
      <c r="S810" t="str">
        <f>_xlfn.XLOOKUP(C810,ProductMaster!$A$2:$A$51,ProductMaster!$B$2:$B$51)</f>
        <v>Product_29</v>
      </c>
      <c r="T810" t="str">
        <f>_xlfn.XLOOKUP(G810,RegionMaster!$A$2:$A$5,RegionMaster!$B$2:$B$5)</f>
        <v>A</v>
      </c>
    </row>
    <row r="811" spans="1:20" ht="15.75" customHeight="1">
      <c r="A811" s="2" t="s">
        <v>1521</v>
      </c>
      <c r="B811" s="2" t="s">
        <v>261</v>
      </c>
      <c r="C811" s="2" t="s">
        <v>122</v>
      </c>
      <c r="D811" s="3">
        <v>45704</v>
      </c>
      <c r="E811" s="3">
        <v>45707</v>
      </c>
      <c r="F811" s="4"/>
      <c r="G811" s="2" t="s">
        <v>7</v>
      </c>
      <c r="H811" s="2" t="s">
        <v>16</v>
      </c>
      <c r="I811" s="2" t="s">
        <v>195</v>
      </c>
      <c r="J811" s="2" t="s">
        <v>107</v>
      </c>
      <c r="K811" s="2">
        <v>743.54</v>
      </c>
      <c r="L811" s="2" t="str">
        <f t="shared" si="72"/>
        <v>February</v>
      </c>
      <c r="M811" s="2" t="str">
        <f t="shared" si="73"/>
        <v>February</v>
      </c>
      <c r="N811" t="str">
        <f t="shared" si="74"/>
        <v>Delivered</v>
      </c>
      <c r="O811">
        <f t="shared" si="75"/>
        <v>3</v>
      </c>
      <c r="P811" t="str">
        <f t="shared" si="76"/>
        <v>Completed</v>
      </c>
      <c r="Q811" t="str">
        <f t="shared" si="77"/>
        <v>Slow</v>
      </c>
      <c r="R811" t="str">
        <f>_xlfn.XLOOKUP(B811,CustomerMaster!$A$2:$A$287,CustomerMaster!$B$2:$B$287)</f>
        <v>Customer_255</v>
      </c>
      <c r="S811" t="str">
        <f>_xlfn.XLOOKUP(C811,ProductMaster!$A$2:$A$51,ProductMaster!$B$2:$B$51)</f>
        <v>Product_23</v>
      </c>
      <c r="T811" t="str">
        <f>_xlfn.XLOOKUP(G811,RegionMaster!$A$2:$A$5,RegionMaster!$B$2:$B$5)</f>
        <v>A</v>
      </c>
    </row>
    <row r="812" spans="1:20" ht="15.75" customHeight="1">
      <c r="A812" s="2" t="s">
        <v>1522</v>
      </c>
      <c r="B812" s="2" t="s">
        <v>392</v>
      </c>
      <c r="C812" s="2" t="s">
        <v>39</v>
      </c>
      <c r="D812" s="3">
        <v>45731</v>
      </c>
      <c r="E812" s="3">
        <v>45733</v>
      </c>
      <c r="F812" s="4"/>
      <c r="G812" s="2" t="s">
        <v>22</v>
      </c>
      <c r="H812" s="2" t="s">
        <v>37</v>
      </c>
      <c r="I812" s="2" t="s">
        <v>106</v>
      </c>
      <c r="J812" s="2" t="s">
        <v>107</v>
      </c>
      <c r="K812" s="2">
        <v>4927.24</v>
      </c>
      <c r="L812" s="2" t="str">
        <f t="shared" si="72"/>
        <v>March</v>
      </c>
      <c r="M812" s="2" t="str">
        <f t="shared" si="73"/>
        <v>March</v>
      </c>
      <c r="N812" t="str">
        <f t="shared" si="74"/>
        <v>Delivered</v>
      </c>
      <c r="O812">
        <f t="shared" si="75"/>
        <v>2</v>
      </c>
      <c r="P812" t="str">
        <f t="shared" si="76"/>
        <v>Completed</v>
      </c>
      <c r="Q812" t="str">
        <f t="shared" si="77"/>
        <v>Fast</v>
      </c>
      <c r="R812" t="str">
        <f>_xlfn.XLOOKUP(B812,CustomerMaster!$A$2:$A$287,CustomerMaster!$B$2:$B$287)</f>
        <v>Customer_101</v>
      </c>
      <c r="S812" t="str">
        <f>_xlfn.XLOOKUP(C812,ProductMaster!$A$2:$A$51,ProductMaster!$B$2:$B$51)</f>
        <v>Product_4</v>
      </c>
      <c r="T812" t="str">
        <f>_xlfn.XLOOKUP(G812,RegionMaster!$A$2:$A$5,RegionMaster!$B$2:$B$5)</f>
        <v>C</v>
      </c>
    </row>
    <row r="813" spans="1:20" ht="15.75" customHeight="1">
      <c r="A813" s="2" t="s">
        <v>1523</v>
      </c>
      <c r="B813" s="2" t="s">
        <v>377</v>
      </c>
      <c r="C813" s="2" t="s">
        <v>122</v>
      </c>
      <c r="D813" s="3">
        <v>45771</v>
      </c>
      <c r="E813" s="3">
        <v>45777</v>
      </c>
      <c r="F813" s="4"/>
      <c r="G813" s="2" t="s">
        <v>17</v>
      </c>
      <c r="H813" s="2" t="s">
        <v>27</v>
      </c>
      <c r="I813" s="2" t="s">
        <v>195</v>
      </c>
      <c r="J813" s="2" t="s">
        <v>94</v>
      </c>
      <c r="K813" s="2">
        <v>4226.71</v>
      </c>
      <c r="L813" s="2" t="str">
        <f t="shared" si="72"/>
        <v>April</v>
      </c>
      <c r="M813" s="2" t="str">
        <f t="shared" si="73"/>
        <v>April</v>
      </c>
      <c r="N813" t="str">
        <f t="shared" si="74"/>
        <v>Delivered</v>
      </c>
      <c r="O813">
        <f t="shared" si="75"/>
        <v>6</v>
      </c>
      <c r="P813" t="str">
        <f t="shared" si="76"/>
        <v>Completed</v>
      </c>
      <c r="Q813" t="str">
        <f t="shared" si="77"/>
        <v>Slow</v>
      </c>
      <c r="R813" t="str">
        <f>_xlfn.XLOOKUP(B813,CustomerMaster!$A$2:$A$287,CustomerMaster!$B$2:$B$287)</f>
        <v>Customer_271</v>
      </c>
      <c r="S813" t="str">
        <f>_xlfn.XLOOKUP(C813,ProductMaster!$A$2:$A$51,ProductMaster!$B$2:$B$51)</f>
        <v>Product_23</v>
      </c>
      <c r="T813" t="str">
        <f>_xlfn.XLOOKUP(G813,RegionMaster!$A$2:$A$5,RegionMaster!$B$2:$B$5)</f>
        <v>B</v>
      </c>
    </row>
    <row r="814" spans="1:20" ht="15.75" customHeight="1">
      <c r="A814" s="2" t="s">
        <v>1524</v>
      </c>
      <c r="B814" s="2" t="s">
        <v>496</v>
      </c>
      <c r="C814" s="2" t="s">
        <v>95</v>
      </c>
      <c r="D814" s="3">
        <v>45683</v>
      </c>
      <c r="E814" s="3">
        <v>45689</v>
      </c>
      <c r="F814" s="4"/>
      <c r="G814" s="2" t="s">
        <v>7</v>
      </c>
      <c r="H814" s="2" t="s">
        <v>59</v>
      </c>
      <c r="I814" s="2" t="s">
        <v>90</v>
      </c>
      <c r="J814" s="2" t="s">
        <v>133</v>
      </c>
      <c r="K814" s="2">
        <v>798.38</v>
      </c>
      <c r="L814" s="2" t="str">
        <f t="shared" si="72"/>
        <v>January</v>
      </c>
      <c r="M814" s="2" t="str">
        <f t="shared" si="73"/>
        <v>February</v>
      </c>
      <c r="N814" t="str">
        <f t="shared" si="74"/>
        <v>Delivered</v>
      </c>
      <c r="O814">
        <f t="shared" si="75"/>
        <v>6</v>
      </c>
      <c r="P814" t="str">
        <f t="shared" si="76"/>
        <v>Completed</v>
      </c>
      <c r="Q814" t="str">
        <f t="shared" si="77"/>
        <v>Slow</v>
      </c>
      <c r="R814" t="str">
        <f>_xlfn.XLOOKUP(B814,CustomerMaster!$A$2:$A$287,CustomerMaster!$B$2:$B$287)</f>
        <v>Customer_145</v>
      </c>
      <c r="S814" t="str">
        <f>_xlfn.XLOOKUP(C814,ProductMaster!$A$2:$A$51,ProductMaster!$B$2:$B$51)</f>
        <v>Product_17</v>
      </c>
      <c r="T814" t="str">
        <f>_xlfn.XLOOKUP(G814,RegionMaster!$A$2:$A$5,RegionMaster!$B$2:$B$5)</f>
        <v>A</v>
      </c>
    </row>
    <row r="815" spans="1:20" ht="15.75" customHeight="1">
      <c r="A815" s="2" t="s">
        <v>1525</v>
      </c>
      <c r="B815" s="2" t="s">
        <v>676</v>
      </c>
      <c r="C815" s="2" t="s">
        <v>125</v>
      </c>
      <c r="D815" s="3">
        <v>45766</v>
      </c>
      <c r="E815" s="3">
        <v>45768</v>
      </c>
      <c r="F815" s="4"/>
      <c r="G815" s="2" t="s">
        <v>45</v>
      </c>
      <c r="H815" s="2" t="s">
        <v>59</v>
      </c>
      <c r="I815" s="2" t="s">
        <v>121</v>
      </c>
      <c r="J815" s="2" t="s">
        <v>94</v>
      </c>
      <c r="K815" s="2">
        <v>4620.04</v>
      </c>
      <c r="L815" s="2" t="str">
        <f t="shared" si="72"/>
        <v>April</v>
      </c>
      <c r="M815" s="2" t="str">
        <f t="shared" si="73"/>
        <v>April</v>
      </c>
      <c r="N815" t="str">
        <f t="shared" si="74"/>
        <v>Delivered</v>
      </c>
      <c r="O815">
        <f t="shared" si="75"/>
        <v>2</v>
      </c>
      <c r="P815" t="str">
        <f t="shared" si="76"/>
        <v>Completed</v>
      </c>
      <c r="Q815" t="str">
        <f t="shared" si="77"/>
        <v>Fast</v>
      </c>
      <c r="R815" t="str">
        <f>_xlfn.XLOOKUP(B815,CustomerMaster!$A$2:$A$287,CustomerMaster!$B$2:$B$287)</f>
        <v>Customer_220</v>
      </c>
      <c r="S815" t="str">
        <f>_xlfn.XLOOKUP(C815,ProductMaster!$A$2:$A$51,ProductMaster!$B$2:$B$51)</f>
        <v>Product_24</v>
      </c>
      <c r="T815" t="str">
        <f>_xlfn.XLOOKUP(G815,RegionMaster!$A$2:$A$5,RegionMaster!$B$2:$B$5)</f>
        <v>D</v>
      </c>
    </row>
    <row r="816" spans="1:20" ht="15.75" customHeight="1">
      <c r="A816" s="2" t="s">
        <v>1526</v>
      </c>
      <c r="B816" s="2" t="s">
        <v>517</v>
      </c>
      <c r="C816" s="2" t="s">
        <v>20</v>
      </c>
      <c r="D816" s="3">
        <v>45770</v>
      </c>
      <c r="E816" s="4"/>
      <c r="F816" s="3">
        <v>45772</v>
      </c>
      <c r="G816" s="2" t="s">
        <v>45</v>
      </c>
      <c r="H816" s="2" t="s">
        <v>59</v>
      </c>
      <c r="I816" s="2" t="s">
        <v>195</v>
      </c>
      <c r="J816" s="2" t="s">
        <v>107</v>
      </c>
      <c r="K816" s="2">
        <v>4375.5</v>
      </c>
      <c r="L816" s="2" t="str">
        <f t="shared" si="72"/>
        <v>April</v>
      </c>
      <c r="M816" s="2" t="str">
        <f t="shared" si="73"/>
        <v>Cancelled</v>
      </c>
      <c r="N816" t="str">
        <f t="shared" si="74"/>
        <v>Cancelled</v>
      </c>
      <c r="O816" t="str">
        <f t="shared" si="75"/>
        <v>Order Cancelled</v>
      </c>
      <c r="P816" t="str">
        <f t="shared" si="76"/>
        <v>Cancelled</v>
      </c>
      <c r="Q816" t="str">
        <f t="shared" si="77"/>
        <v>Cancelled</v>
      </c>
      <c r="R816" t="str">
        <f>_xlfn.XLOOKUP(B816,CustomerMaster!$A$2:$A$287,CustomerMaster!$B$2:$B$287)</f>
        <v>Customer_153</v>
      </c>
      <c r="S816" t="str">
        <f>_xlfn.XLOOKUP(C816,ProductMaster!$A$2:$A$51,ProductMaster!$B$2:$B$51)</f>
        <v>Product_1</v>
      </c>
      <c r="T816" t="str">
        <f>_xlfn.XLOOKUP(G816,RegionMaster!$A$2:$A$5,RegionMaster!$B$2:$B$5)</f>
        <v>D</v>
      </c>
    </row>
    <row r="817" spans="1:20" ht="15.75" customHeight="1">
      <c r="A817" s="2" t="s">
        <v>1527</v>
      </c>
      <c r="B817" s="2" t="s">
        <v>233</v>
      </c>
      <c r="C817" s="2" t="s">
        <v>138</v>
      </c>
      <c r="D817" s="3">
        <v>45715</v>
      </c>
      <c r="E817" s="4"/>
      <c r="F817" s="3">
        <v>45715</v>
      </c>
      <c r="G817" s="2" t="s">
        <v>17</v>
      </c>
      <c r="H817" s="2" t="s">
        <v>59</v>
      </c>
      <c r="I817" s="2" t="s">
        <v>178</v>
      </c>
      <c r="J817" s="2" t="s">
        <v>133</v>
      </c>
      <c r="K817" s="2">
        <v>2690.42</v>
      </c>
      <c r="L817" s="2" t="str">
        <f t="shared" si="72"/>
        <v>February</v>
      </c>
      <c r="M817" s="2" t="str">
        <f t="shared" si="73"/>
        <v>Cancelled</v>
      </c>
      <c r="N817" t="str">
        <f t="shared" si="74"/>
        <v>Cancelled</v>
      </c>
      <c r="O817" t="str">
        <f t="shared" si="75"/>
        <v>Order Cancelled</v>
      </c>
      <c r="P817" t="str">
        <f t="shared" si="76"/>
        <v>Cancelled</v>
      </c>
      <c r="Q817" t="str">
        <f t="shared" si="77"/>
        <v>Cancelled</v>
      </c>
      <c r="R817" t="str">
        <f>_xlfn.XLOOKUP(B817,CustomerMaster!$A$2:$A$287,CustomerMaster!$B$2:$B$287)</f>
        <v>Customer_35</v>
      </c>
      <c r="S817" t="str">
        <f>_xlfn.XLOOKUP(C817,ProductMaster!$A$2:$A$51,ProductMaster!$B$2:$B$51)</f>
        <v>Product_28</v>
      </c>
      <c r="T817" t="str">
        <f>_xlfn.XLOOKUP(G817,RegionMaster!$A$2:$A$5,RegionMaster!$B$2:$B$5)</f>
        <v>B</v>
      </c>
    </row>
    <row r="818" spans="1:20" ht="15.75" customHeight="1">
      <c r="A818" s="2" t="s">
        <v>1528</v>
      </c>
      <c r="B818" s="2" t="s">
        <v>11</v>
      </c>
      <c r="C818" s="2" t="s">
        <v>43</v>
      </c>
      <c r="D818" s="3">
        <v>45702</v>
      </c>
      <c r="E818" s="3">
        <v>45703</v>
      </c>
      <c r="F818" s="4"/>
      <c r="G818" s="2" t="s">
        <v>22</v>
      </c>
      <c r="H818" s="2" t="s">
        <v>54</v>
      </c>
      <c r="I818" s="2" t="s">
        <v>178</v>
      </c>
      <c r="J818" s="2" t="s">
        <v>94</v>
      </c>
      <c r="K818" s="2">
        <v>3038.12</v>
      </c>
      <c r="L818" s="2" t="str">
        <f t="shared" si="72"/>
        <v>February</v>
      </c>
      <c r="M818" s="2" t="str">
        <f t="shared" si="73"/>
        <v>February</v>
      </c>
      <c r="N818" t="str">
        <f t="shared" si="74"/>
        <v>Delivered</v>
      </c>
      <c r="O818">
        <f t="shared" si="75"/>
        <v>1</v>
      </c>
      <c r="P818" t="str">
        <f t="shared" si="76"/>
        <v>Completed</v>
      </c>
      <c r="Q818" t="str">
        <f t="shared" si="77"/>
        <v>Fast</v>
      </c>
      <c r="R818" t="str">
        <f>_xlfn.XLOOKUP(B818,CustomerMaster!$A$2:$A$287,CustomerMaster!$B$2:$B$287)</f>
        <v>Customer_0</v>
      </c>
      <c r="S818" t="str">
        <f>_xlfn.XLOOKUP(C818,ProductMaster!$A$2:$A$51,ProductMaster!$B$2:$B$51)</f>
        <v>Product_5</v>
      </c>
      <c r="T818" t="str">
        <f>_xlfn.XLOOKUP(G818,RegionMaster!$A$2:$A$5,RegionMaster!$B$2:$B$5)</f>
        <v>C</v>
      </c>
    </row>
    <row r="819" spans="1:20" ht="15.75" customHeight="1">
      <c r="A819" s="2" t="s">
        <v>1529</v>
      </c>
      <c r="B819" s="2" t="s">
        <v>286</v>
      </c>
      <c r="C819" s="2" t="s">
        <v>39</v>
      </c>
      <c r="D819" s="3">
        <v>45704</v>
      </c>
      <c r="E819" s="3">
        <v>45708</v>
      </c>
      <c r="F819" s="4"/>
      <c r="G819" s="2" t="s">
        <v>22</v>
      </c>
      <c r="H819" s="2" t="s">
        <v>59</v>
      </c>
      <c r="I819" s="2" t="s">
        <v>178</v>
      </c>
      <c r="J819" s="2" t="s">
        <v>107</v>
      </c>
      <c r="K819" s="2">
        <v>2115.21</v>
      </c>
      <c r="L819" s="2" t="str">
        <f t="shared" si="72"/>
        <v>February</v>
      </c>
      <c r="M819" s="2" t="str">
        <f t="shared" si="73"/>
        <v>February</v>
      </c>
      <c r="N819" t="str">
        <f t="shared" si="74"/>
        <v>Delivered</v>
      </c>
      <c r="O819">
        <f t="shared" si="75"/>
        <v>4</v>
      </c>
      <c r="P819" t="str">
        <f t="shared" si="76"/>
        <v>Completed</v>
      </c>
      <c r="Q819" t="str">
        <f t="shared" si="77"/>
        <v>Slow</v>
      </c>
      <c r="R819" t="str">
        <f>_xlfn.XLOOKUP(B819,CustomerMaster!$A$2:$A$287,CustomerMaster!$B$2:$B$287)</f>
        <v>Customer_55</v>
      </c>
      <c r="S819" t="str">
        <f>_xlfn.XLOOKUP(C819,ProductMaster!$A$2:$A$51,ProductMaster!$B$2:$B$51)</f>
        <v>Product_4</v>
      </c>
      <c r="T819" t="str">
        <f>_xlfn.XLOOKUP(G819,RegionMaster!$A$2:$A$5,RegionMaster!$B$2:$B$5)</f>
        <v>C</v>
      </c>
    </row>
    <row r="820" spans="1:20" ht="15.75" customHeight="1">
      <c r="A820" s="2" t="s">
        <v>1530</v>
      </c>
      <c r="B820" s="2" t="s">
        <v>610</v>
      </c>
      <c r="C820" s="2" t="s">
        <v>72</v>
      </c>
      <c r="D820" s="3">
        <v>45740</v>
      </c>
      <c r="E820" s="3">
        <v>45742</v>
      </c>
      <c r="F820" s="4"/>
      <c r="G820" s="2" t="s">
        <v>17</v>
      </c>
      <c r="H820" s="2" t="s">
        <v>16</v>
      </c>
      <c r="I820" s="2" t="s">
        <v>195</v>
      </c>
      <c r="J820" s="2" t="s">
        <v>107</v>
      </c>
      <c r="K820" s="2">
        <v>462.86</v>
      </c>
      <c r="L820" s="2" t="str">
        <f t="shared" si="72"/>
        <v>March</v>
      </c>
      <c r="M820" s="2" t="str">
        <f t="shared" si="73"/>
        <v>March</v>
      </c>
      <c r="N820" t="str">
        <f t="shared" si="74"/>
        <v>Delivered</v>
      </c>
      <c r="O820">
        <f t="shared" si="75"/>
        <v>2</v>
      </c>
      <c r="P820" t="str">
        <f t="shared" si="76"/>
        <v>Completed</v>
      </c>
      <c r="Q820" t="str">
        <f t="shared" si="77"/>
        <v>Fast</v>
      </c>
      <c r="R820" t="str">
        <f>_xlfn.XLOOKUP(B820,CustomerMaster!$A$2:$A$287,CustomerMaster!$B$2:$B$287)</f>
        <v>Customer_191</v>
      </c>
      <c r="S820" t="str">
        <f>_xlfn.XLOOKUP(C820,ProductMaster!$A$2:$A$51,ProductMaster!$B$2:$B$51)</f>
        <v>Product_10</v>
      </c>
      <c r="T820" t="str">
        <f>_xlfn.XLOOKUP(G820,RegionMaster!$A$2:$A$5,RegionMaster!$B$2:$B$5)</f>
        <v>B</v>
      </c>
    </row>
    <row r="821" spans="1:20" ht="15.75" customHeight="1">
      <c r="A821" s="2" t="s">
        <v>1531</v>
      </c>
      <c r="B821" s="2" t="s">
        <v>436</v>
      </c>
      <c r="C821" s="2" t="s">
        <v>162</v>
      </c>
      <c r="D821" s="3">
        <v>45678</v>
      </c>
      <c r="E821" s="4"/>
      <c r="F821" s="3">
        <v>45678</v>
      </c>
      <c r="G821" s="2" t="s">
        <v>17</v>
      </c>
      <c r="H821" s="2" t="s">
        <v>27</v>
      </c>
      <c r="I821" s="2" t="s">
        <v>195</v>
      </c>
      <c r="J821" s="2" t="s">
        <v>107</v>
      </c>
      <c r="K821" s="2">
        <v>1808.95</v>
      </c>
      <c r="L821" s="2" t="str">
        <f t="shared" si="72"/>
        <v>January</v>
      </c>
      <c r="M821" s="2" t="str">
        <f t="shared" si="73"/>
        <v>Cancelled</v>
      </c>
      <c r="N821" t="str">
        <f t="shared" si="74"/>
        <v>Cancelled</v>
      </c>
      <c r="O821" t="str">
        <f t="shared" si="75"/>
        <v>Order Cancelled</v>
      </c>
      <c r="P821" t="str">
        <f t="shared" si="76"/>
        <v>Cancelled</v>
      </c>
      <c r="Q821" t="str">
        <f t="shared" si="77"/>
        <v>Cancelled</v>
      </c>
      <c r="R821" t="str">
        <f>_xlfn.XLOOKUP(B821,CustomerMaster!$A$2:$A$287,CustomerMaster!$B$2:$B$287)</f>
        <v>Customer_120</v>
      </c>
      <c r="S821" t="str">
        <f>_xlfn.XLOOKUP(C821,ProductMaster!$A$2:$A$51,ProductMaster!$B$2:$B$51)</f>
        <v>Product_35</v>
      </c>
      <c r="T821" t="str">
        <f>_xlfn.XLOOKUP(G821,RegionMaster!$A$2:$A$5,RegionMaster!$B$2:$B$5)</f>
        <v>B</v>
      </c>
    </row>
    <row r="822" spans="1:20" ht="15.75" customHeight="1">
      <c r="A822" s="2" t="s">
        <v>1532</v>
      </c>
      <c r="B822" s="2" t="s">
        <v>726</v>
      </c>
      <c r="C822" s="2" t="s">
        <v>153</v>
      </c>
      <c r="D822" s="3">
        <v>45683</v>
      </c>
      <c r="E822" s="3">
        <v>45687</v>
      </c>
      <c r="F822" s="4"/>
      <c r="G822" s="2" t="s">
        <v>22</v>
      </c>
      <c r="H822" s="2" t="s">
        <v>37</v>
      </c>
      <c r="I822" s="2" t="s">
        <v>121</v>
      </c>
      <c r="J822" s="2" t="s">
        <v>94</v>
      </c>
      <c r="K822" s="2">
        <v>4053.7</v>
      </c>
      <c r="L822" s="2" t="str">
        <f t="shared" si="72"/>
        <v>January</v>
      </c>
      <c r="M822" s="2" t="str">
        <f t="shared" si="73"/>
        <v>January</v>
      </c>
      <c r="N822" t="str">
        <f t="shared" si="74"/>
        <v>Delivered</v>
      </c>
      <c r="O822">
        <f t="shared" si="75"/>
        <v>4</v>
      </c>
      <c r="P822" t="str">
        <f t="shared" si="76"/>
        <v>Completed</v>
      </c>
      <c r="Q822" t="str">
        <f t="shared" si="77"/>
        <v>Slow</v>
      </c>
      <c r="R822" t="str">
        <f>_xlfn.XLOOKUP(B822,CustomerMaster!$A$2:$A$287,CustomerMaster!$B$2:$B$287)</f>
        <v>Customer_243</v>
      </c>
      <c r="S822" t="str">
        <f>_xlfn.XLOOKUP(C822,ProductMaster!$A$2:$A$51,ProductMaster!$B$2:$B$51)</f>
        <v>Product_32</v>
      </c>
      <c r="T822" t="str">
        <f>_xlfn.XLOOKUP(G822,RegionMaster!$A$2:$A$5,RegionMaster!$B$2:$B$5)</f>
        <v>C</v>
      </c>
    </row>
    <row r="823" spans="1:20" ht="15.75" customHeight="1">
      <c r="A823" s="2" t="s">
        <v>1533</v>
      </c>
      <c r="B823" s="2" t="s">
        <v>415</v>
      </c>
      <c r="C823" s="2" t="s">
        <v>180</v>
      </c>
      <c r="D823" s="3">
        <v>45746</v>
      </c>
      <c r="E823" s="4"/>
      <c r="F823" s="3">
        <v>45746</v>
      </c>
      <c r="G823" s="2" t="s">
        <v>22</v>
      </c>
      <c r="H823" s="2" t="s">
        <v>59</v>
      </c>
      <c r="I823" s="2" t="s">
        <v>90</v>
      </c>
      <c r="J823" s="2" t="s">
        <v>94</v>
      </c>
      <c r="K823" s="2">
        <v>222.23</v>
      </c>
      <c r="L823" s="2" t="str">
        <f t="shared" si="72"/>
        <v>March</v>
      </c>
      <c r="M823" s="2" t="str">
        <f t="shared" si="73"/>
        <v>Cancelled</v>
      </c>
      <c r="N823" t="str">
        <f t="shared" si="74"/>
        <v>Cancelled</v>
      </c>
      <c r="O823" t="str">
        <f t="shared" si="75"/>
        <v>Order Cancelled</v>
      </c>
      <c r="P823" t="str">
        <f t="shared" si="76"/>
        <v>Cancelled</v>
      </c>
      <c r="Q823" t="str">
        <f t="shared" si="77"/>
        <v>Cancelled</v>
      </c>
      <c r="R823" t="str">
        <f>_xlfn.XLOOKUP(B823,CustomerMaster!$A$2:$A$287,CustomerMaster!$B$2:$B$287)</f>
        <v>Customer_111</v>
      </c>
      <c r="S823" t="str">
        <f>_xlfn.XLOOKUP(C823,ProductMaster!$A$2:$A$51,ProductMaster!$B$2:$B$51)</f>
        <v>Product_40</v>
      </c>
      <c r="T823" t="str">
        <f>_xlfn.XLOOKUP(G823,RegionMaster!$A$2:$A$5,RegionMaster!$B$2:$B$5)</f>
        <v>C</v>
      </c>
    </row>
    <row r="824" spans="1:20" ht="15.75" customHeight="1">
      <c r="A824" s="2" t="s">
        <v>1534</v>
      </c>
      <c r="B824" s="2" t="s">
        <v>688</v>
      </c>
      <c r="C824" s="2" t="s">
        <v>160</v>
      </c>
      <c r="D824" s="3">
        <v>45723</v>
      </c>
      <c r="E824" s="3">
        <v>45724</v>
      </c>
      <c r="F824" s="4"/>
      <c r="G824" s="2" t="s">
        <v>7</v>
      </c>
      <c r="H824" s="2" t="s">
        <v>27</v>
      </c>
      <c r="I824" s="2" t="s">
        <v>195</v>
      </c>
      <c r="J824" s="2" t="s">
        <v>133</v>
      </c>
      <c r="K824" s="2">
        <v>1800.8</v>
      </c>
      <c r="L824" s="2" t="str">
        <f t="shared" si="72"/>
        <v>March</v>
      </c>
      <c r="M824" s="2" t="str">
        <f t="shared" si="73"/>
        <v>March</v>
      </c>
      <c r="N824" t="str">
        <f t="shared" si="74"/>
        <v>Delivered</v>
      </c>
      <c r="O824">
        <f t="shared" si="75"/>
        <v>1</v>
      </c>
      <c r="P824" t="str">
        <f t="shared" si="76"/>
        <v>Completed</v>
      </c>
      <c r="Q824" t="str">
        <f t="shared" si="77"/>
        <v>Fast</v>
      </c>
      <c r="R824" t="str">
        <f>_xlfn.XLOOKUP(B824,CustomerMaster!$A$2:$A$287,CustomerMaster!$B$2:$B$287)</f>
        <v>Customer_226</v>
      </c>
      <c r="S824" t="str">
        <f>_xlfn.XLOOKUP(C824,ProductMaster!$A$2:$A$51,ProductMaster!$B$2:$B$51)</f>
        <v>Product_34</v>
      </c>
      <c r="T824" t="str">
        <f>_xlfn.XLOOKUP(G824,RegionMaster!$A$2:$A$5,RegionMaster!$B$2:$B$5)</f>
        <v>A</v>
      </c>
    </row>
    <row r="825" spans="1:20" ht="15.75" customHeight="1">
      <c r="A825" s="2" t="s">
        <v>1535</v>
      </c>
      <c r="B825" s="2" t="s">
        <v>353</v>
      </c>
      <c r="C825" s="2" t="s">
        <v>157</v>
      </c>
      <c r="D825" s="3">
        <v>45772</v>
      </c>
      <c r="E825" s="4"/>
      <c r="F825" s="3">
        <v>45774</v>
      </c>
      <c r="G825" s="2" t="s">
        <v>17</v>
      </c>
      <c r="H825" s="2" t="s">
        <v>16</v>
      </c>
      <c r="I825" s="2" t="s">
        <v>121</v>
      </c>
      <c r="J825" s="2" t="s">
        <v>94</v>
      </c>
      <c r="K825" s="2">
        <v>2111.21</v>
      </c>
      <c r="L825" s="2" t="str">
        <f t="shared" si="72"/>
        <v>April</v>
      </c>
      <c r="M825" s="2" t="str">
        <f t="shared" si="73"/>
        <v>Cancelled</v>
      </c>
      <c r="N825" t="str">
        <f t="shared" si="74"/>
        <v>Cancelled</v>
      </c>
      <c r="O825" t="str">
        <f t="shared" si="75"/>
        <v>Order Cancelled</v>
      </c>
      <c r="P825" t="str">
        <f t="shared" si="76"/>
        <v>Cancelled</v>
      </c>
      <c r="Q825" t="str">
        <f t="shared" si="77"/>
        <v>Cancelled</v>
      </c>
      <c r="R825" t="str">
        <f>_xlfn.XLOOKUP(B825,CustomerMaster!$A$2:$A$287,CustomerMaster!$B$2:$B$287)</f>
        <v>Customer_84</v>
      </c>
      <c r="S825" t="str">
        <f>_xlfn.XLOOKUP(C825,ProductMaster!$A$2:$A$51,ProductMaster!$B$2:$B$51)</f>
        <v>Product_33</v>
      </c>
      <c r="T825" t="str">
        <f>_xlfn.XLOOKUP(G825,RegionMaster!$A$2:$A$5,RegionMaster!$B$2:$B$5)</f>
        <v>B</v>
      </c>
    </row>
    <row r="826" spans="1:20" ht="15.75" customHeight="1">
      <c r="A826" s="2" t="s">
        <v>1536</v>
      </c>
      <c r="B826" s="2" t="s">
        <v>113</v>
      </c>
      <c r="C826" s="2" t="s">
        <v>72</v>
      </c>
      <c r="D826" s="3">
        <v>45683</v>
      </c>
      <c r="E826" s="3">
        <v>45685</v>
      </c>
      <c r="F826" s="4"/>
      <c r="G826" s="2" t="s">
        <v>22</v>
      </c>
      <c r="H826" s="2" t="s">
        <v>27</v>
      </c>
      <c r="I826" s="2" t="s">
        <v>106</v>
      </c>
      <c r="J826" s="2" t="s">
        <v>94</v>
      </c>
      <c r="K826" s="2">
        <v>2779.5</v>
      </c>
      <c r="L826" s="2" t="str">
        <f t="shared" si="72"/>
        <v>January</v>
      </c>
      <c r="M826" s="2" t="str">
        <f t="shared" si="73"/>
        <v>January</v>
      </c>
      <c r="N826" t="str">
        <f t="shared" si="74"/>
        <v>Delivered</v>
      </c>
      <c r="O826">
        <f t="shared" si="75"/>
        <v>2</v>
      </c>
      <c r="P826" t="str">
        <f t="shared" si="76"/>
        <v>Completed</v>
      </c>
      <c r="Q826" t="str">
        <f t="shared" si="77"/>
        <v>Fast</v>
      </c>
      <c r="R826" t="str">
        <f>_xlfn.XLOOKUP(B826,CustomerMaster!$A$2:$A$287,CustomerMaster!$B$2:$B$287)</f>
        <v>Customer_136</v>
      </c>
      <c r="S826" t="str">
        <f>_xlfn.XLOOKUP(C826,ProductMaster!$A$2:$A$51,ProductMaster!$B$2:$B$51)</f>
        <v>Product_10</v>
      </c>
      <c r="T826" t="str">
        <f>_xlfn.XLOOKUP(G826,RegionMaster!$A$2:$A$5,RegionMaster!$B$2:$B$5)</f>
        <v>C</v>
      </c>
    </row>
    <row r="827" spans="1:20" ht="15.75" customHeight="1">
      <c r="A827" s="2" t="s">
        <v>1537</v>
      </c>
      <c r="B827" s="2" t="s">
        <v>344</v>
      </c>
      <c r="C827" s="2" t="s">
        <v>157</v>
      </c>
      <c r="D827" s="3">
        <v>45764</v>
      </c>
      <c r="E827" s="3">
        <v>45766</v>
      </c>
      <c r="F827" s="4"/>
      <c r="G827" s="2" t="s">
        <v>17</v>
      </c>
      <c r="H827" s="2" t="s">
        <v>54</v>
      </c>
      <c r="I827" s="2" t="s">
        <v>90</v>
      </c>
      <c r="J827" s="2" t="s">
        <v>107</v>
      </c>
      <c r="K827" s="2">
        <v>4615.3100000000004</v>
      </c>
      <c r="L827" s="2" t="str">
        <f t="shared" si="72"/>
        <v>April</v>
      </c>
      <c r="M827" s="2" t="str">
        <f t="shared" si="73"/>
        <v>April</v>
      </c>
      <c r="N827" t="str">
        <f t="shared" si="74"/>
        <v>Delivered</v>
      </c>
      <c r="O827">
        <f t="shared" si="75"/>
        <v>2</v>
      </c>
      <c r="P827" t="str">
        <f t="shared" si="76"/>
        <v>Completed</v>
      </c>
      <c r="Q827" t="str">
        <f t="shared" si="77"/>
        <v>Fast</v>
      </c>
      <c r="R827" t="str">
        <f>_xlfn.XLOOKUP(B827,CustomerMaster!$A$2:$A$287,CustomerMaster!$B$2:$B$287)</f>
        <v>Customer_80</v>
      </c>
      <c r="S827" t="str">
        <f>_xlfn.XLOOKUP(C827,ProductMaster!$A$2:$A$51,ProductMaster!$B$2:$B$51)</f>
        <v>Product_33</v>
      </c>
      <c r="T827" t="str">
        <f>_xlfn.XLOOKUP(G827,RegionMaster!$A$2:$A$5,RegionMaster!$B$2:$B$5)</f>
        <v>B</v>
      </c>
    </row>
    <row r="828" spans="1:20" ht="15.75" customHeight="1">
      <c r="A828" s="2" t="s">
        <v>1538</v>
      </c>
      <c r="B828" s="2" t="s">
        <v>528</v>
      </c>
      <c r="C828" s="2" t="s">
        <v>183</v>
      </c>
      <c r="D828" s="3">
        <v>45662</v>
      </c>
      <c r="E828" s="3">
        <v>45666</v>
      </c>
      <c r="F828" s="4"/>
      <c r="G828" s="2" t="s">
        <v>7</v>
      </c>
      <c r="H828" s="2" t="s">
        <v>59</v>
      </c>
      <c r="I828" s="2" t="s">
        <v>121</v>
      </c>
      <c r="J828" s="2" t="s">
        <v>107</v>
      </c>
      <c r="K828" s="2">
        <v>1862.46</v>
      </c>
      <c r="L828" s="2" t="str">
        <f t="shared" si="72"/>
        <v>January</v>
      </c>
      <c r="M828" s="2" t="str">
        <f t="shared" si="73"/>
        <v>January</v>
      </c>
      <c r="N828" t="str">
        <f t="shared" si="74"/>
        <v>Delivered</v>
      </c>
      <c r="O828">
        <f t="shared" si="75"/>
        <v>4</v>
      </c>
      <c r="P828" t="str">
        <f t="shared" si="76"/>
        <v>Completed</v>
      </c>
      <c r="Q828" t="str">
        <f t="shared" si="77"/>
        <v>Slow</v>
      </c>
      <c r="R828" t="str">
        <f>_xlfn.XLOOKUP(B828,CustomerMaster!$A$2:$A$287,CustomerMaster!$B$2:$B$287)</f>
        <v>Customer_157</v>
      </c>
      <c r="S828" t="str">
        <f>_xlfn.XLOOKUP(C828,ProductMaster!$A$2:$A$51,ProductMaster!$B$2:$B$51)</f>
        <v>Product_41</v>
      </c>
      <c r="T828" t="str">
        <f>_xlfn.XLOOKUP(G828,RegionMaster!$A$2:$A$5,RegionMaster!$B$2:$B$5)</f>
        <v>A</v>
      </c>
    </row>
    <row r="829" spans="1:20" ht="15.75" customHeight="1">
      <c r="A829" s="2" t="s">
        <v>1539</v>
      </c>
      <c r="B829" s="2" t="s">
        <v>270</v>
      </c>
      <c r="C829" s="2" t="s">
        <v>128</v>
      </c>
      <c r="D829" s="3">
        <v>45669</v>
      </c>
      <c r="E829" s="3">
        <v>45673</v>
      </c>
      <c r="F829" s="4"/>
      <c r="G829" s="2" t="s">
        <v>45</v>
      </c>
      <c r="H829" s="2" t="s">
        <v>59</v>
      </c>
      <c r="I829" s="2" t="s">
        <v>195</v>
      </c>
      <c r="J829" s="2" t="s">
        <v>94</v>
      </c>
      <c r="K829" s="2">
        <v>1865.38</v>
      </c>
      <c r="L829" s="2" t="str">
        <f t="shared" si="72"/>
        <v>January</v>
      </c>
      <c r="M829" s="2" t="str">
        <f t="shared" si="73"/>
        <v>January</v>
      </c>
      <c r="N829" t="str">
        <f t="shared" si="74"/>
        <v>Delivered</v>
      </c>
      <c r="O829">
        <f t="shared" si="75"/>
        <v>4</v>
      </c>
      <c r="P829" t="str">
        <f t="shared" si="76"/>
        <v>Completed</v>
      </c>
      <c r="Q829" t="str">
        <f t="shared" si="77"/>
        <v>Slow</v>
      </c>
      <c r="R829" t="str">
        <f>_xlfn.XLOOKUP(B829,CustomerMaster!$A$2:$A$287,CustomerMaster!$B$2:$B$287)</f>
        <v>Customer_49</v>
      </c>
      <c r="S829" t="str">
        <f>_xlfn.XLOOKUP(C829,ProductMaster!$A$2:$A$51,ProductMaster!$B$2:$B$51)</f>
        <v>Product_25</v>
      </c>
      <c r="T829" t="str">
        <f>_xlfn.XLOOKUP(G829,RegionMaster!$A$2:$A$5,RegionMaster!$B$2:$B$5)</f>
        <v>D</v>
      </c>
    </row>
    <row r="830" spans="1:20" ht="15.75" customHeight="1">
      <c r="A830" s="2" t="s">
        <v>1540</v>
      </c>
      <c r="B830" s="2" t="s">
        <v>76</v>
      </c>
      <c r="C830" s="2" t="s">
        <v>91</v>
      </c>
      <c r="D830" s="3">
        <v>45691</v>
      </c>
      <c r="E830" s="4"/>
      <c r="F830" s="3">
        <v>45692</v>
      </c>
      <c r="G830" s="2" t="s">
        <v>7</v>
      </c>
      <c r="H830" s="2" t="s">
        <v>16</v>
      </c>
      <c r="I830" s="2" t="s">
        <v>90</v>
      </c>
      <c r="J830" s="2" t="s">
        <v>107</v>
      </c>
      <c r="K830" s="2">
        <v>3740.01</v>
      </c>
      <c r="L830" s="2" t="str">
        <f t="shared" si="72"/>
        <v>February</v>
      </c>
      <c r="M830" s="2" t="str">
        <f t="shared" si="73"/>
        <v>Cancelled</v>
      </c>
      <c r="N830" t="str">
        <f t="shared" si="74"/>
        <v>Cancelled</v>
      </c>
      <c r="O830" t="str">
        <f t="shared" si="75"/>
        <v>Order Cancelled</v>
      </c>
      <c r="P830" t="str">
        <f t="shared" si="76"/>
        <v>Cancelled</v>
      </c>
      <c r="Q830" t="str">
        <f t="shared" si="77"/>
        <v>Cancelled</v>
      </c>
      <c r="R830" t="str">
        <f>_xlfn.XLOOKUP(B830,CustomerMaster!$A$2:$A$287,CustomerMaster!$B$2:$B$287)</f>
        <v>Customer_9</v>
      </c>
      <c r="S830" t="str">
        <f>_xlfn.XLOOKUP(C830,ProductMaster!$A$2:$A$51,ProductMaster!$B$2:$B$51)</f>
        <v>Product_16</v>
      </c>
      <c r="T830" t="str">
        <f>_xlfn.XLOOKUP(G830,RegionMaster!$A$2:$A$5,RegionMaster!$B$2:$B$5)</f>
        <v>A</v>
      </c>
    </row>
    <row r="831" spans="1:20" ht="15.75" customHeight="1">
      <c r="A831" s="2" t="s">
        <v>1541</v>
      </c>
      <c r="B831" s="2" t="s">
        <v>667</v>
      </c>
      <c r="C831" s="2" t="s">
        <v>9</v>
      </c>
      <c r="D831" s="3">
        <v>45729</v>
      </c>
      <c r="E831" s="3">
        <v>45730</v>
      </c>
      <c r="F831" s="4"/>
      <c r="G831" s="2" t="s">
        <v>17</v>
      </c>
      <c r="H831" s="2" t="s">
        <v>27</v>
      </c>
      <c r="I831" s="2" t="s">
        <v>90</v>
      </c>
      <c r="J831" s="2" t="s">
        <v>107</v>
      </c>
      <c r="K831" s="2">
        <v>2370.65</v>
      </c>
      <c r="L831" s="2" t="str">
        <f t="shared" si="72"/>
        <v>March</v>
      </c>
      <c r="M831" s="2" t="str">
        <f t="shared" si="73"/>
        <v>March</v>
      </c>
      <c r="N831" t="str">
        <f t="shared" si="74"/>
        <v>Delivered</v>
      </c>
      <c r="O831">
        <f t="shared" si="75"/>
        <v>1</v>
      </c>
      <c r="P831" t="str">
        <f t="shared" si="76"/>
        <v>Completed</v>
      </c>
      <c r="Q831" t="str">
        <f t="shared" si="77"/>
        <v>Fast</v>
      </c>
      <c r="R831" t="str">
        <f>_xlfn.XLOOKUP(B831,CustomerMaster!$A$2:$A$287,CustomerMaster!$B$2:$B$287)</f>
        <v>Customer_216</v>
      </c>
      <c r="S831" t="str">
        <f>_xlfn.XLOOKUP(C831,ProductMaster!$A$2:$A$51,ProductMaster!$B$2:$B$51)</f>
        <v>Product_0</v>
      </c>
      <c r="T831" t="str">
        <f>_xlfn.XLOOKUP(G831,RegionMaster!$A$2:$A$5,RegionMaster!$B$2:$B$5)</f>
        <v>B</v>
      </c>
    </row>
    <row r="832" spans="1:20" ht="15.75" customHeight="1">
      <c r="A832" s="2" t="s">
        <v>1542</v>
      </c>
      <c r="B832" s="2" t="s">
        <v>419</v>
      </c>
      <c r="C832" s="2" t="s">
        <v>114</v>
      </c>
      <c r="D832" s="3">
        <v>45778</v>
      </c>
      <c r="E832" s="3">
        <v>45780</v>
      </c>
      <c r="F832" s="4"/>
      <c r="G832" s="2" t="s">
        <v>45</v>
      </c>
      <c r="H832" s="2" t="s">
        <v>27</v>
      </c>
      <c r="I832" s="2" t="s">
        <v>106</v>
      </c>
      <c r="J832" s="2" t="s">
        <v>107</v>
      </c>
      <c r="K832" s="2">
        <v>1278.0999999999999</v>
      </c>
      <c r="L832" s="2" t="str">
        <f t="shared" si="72"/>
        <v>May</v>
      </c>
      <c r="M832" s="2" t="str">
        <f t="shared" si="73"/>
        <v>May</v>
      </c>
      <c r="N832" t="str">
        <f t="shared" si="74"/>
        <v>Delivered</v>
      </c>
      <c r="O832">
        <f t="shared" si="75"/>
        <v>2</v>
      </c>
      <c r="P832" t="str">
        <f t="shared" si="76"/>
        <v>Completed</v>
      </c>
      <c r="Q832" t="str">
        <f t="shared" si="77"/>
        <v>Fast</v>
      </c>
      <c r="R832" t="str">
        <f>_xlfn.XLOOKUP(B832,CustomerMaster!$A$2:$A$287,CustomerMaster!$B$2:$B$287)</f>
        <v>Customer_113</v>
      </c>
      <c r="S832" t="str">
        <f>_xlfn.XLOOKUP(C832,ProductMaster!$A$2:$A$51,ProductMaster!$B$2:$B$51)</f>
        <v>Product_21</v>
      </c>
      <c r="T832" t="str">
        <f>_xlfn.XLOOKUP(G832,RegionMaster!$A$2:$A$5,RegionMaster!$B$2:$B$5)</f>
        <v>D</v>
      </c>
    </row>
    <row r="833" spans="1:20" ht="15.75" customHeight="1">
      <c r="A833" s="2" t="s">
        <v>1543</v>
      </c>
      <c r="B833" s="2" t="s">
        <v>771</v>
      </c>
      <c r="C833" s="2" t="s">
        <v>101</v>
      </c>
      <c r="D833" s="3">
        <v>45728</v>
      </c>
      <c r="E833" s="3">
        <v>45733</v>
      </c>
      <c r="F833" s="4"/>
      <c r="G833" s="2" t="s">
        <v>7</v>
      </c>
      <c r="H833" s="2" t="s">
        <v>27</v>
      </c>
      <c r="I833" s="2" t="s">
        <v>121</v>
      </c>
      <c r="J833" s="2" t="s">
        <v>133</v>
      </c>
      <c r="K833" s="2">
        <v>2371.71</v>
      </c>
      <c r="L833" s="2" t="str">
        <f t="shared" si="72"/>
        <v>March</v>
      </c>
      <c r="M833" s="2" t="str">
        <f t="shared" si="73"/>
        <v>March</v>
      </c>
      <c r="N833" t="str">
        <f t="shared" si="74"/>
        <v>Delivered</v>
      </c>
      <c r="O833">
        <f t="shared" si="75"/>
        <v>5</v>
      </c>
      <c r="P833" t="str">
        <f t="shared" si="76"/>
        <v>Completed</v>
      </c>
      <c r="Q833" t="str">
        <f t="shared" si="77"/>
        <v>Slow</v>
      </c>
      <c r="R833" t="str">
        <f>_xlfn.XLOOKUP(B833,CustomerMaster!$A$2:$A$287,CustomerMaster!$B$2:$B$287)</f>
        <v>Customer_266</v>
      </c>
      <c r="S833" t="str">
        <f>_xlfn.XLOOKUP(C833,ProductMaster!$A$2:$A$51,ProductMaster!$B$2:$B$51)</f>
        <v>Product_27</v>
      </c>
      <c r="T833" t="str">
        <f>_xlfn.XLOOKUP(G833,RegionMaster!$A$2:$A$5,RegionMaster!$B$2:$B$5)</f>
        <v>A</v>
      </c>
    </row>
    <row r="834" spans="1:20" ht="15.75" customHeight="1">
      <c r="A834" s="2" t="s">
        <v>1544</v>
      </c>
      <c r="B834" s="2" t="s">
        <v>292</v>
      </c>
      <c r="C834" s="2" t="s">
        <v>183</v>
      </c>
      <c r="D834" s="3">
        <v>45772</v>
      </c>
      <c r="E834" s="4"/>
      <c r="F834" s="3">
        <v>45774</v>
      </c>
      <c r="G834" s="2" t="s">
        <v>22</v>
      </c>
      <c r="H834" s="2" t="s">
        <v>54</v>
      </c>
      <c r="I834" s="2" t="s">
        <v>90</v>
      </c>
      <c r="J834" s="2" t="s">
        <v>94</v>
      </c>
      <c r="K834" s="2">
        <v>876.11</v>
      </c>
      <c r="L834" s="2" t="str">
        <f t="shared" si="72"/>
        <v>April</v>
      </c>
      <c r="M834" s="2" t="str">
        <f t="shared" si="73"/>
        <v>Cancelled</v>
      </c>
      <c r="N834" t="str">
        <f t="shared" si="74"/>
        <v>Cancelled</v>
      </c>
      <c r="O834" t="str">
        <f t="shared" si="75"/>
        <v>Order Cancelled</v>
      </c>
      <c r="P834" t="str">
        <f t="shared" si="76"/>
        <v>Cancelled</v>
      </c>
      <c r="Q834" t="str">
        <f t="shared" si="77"/>
        <v>Cancelled</v>
      </c>
      <c r="R834" t="str">
        <f>_xlfn.XLOOKUP(B834,CustomerMaster!$A$2:$A$287,CustomerMaster!$B$2:$B$287)</f>
        <v>Customer_57</v>
      </c>
      <c r="S834" t="str">
        <f>_xlfn.XLOOKUP(C834,ProductMaster!$A$2:$A$51,ProductMaster!$B$2:$B$51)</f>
        <v>Product_41</v>
      </c>
      <c r="T834" t="str">
        <f>_xlfn.XLOOKUP(G834,RegionMaster!$A$2:$A$5,RegionMaster!$B$2:$B$5)</f>
        <v>C</v>
      </c>
    </row>
    <row r="835" spans="1:20" ht="15.75" customHeight="1">
      <c r="A835" s="2" t="s">
        <v>1545</v>
      </c>
      <c r="B835" s="2" t="s">
        <v>44</v>
      </c>
      <c r="C835" s="2" t="s">
        <v>210</v>
      </c>
      <c r="D835" s="3">
        <v>45664</v>
      </c>
      <c r="E835" s="3">
        <v>45668</v>
      </c>
      <c r="F835" s="4"/>
      <c r="G835" s="2" t="s">
        <v>22</v>
      </c>
      <c r="H835" s="2" t="s">
        <v>16</v>
      </c>
      <c r="I835" s="2" t="s">
        <v>121</v>
      </c>
      <c r="J835" s="2" t="s">
        <v>94</v>
      </c>
      <c r="K835" s="2">
        <v>1046.6600000000001</v>
      </c>
      <c r="L835" s="2" t="str">
        <f t="shared" ref="L835:L898" si="78">TEXT(D835,"MMMM")</f>
        <v>January</v>
      </c>
      <c r="M835" s="2" t="str">
        <f t="shared" ref="M835:M898" si="79">IF(NOT(ISBLANK(E835)),TEXT(E835,"MMMM"),"Cancelled")</f>
        <v>January</v>
      </c>
      <c r="N835" t="str">
        <f t="shared" ref="N835:N898" si="80">IF(F835="","Delivered","Cancelled")</f>
        <v>Delivered</v>
      </c>
      <c r="O835">
        <f t="shared" ref="O835:O898" si="81">IF(E835="","Order Cancelled",_xlfn.DAYS(E835,D835))</f>
        <v>4</v>
      </c>
      <c r="P835" t="str">
        <f t="shared" ref="P835:P898" si="82">IF(F835="","Completed","Cancelled")</f>
        <v>Completed</v>
      </c>
      <c r="Q835" t="str">
        <f t="shared" ref="Q835:Q898" si="83">IF(O835="Order Cancelled","Cancelled",IF(O835&lt;=2,"Fast","Slow"))</f>
        <v>Slow</v>
      </c>
      <c r="R835" t="str">
        <f>_xlfn.XLOOKUP(B835,CustomerMaster!$A$2:$A$287,CustomerMaster!$B$2:$B$287)</f>
        <v>Customer_4</v>
      </c>
      <c r="S835" t="str">
        <f>_xlfn.XLOOKUP(C835,ProductMaster!$A$2:$A$51,ProductMaster!$B$2:$B$51)</f>
        <v>Product_48</v>
      </c>
      <c r="T835" t="str">
        <f>_xlfn.XLOOKUP(G835,RegionMaster!$A$2:$A$5,RegionMaster!$B$2:$B$5)</f>
        <v>C</v>
      </c>
    </row>
    <row r="836" spans="1:20" ht="15.75" customHeight="1">
      <c r="A836" s="2" t="s">
        <v>1546</v>
      </c>
      <c r="B836" s="2" t="s">
        <v>748</v>
      </c>
      <c r="C836" s="2" t="s">
        <v>29</v>
      </c>
      <c r="D836" s="3">
        <v>45712</v>
      </c>
      <c r="E836" s="3">
        <v>45715</v>
      </c>
      <c r="F836" s="4"/>
      <c r="G836" s="2" t="s">
        <v>17</v>
      </c>
      <c r="H836" s="2" t="s">
        <v>54</v>
      </c>
      <c r="I836" s="2" t="s">
        <v>178</v>
      </c>
      <c r="J836" s="2" t="s">
        <v>107</v>
      </c>
      <c r="K836" s="2">
        <v>2592.17</v>
      </c>
      <c r="L836" s="2" t="str">
        <f t="shared" si="78"/>
        <v>February</v>
      </c>
      <c r="M836" s="2" t="str">
        <f t="shared" si="79"/>
        <v>February</v>
      </c>
      <c r="N836" t="str">
        <f t="shared" si="80"/>
        <v>Delivered</v>
      </c>
      <c r="O836">
        <f t="shared" si="81"/>
        <v>3</v>
      </c>
      <c r="P836" t="str">
        <f t="shared" si="82"/>
        <v>Completed</v>
      </c>
      <c r="Q836" t="str">
        <f t="shared" si="83"/>
        <v>Slow</v>
      </c>
      <c r="R836" t="str">
        <f>_xlfn.XLOOKUP(B836,CustomerMaster!$A$2:$A$287,CustomerMaster!$B$2:$B$287)</f>
        <v>Customer_253</v>
      </c>
      <c r="S836" t="str">
        <f>_xlfn.XLOOKUP(C836,ProductMaster!$A$2:$A$51,ProductMaster!$B$2:$B$51)</f>
        <v>Product_2</v>
      </c>
      <c r="T836" t="str">
        <f>_xlfn.XLOOKUP(G836,RegionMaster!$A$2:$A$5,RegionMaster!$B$2:$B$5)</f>
        <v>B</v>
      </c>
    </row>
    <row r="837" spans="1:20" ht="15.75" customHeight="1">
      <c r="A837" s="2" t="s">
        <v>1547</v>
      </c>
      <c r="B837" s="2" t="s">
        <v>615</v>
      </c>
      <c r="C837" s="2" t="s">
        <v>141</v>
      </c>
      <c r="D837" s="3">
        <v>45709</v>
      </c>
      <c r="E837" s="3">
        <v>45713</v>
      </c>
      <c r="F837" s="4"/>
      <c r="G837" s="2" t="s">
        <v>22</v>
      </c>
      <c r="H837" s="2" t="s">
        <v>59</v>
      </c>
      <c r="I837" s="2" t="s">
        <v>178</v>
      </c>
      <c r="J837" s="2" t="s">
        <v>107</v>
      </c>
      <c r="K837" s="2">
        <v>2210.84</v>
      </c>
      <c r="L837" s="2" t="str">
        <f t="shared" si="78"/>
        <v>February</v>
      </c>
      <c r="M837" s="2" t="str">
        <f t="shared" si="79"/>
        <v>February</v>
      </c>
      <c r="N837" t="str">
        <f t="shared" si="80"/>
        <v>Delivered</v>
      </c>
      <c r="O837">
        <f t="shared" si="81"/>
        <v>4</v>
      </c>
      <c r="P837" t="str">
        <f t="shared" si="82"/>
        <v>Completed</v>
      </c>
      <c r="Q837" t="str">
        <f t="shared" si="83"/>
        <v>Slow</v>
      </c>
      <c r="R837" t="str">
        <f>_xlfn.XLOOKUP(B837,CustomerMaster!$A$2:$A$287,CustomerMaster!$B$2:$B$287)</f>
        <v>Customer_193</v>
      </c>
      <c r="S837" t="str">
        <f>_xlfn.XLOOKUP(C837,ProductMaster!$A$2:$A$51,ProductMaster!$B$2:$B$51)</f>
        <v>Product_42</v>
      </c>
      <c r="T837" t="str">
        <f>_xlfn.XLOOKUP(G837,RegionMaster!$A$2:$A$5,RegionMaster!$B$2:$B$5)</f>
        <v>C</v>
      </c>
    </row>
    <row r="838" spans="1:20" ht="15.75" customHeight="1">
      <c r="A838" s="2" t="s">
        <v>1548</v>
      </c>
      <c r="B838" s="2" t="s">
        <v>570</v>
      </c>
      <c r="C838" s="2" t="s">
        <v>32</v>
      </c>
      <c r="D838" s="3">
        <v>45670</v>
      </c>
      <c r="E838" s="3">
        <v>45675</v>
      </c>
      <c r="F838" s="4"/>
      <c r="G838" s="2" t="s">
        <v>22</v>
      </c>
      <c r="H838" s="2" t="s">
        <v>37</v>
      </c>
      <c r="I838" s="2" t="s">
        <v>90</v>
      </c>
      <c r="J838" s="2" t="s">
        <v>94</v>
      </c>
      <c r="K838" s="2">
        <v>4591.26</v>
      </c>
      <c r="L838" s="2" t="str">
        <f t="shared" si="78"/>
        <v>January</v>
      </c>
      <c r="M838" s="2" t="str">
        <f t="shared" si="79"/>
        <v>January</v>
      </c>
      <c r="N838" t="str">
        <f t="shared" si="80"/>
        <v>Delivered</v>
      </c>
      <c r="O838">
        <f t="shared" si="81"/>
        <v>5</v>
      </c>
      <c r="P838" t="str">
        <f t="shared" si="82"/>
        <v>Completed</v>
      </c>
      <c r="Q838" t="str">
        <f t="shared" si="83"/>
        <v>Slow</v>
      </c>
      <c r="R838" t="str">
        <f>_xlfn.XLOOKUP(B838,CustomerMaster!$A$2:$A$287,CustomerMaster!$B$2:$B$287)</f>
        <v>Customer_175</v>
      </c>
      <c r="S838" t="str">
        <f>_xlfn.XLOOKUP(C838,ProductMaster!$A$2:$A$51,ProductMaster!$B$2:$B$51)</f>
        <v>Product_3</v>
      </c>
      <c r="T838" t="str">
        <f>_xlfn.XLOOKUP(G838,RegionMaster!$A$2:$A$5,RegionMaster!$B$2:$B$5)</f>
        <v>C</v>
      </c>
    </row>
    <row r="839" spans="1:20" ht="15.75" customHeight="1">
      <c r="A839" s="2" t="s">
        <v>1549</v>
      </c>
      <c r="B839" s="2" t="s">
        <v>386</v>
      </c>
      <c r="C839" s="2" t="s">
        <v>95</v>
      </c>
      <c r="D839" s="3">
        <v>45678</v>
      </c>
      <c r="E839" s="3">
        <v>45679</v>
      </c>
      <c r="F839" s="4"/>
      <c r="G839" s="2" t="s">
        <v>45</v>
      </c>
      <c r="H839" s="2" t="s">
        <v>27</v>
      </c>
      <c r="I839" s="2" t="s">
        <v>106</v>
      </c>
      <c r="J839" s="2" t="s">
        <v>94</v>
      </c>
      <c r="K839" s="2">
        <v>1939.49</v>
      </c>
      <c r="L839" s="2" t="str">
        <f t="shared" si="78"/>
        <v>January</v>
      </c>
      <c r="M839" s="2" t="str">
        <f t="shared" si="79"/>
        <v>January</v>
      </c>
      <c r="N839" t="str">
        <f t="shared" si="80"/>
        <v>Delivered</v>
      </c>
      <c r="O839">
        <f t="shared" si="81"/>
        <v>1</v>
      </c>
      <c r="P839" t="str">
        <f t="shared" si="82"/>
        <v>Completed</v>
      </c>
      <c r="Q839" t="str">
        <f t="shared" si="83"/>
        <v>Fast</v>
      </c>
      <c r="R839" t="str">
        <f>_xlfn.XLOOKUP(B839,CustomerMaster!$A$2:$A$287,CustomerMaster!$B$2:$B$287)</f>
        <v>Customer_99</v>
      </c>
      <c r="S839" t="str">
        <f>_xlfn.XLOOKUP(C839,ProductMaster!$A$2:$A$51,ProductMaster!$B$2:$B$51)</f>
        <v>Product_17</v>
      </c>
      <c r="T839" t="str">
        <f>_xlfn.XLOOKUP(G839,RegionMaster!$A$2:$A$5,RegionMaster!$B$2:$B$5)</f>
        <v>D</v>
      </c>
    </row>
    <row r="840" spans="1:20" ht="15.75" customHeight="1">
      <c r="A840" s="2" t="s">
        <v>1550</v>
      </c>
      <c r="B840" s="2" t="s">
        <v>549</v>
      </c>
      <c r="C840" s="2" t="s">
        <v>130</v>
      </c>
      <c r="D840" s="3">
        <v>45672</v>
      </c>
      <c r="E840" s="4"/>
      <c r="F840" s="3">
        <v>45674</v>
      </c>
      <c r="G840" s="2" t="s">
        <v>7</v>
      </c>
      <c r="H840" s="2" t="s">
        <v>27</v>
      </c>
      <c r="I840" s="2" t="s">
        <v>106</v>
      </c>
      <c r="J840" s="2" t="s">
        <v>107</v>
      </c>
      <c r="K840" s="2">
        <v>2986.82</v>
      </c>
      <c r="L840" s="2" t="str">
        <f t="shared" si="78"/>
        <v>January</v>
      </c>
      <c r="M840" s="2" t="str">
        <f t="shared" si="79"/>
        <v>Cancelled</v>
      </c>
      <c r="N840" t="str">
        <f t="shared" si="80"/>
        <v>Cancelled</v>
      </c>
      <c r="O840" t="str">
        <f t="shared" si="81"/>
        <v>Order Cancelled</v>
      </c>
      <c r="P840" t="str">
        <f t="shared" si="82"/>
        <v>Cancelled</v>
      </c>
      <c r="Q840" t="str">
        <f t="shared" si="83"/>
        <v>Cancelled</v>
      </c>
      <c r="R840" t="str">
        <f>_xlfn.XLOOKUP(B840,CustomerMaster!$A$2:$A$287,CustomerMaster!$B$2:$B$287)</f>
        <v>Customer_165</v>
      </c>
      <c r="S840" t="str">
        <f>_xlfn.XLOOKUP(C840,ProductMaster!$A$2:$A$51,ProductMaster!$B$2:$B$51)</f>
        <v>Product_26</v>
      </c>
      <c r="T840" t="str">
        <f>_xlfn.XLOOKUP(G840,RegionMaster!$A$2:$A$5,RegionMaster!$B$2:$B$5)</f>
        <v>A</v>
      </c>
    </row>
    <row r="841" spans="1:20" ht="15.75" customHeight="1">
      <c r="A841" s="2" t="s">
        <v>1551</v>
      </c>
      <c r="B841" s="2" t="s">
        <v>459</v>
      </c>
      <c r="C841" s="2" t="s">
        <v>142</v>
      </c>
      <c r="D841" s="3">
        <v>45726</v>
      </c>
      <c r="E841" s="3">
        <v>45731</v>
      </c>
      <c r="F841" s="4"/>
      <c r="G841" s="2" t="s">
        <v>22</v>
      </c>
      <c r="H841" s="2" t="s">
        <v>54</v>
      </c>
      <c r="I841" s="2" t="s">
        <v>121</v>
      </c>
      <c r="J841" s="2" t="s">
        <v>94</v>
      </c>
      <c r="K841" s="2">
        <v>3234.87</v>
      </c>
      <c r="L841" s="2" t="str">
        <f t="shared" si="78"/>
        <v>March</v>
      </c>
      <c r="M841" s="2" t="str">
        <f t="shared" si="79"/>
        <v>March</v>
      </c>
      <c r="N841" t="str">
        <f t="shared" si="80"/>
        <v>Delivered</v>
      </c>
      <c r="O841">
        <f t="shared" si="81"/>
        <v>5</v>
      </c>
      <c r="P841" t="str">
        <f t="shared" si="82"/>
        <v>Completed</v>
      </c>
      <c r="Q841" t="str">
        <f t="shared" si="83"/>
        <v>Slow</v>
      </c>
      <c r="R841" t="str">
        <f>_xlfn.XLOOKUP(B841,CustomerMaster!$A$2:$A$287,CustomerMaster!$B$2:$B$287)</f>
        <v>Customer_129</v>
      </c>
      <c r="S841" t="str">
        <f>_xlfn.XLOOKUP(C841,ProductMaster!$A$2:$A$51,ProductMaster!$B$2:$B$51)</f>
        <v>Product_29</v>
      </c>
      <c r="T841" t="str">
        <f>_xlfn.XLOOKUP(G841,RegionMaster!$A$2:$A$5,RegionMaster!$B$2:$B$5)</f>
        <v>C</v>
      </c>
    </row>
    <row r="842" spans="1:20" ht="15.75" customHeight="1">
      <c r="A842" s="2" t="s">
        <v>1552</v>
      </c>
      <c r="B842" s="2" t="s">
        <v>281</v>
      </c>
      <c r="C842" s="2" t="s">
        <v>104</v>
      </c>
      <c r="D842" s="3">
        <v>45669</v>
      </c>
      <c r="E842" s="4"/>
      <c r="F842" s="3">
        <v>45669</v>
      </c>
      <c r="G842" s="2" t="s">
        <v>22</v>
      </c>
      <c r="H842" s="2" t="s">
        <v>59</v>
      </c>
      <c r="I842" s="2" t="s">
        <v>121</v>
      </c>
      <c r="J842" s="2" t="s">
        <v>133</v>
      </c>
      <c r="K842" s="2">
        <v>262.85000000000002</v>
      </c>
      <c r="L842" s="2" t="str">
        <f t="shared" si="78"/>
        <v>January</v>
      </c>
      <c r="M842" s="2" t="str">
        <f t="shared" si="79"/>
        <v>Cancelled</v>
      </c>
      <c r="N842" t="str">
        <f t="shared" si="80"/>
        <v>Cancelled</v>
      </c>
      <c r="O842" t="str">
        <f t="shared" si="81"/>
        <v>Order Cancelled</v>
      </c>
      <c r="P842" t="str">
        <f t="shared" si="82"/>
        <v>Cancelled</v>
      </c>
      <c r="Q842" t="str">
        <f t="shared" si="83"/>
        <v>Cancelled</v>
      </c>
      <c r="R842" t="str">
        <f>_xlfn.XLOOKUP(B842,CustomerMaster!$A$2:$A$287,CustomerMaster!$B$2:$B$287)</f>
        <v>Customer_53</v>
      </c>
      <c r="S842" t="str">
        <f>_xlfn.XLOOKUP(C842,ProductMaster!$A$2:$A$51,ProductMaster!$B$2:$B$51)</f>
        <v>Product_19</v>
      </c>
      <c r="T842" t="str">
        <f>_xlfn.XLOOKUP(G842,RegionMaster!$A$2:$A$5,RegionMaster!$B$2:$B$5)</f>
        <v>C</v>
      </c>
    </row>
    <row r="843" spans="1:20" ht="15.75" customHeight="1">
      <c r="A843" s="2" t="s">
        <v>1553</v>
      </c>
      <c r="B843" s="2" t="s">
        <v>567</v>
      </c>
      <c r="C843" s="2" t="s">
        <v>173</v>
      </c>
      <c r="D843" s="3">
        <v>45703</v>
      </c>
      <c r="E843" s="4"/>
      <c r="F843" s="3">
        <v>45705</v>
      </c>
      <c r="G843" s="2" t="s">
        <v>7</v>
      </c>
      <c r="H843" s="2" t="s">
        <v>16</v>
      </c>
      <c r="I843" s="2" t="s">
        <v>178</v>
      </c>
      <c r="J843" s="2" t="s">
        <v>133</v>
      </c>
      <c r="K843" s="2">
        <v>3384.98</v>
      </c>
      <c r="L843" s="2" t="str">
        <f t="shared" si="78"/>
        <v>February</v>
      </c>
      <c r="M843" s="2" t="str">
        <f t="shared" si="79"/>
        <v>Cancelled</v>
      </c>
      <c r="N843" t="str">
        <f t="shared" si="80"/>
        <v>Cancelled</v>
      </c>
      <c r="O843" t="str">
        <f t="shared" si="81"/>
        <v>Order Cancelled</v>
      </c>
      <c r="P843" t="str">
        <f t="shared" si="82"/>
        <v>Cancelled</v>
      </c>
      <c r="Q843" t="str">
        <f t="shared" si="83"/>
        <v>Cancelled</v>
      </c>
      <c r="R843" t="str">
        <f>_xlfn.XLOOKUP(B843,CustomerMaster!$A$2:$A$287,CustomerMaster!$B$2:$B$287)</f>
        <v>Customer_174</v>
      </c>
      <c r="S843" t="str">
        <f>_xlfn.XLOOKUP(C843,ProductMaster!$A$2:$A$51,ProductMaster!$B$2:$B$51)</f>
        <v>Product_38</v>
      </c>
      <c r="T843" t="str">
        <f>_xlfn.XLOOKUP(G843,RegionMaster!$A$2:$A$5,RegionMaster!$B$2:$B$5)</f>
        <v>A</v>
      </c>
    </row>
    <row r="844" spans="1:20" ht="15.75" customHeight="1">
      <c r="A844" s="2" t="s">
        <v>1554</v>
      </c>
      <c r="B844" s="2" t="s">
        <v>99</v>
      </c>
      <c r="C844" s="2" t="s">
        <v>39</v>
      </c>
      <c r="D844" s="3">
        <v>45695</v>
      </c>
      <c r="E844" s="3">
        <v>45697</v>
      </c>
      <c r="F844" s="4"/>
      <c r="G844" s="2" t="s">
        <v>17</v>
      </c>
      <c r="H844" s="2" t="s">
        <v>16</v>
      </c>
      <c r="I844" s="2" t="s">
        <v>195</v>
      </c>
      <c r="J844" s="2" t="s">
        <v>133</v>
      </c>
      <c r="K844" s="2">
        <v>1054.57</v>
      </c>
      <c r="L844" s="2" t="str">
        <f t="shared" si="78"/>
        <v>February</v>
      </c>
      <c r="M844" s="2" t="str">
        <f t="shared" si="79"/>
        <v>February</v>
      </c>
      <c r="N844" t="str">
        <f t="shared" si="80"/>
        <v>Delivered</v>
      </c>
      <c r="O844">
        <f t="shared" si="81"/>
        <v>2</v>
      </c>
      <c r="P844" t="str">
        <f t="shared" si="82"/>
        <v>Completed</v>
      </c>
      <c r="Q844" t="str">
        <f t="shared" si="83"/>
        <v>Fast</v>
      </c>
      <c r="R844" t="str">
        <f>_xlfn.XLOOKUP(B844,CustomerMaster!$A$2:$A$287,CustomerMaster!$B$2:$B$287)</f>
        <v>Customer_140</v>
      </c>
      <c r="S844" t="str">
        <f>_xlfn.XLOOKUP(C844,ProductMaster!$A$2:$A$51,ProductMaster!$B$2:$B$51)</f>
        <v>Product_4</v>
      </c>
      <c r="T844" t="str">
        <f>_xlfn.XLOOKUP(G844,RegionMaster!$A$2:$A$5,RegionMaster!$B$2:$B$5)</f>
        <v>B</v>
      </c>
    </row>
    <row r="845" spans="1:20" ht="15.75" customHeight="1">
      <c r="A845" s="2" t="s">
        <v>1555</v>
      </c>
      <c r="B845" s="2" t="s">
        <v>247</v>
      </c>
      <c r="C845" s="2" t="s">
        <v>157</v>
      </c>
      <c r="D845" s="3">
        <v>45771</v>
      </c>
      <c r="E845" s="4"/>
      <c r="F845" s="3">
        <v>45772</v>
      </c>
      <c r="G845" s="2" t="s">
        <v>17</v>
      </c>
      <c r="H845" s="2" t="s">
        <v>54</v>
      </c>
      <c r="I845" s="2" t="s">
        <v>178</v>
      </c>
      <c r="J845" s="2" t="s">
        <v>107</v>
      </c>
      <c r="K845" s="2">
        <v>4813.1400000000003</v>
      </c>
      <c r="L845" s="2" t="str">
        <f t="shared" si="78"/>
        <v>April</v>
      </c>
      <c r="M845" s="2" t="str">
        <f t="shared" si="79"/>
        <v>Cancelled</v>
      </c>
      <c r="N845" t="str">
        <f t="shared" si="80"/>
        <v>Cancelled</v>
      </c>
      <c r="O845" t="str">
        <f t="shared" si="81"/>
        <v>Order Cancelled</v>
      </c>
      <c r="P845" t="str">
        <f t="shared" si="82"/>
        <v>Cancelled</v>
      </c>
      <c r="Q845" t="str">
        <f t="shared" si="83"/>
        <v>Cancelled</v>
      </c>
      <c r="R845" t="str">
        <f>_xlfn.XLOOKUP(B845,CustomerMaster!$A$2:$A$287,CustomerMaster!$B$2:$B$287)</f>
        <v>Customer_40</v>
      </c>
      <c r="S845" t="str">
        <f>_xlfn.XLOOKUP(C845,ProductMaster!$A$2:$A$51,ProductMaster!$B$2:$B$51)</f>
        <v>Product_33</v>
      </c>
      <c r="T845" t="str">
        <f>_xlfn.XLOOKUP(G845,RegionMaster!$A$2:$A$5,RegionMaster!$B$2:$B$5)</f>
        <v>B</v>
      </c>
    </row>
    <row r="846" spans="1:20" ht="15.75" customHeight="1">
      <c r="A846" s="2" t="s">
        <v>1556</v>
      </c>
      <c r="B846" s="2" t="s">
        <v>251</v>
      </c>
      <c r="C846" s="2" t="s">
        <v>32</v>
      </c>
      <c r="D846" s="3">
        <v>45705</v>
      </c>
      <c r="E846" s="3">
        <v>45707</v>
      </c>
      <c r="F846" s="4"/>
      <c r="G846" s="2" t="s">
        <v>7</v>
      </c>
      <c r="H846" s="2" t="s">
        <v>16</v>
      </c>
      <c r="I846" s="2" t="s">
        <v>195</v>
      </c>
      <c r="J846" s="2" t="s">
        <v>94</v>
      </c>
      <c r="K846" s="2">
        <v>913.58</v>
      </c>
      <c r="L846" s="2" t="str">
        <f t="shared" si="78"/>
        <v>February</v>
      </c>
      <c r="M846" s="2" t="str">
        <f t="shared" si="79"/>
        <v>February</v>
      </c>
      <c r="N846" t="str">
        <f t="shared" si="80"/>
        <v>Delivered</v>
      </c>
      <c r="O846">
        <f t="shared" si="81"/>
        <v>2</v>
      </c>
      <c r="P846" t="str">
        <f t="shared" si="82"/>
        <v>Completed</v>
      </c>
      <c r="Q846" t="str">
        <f t="shared" si="83"/>
        <v>Fast</v>
      </c>
      <c r="R846" t="str">
        <f>_xlfn.XLOOKUP(B846,CustomerMaster!$A$2:$A$287,CustomerMaster!$B$2:$B$287)</f>
        <v>Customer_42</v>
      </c>
      <c r="S846" t="str">
        <f>_xlfn.XLOOKUP(C846,ProductMaster!$A$2:$A$51,ProductMaster!$B$2:$B$51)</f>
        <v>Product_3</v>
      </c>
      <c r="T846" t="str">
        <f>_xlfn.XLOOKUP(G846,RegionMaster!$A$2:$A$5,RegionMaster!$B$2:$B$5)</f>
        <v>A</v>
      </c>
    </row>
    <row r="847" spans="1:20" ht="15.75" customHeight="1">
      <c r="A847" s="2" t="s">
        <v>1557</v>
      </c>
      <c r="B847" s="2" t="s">
        <v>297</v>
      </c>
      <c r="C847" s="2" t="s">
        <v>118</v>
      </c>
      <c r="D847" s="3">
        <v>45684</v>
      </c>
      <c r="E847" s="3">
        <v>45690</v>
      </c>
      <c r="F847" s="4"/>
      <c r="G847" s="2" t="s">
        <v>7</v>
      </c>
      <c r="H847" s="2" t="s">
        <v>27</v>
      </c>
      <c r="I847" s="2" t="s">
        <v>178</v>
      </c>
      <c r="J847" s="2" t="s">
        <v>133</v>
      </c>
      <c r="K847" s="2">
        <v>2190.1999999999998</v>
      </c>
      <c r="L847" s="2" t="str">
        <f t="shared" si="78"/>
        <v>January</v>
      </c>
      <c r="M847" s="2" t="str">
        <f t="shared" si="79"/>
        <v>February</v>
      </c>
      <c r="N847" t="str">
        <f t="shared" si="80"/>
        <v>Delivered</v>
      </c>
      <c r="O847">
        <f t="shared" si="81"/>
        <v>6</v>
      </c>
      <c r="P847" t="str">
        <f t="shared" si="82"/>
        <v>Completed</v>
      </c>
      <c r="Q847" t="str">
        <f t="shared" si="83"/>
        <v>Slow</v>
      </c>
      <c r="R847" t="str">
        <f>_xlfn.XLOOKUP(B847,CustomerMaster!$A$2:$A$287,CustomerMaster!$B$2:$B$287)</f>
        <v>Customer_59</v>
      </c>
      <c r="S847" t="str">
        <f>_xlfn.XLOOKUP(C847,ProductMaster!$A$2:$A$51,ProductMaster!$B$2:$B$51)</f>
        <v>Product_22</v>
      </c>
      <c r="T847" t="str">
        <f>_xlfn.XLOOKUP(G847,RegionMaster!$A$2:$A$5,RegionMaster!$B$2:$B$5)</f>
        <v>A</v>
      </c>
    </row>
    <row r="848" spans="1:20" ht="15.75" customHeight="1">
      <c r="A848" s="2" t="s">
        <v>1558</v>
      </c>
      <c r="B848" s="2" t="s">
        <v>278</v>
      </c>
      <c r="C848" s="2" t="s">
        <v>32</v>
      </c>
      <c r="D848" s="3">
        <v>45737</v>
      </c>
      <c r="E848" s="4"/>
      <c r="F848" s="3">
        <v>45737</v>
      </c>
      <c r="G848" s="2" t="s">
        <v>45</v>
      </c>
      <c r="H848" s="2" t="s">
        <v>54</v>
      </c>
      <c r="I848" s="2" t="s">
        <v>90</v>
      </c>
      <c r="J848" s="2" t="s">
        <v>133</v>
      </c>
      <c r="K848" s="2">
        <v>609.67999999999995</v>
      </c>
      <c r="L848" s="2" t="str">
        <f t="shared" si="78"/>
        <v>March</v>
      </c>
      <c r="M848" s="2" t="str">
        <f t="shared" si="79"/>
        <v>Cancelled</v>
      </c>
      <c r="N848" t="str">
        <f t="shared" si="80"/>
        <v>Cancelled</v>
      </c>
      <c r="O848" t="str">
        <f t="shared" si="81"/>
        <v>Order Cancelled</v>
      </c>
      <c r="P848" t="str">
        <f t="shared" si="82"/>
        <v>Cancelled</v>
      </c>
      <c r="Q848" t="str">
        <f t="shared" si="83"/>
        <v>Cancelled</v>
      </c>
      <c r="R848" t="str">
        <f>_xlfn.XLOOKUP(B848,CustomerMaster!$A$2:$A$287,CustomerMaster!$B$2:$B$287)</f>
        <v>Customer_52</v>
      </c>
      <c r="S848" t="str">
        <f>_xlfn.XLOOKUP(C848,ProductMaster!$A$2:$A$51,ProductMaster!$B$2:$B$51)</f>
        <v>Product_3</v>
      </c>
      <c r="T848" t="str">
        <f>_xlfn.XLOOKUP(G848,RegionMaster!$A$2:$A$5,RegionMaster!$B$2:$B$5)</f>
        <v>D</v>
      </c>
    </row>
    <row r="849" spans="1:20" ht="15.75" customHeight="1">
      <c r="A849" s="2" t="s">
        <v>1559</v>
      </c>
      <c r="B849" s="2" t="s">
        <v>656</v>
      </c>
      <c r="C849" s="2" t="s">
        <v>194</v>
      </c>
      <c r="D849" s="3">
        <v>45739</v>
      </c>
      <c r="E849" s="3">
        <v>45744</v>
      </c>
      <c r="F849" s="4"/>
      <c r="G849" s="2" t="s">
        <v>17</v>
      </c>
      <c r="H849" s="2" t="s">
        <v>16</v>
      </c>
      <c r="I849" s="2" t="s">
        <v>90</v>
      </c>
      <c r="J849" s="2" t="s">
        <v>94</v>
      </c>
      <c r="K849" s="2">
        <v>4985</v>
      </c>
      <c r="L849" s="2" t="str">
        <f t="shared" si="78"/>
        <v>March</v>
      </c>
      <c r="M849" s="2" t="str">
        <f t="shared" si="79"/>
        <v>March</v>
      </c>
      <c r="N849" t="str">
        <f t="shared" si="80"/>
        <v>Delivered</v>
      </c>
      <c r="O849">
        <f t="shared" si="81"/>
        <v>5</v>
      </c>
      <c r="P849" t="str">
        <f t="shared" si="82"/>
        <v>Completed</v>
      </c>
      <c r="Q849" t="str">
        <f t="shared" si="83"/>
        <v>Slow</v>
      </c>
      <c r="R849" t="str">
        <f>_xlfn.XLOOKUP(B849,CustomerMaster!$A$2:$A$287,CustomerMaster!$B$2:$B$287)</f>
        <v>Customer_258</v>
      </c>
      <c r="S849" t="str">
        <f>_xlfn.XLOOKUP(C849,ProductMaster!$A$2:$A$51,ProductMaster!$B$2:$B$51)</f>
        <v>Product_44</v>
      </c>
      <c r="T849" t="str">
        <f>_xlfn.XLOOKUP(G849,RegionMaster!$A$2:$A$5,RegionMaster!$B$2:$B$5)</f>
        <v>B</v>
      </c>
    </row>
    <row r="850" spans="1:20" ht="15.75" customHeight="1">
      <c r="A850" s="2" t="s">
        <v>1560</v>
      </c>
      <c r="B850" s="2" t="s">
        <v>249</v>
      </c>
      <c r="C850" s="2" t="s">
        <v>157</v>
      </c>
      <c r="D850" s="3">
        <v>45751</v>
      </c>
      <c r="E850" s="4"/>
      <c r="F850" s="3">
        <v>45752</v>
      </c>
      <c r="G850" s="2" t="s">
        <v>22</v>
      </c>
      <c r="H850" s="2" t="s">
        <v>16</v>
      </c>
      <c r="I850" s="2" t="s">
        <v>90</v>
      </c>
      <c r="J850" s="2" t="s">
        <v>107</v>
      </c>
      <c r="K850" s="2">
        <v>2610.54</v>
      </c>
      <c r="L850" s="2" t="str">
        <f t="shared" si="78"/>
        <v>April</v>
      </c>
      <c r="M850" s="2" t="str">
        <f t="shared" si="79"/>
        <v>Cancelled</v>
      </c>
      <c r="N850" t="str">
        <f t="shared" si="80"/>
        <v>Cancelled</v>
      </c>
      <c r="O850" t="str">
        <f t="shared" si="81"/>
        <v>Order Cancelled</v>
      </c>
      <c r="P850" t="str">
        <f t="shared" si="82"/>
        <v>Cancelled</v>
      </c>
      <c r="Q850" t="str">
        <f t="shared" si="83"/>
        <v>Cancelled</v>
      </c>
      <c r="R850" t="str">
        <f>_xlfn.XLOOKUP(B850,CustomerMaster!$A$2:$A$287,CustomerMaster!$B$2:$B$287)</f>
        <v>Customer_41</v>
      </c>
      <c r="S850" t="str">
        <f>_xlfn.XLOOKUP(C850,ProductMaster!$A$2:$A$51,ProductMaster!$B$2:$B$51)</f>
        <v>Product_33</v>
      </c>
      <c r="T850" t="str">
        <f>_xlfn.XLOOKUP(G850,RegionMaster!$A$2:$A$5,RegionMaster!$B$2:$B$5)</f>
        <v>C</v>
      </c>
    </row>
    <row r="851" spans="1:20" ht="15.75" customHeight="1">
      <c r="A851" s="2" t="s">
        <v>1561</v>
      </c>
      <c r="B851" s="2" t="s">
        <v>504</v>
      </c>
      <c r="C851" s="2" t="s">
        <v>162</v>
      </c>
      <c r="D851" s="3">
        <v>45736</v>
      </c>
      <c r="E851" s="3">
        <v>45740</v>
      </c>
      <c r="F851" s="4"/>
      <c r="G851" s="2" t="s">
        <v>17</v>
      </c>
      <c r="H851" s="2" t="s">
        <v>16</v>
      </c>
      <c r="I851" s="2" t="s">
        <v>90</v>
      </c>
      <c r="J851" s="2" t="s">
        <v>107</v>
      </c>
      <c r="K851" s="2">
        <v>3057.85</v>
      </c>
      <c r="L851" s="2" t="str">
        <f t="shared" si="78"/>
        <v>March</v>
      </c>
      <c r="M851" s="2" t="str">
        <f t="shared" si="79"/>
        <v>March</v>
      </c>
      <c r="N851" t="str">
        <f t="shared" si="80"/>
        <v>Delivered</v>
      </c>
      <c r="O851">
        <f t="shared" si="81"/>
        <v>4</v>
      </c>
      <c r="P851" t="str">
        <f t="shared" si="82"/>
        <v>Completed</v>
      </c>
      <c r="Q851" t="str">
        <f t="shared" si="83"/>
        <v>Slow</v>
      </c>
      <c r="R851" t="str">
        <f>_xlfn.XLOOKUP(B851,CustomerMaster!$A$2:$A$287,CustomerMaster!$B$2:$B$287)</f>
        <v>Customer_148</v>
      </c>
      <c r="S851" t="str">
        <f>_xlfn.XLOOKUP(C851,ProductMaster!$A$2:$A$51,ProductMaster!$B$2:$B$51)</f>
        <v>Product_35</v>
      </c>
      <c r="T851" t="str">
        <f>_xlfn.XLOOKUP(G851,RegionMaster!$A$2:$A$5,RegionMaster!$B$2:$B$5)</f>
        <v>B</v>
      </c>
    </row>
    <row r="852" spans="1:20" ht="15.75" customHeight="1">
      <c r="A852" s="2" t="s">
        <v>1562</v>
      </c>
      <c r="B852" s="2" t="s">
        <v>664</v>
      </c>
      <c r="C852" s="2" t="s">
        <v>102</v>
      </c>
      <c r="D852" s="3">
        <v>45729</v>
      </c>
      <c r="E852" s="4"/>
      <c r="F852" s="3">
        <v>45731</v>
      </c>
      <c r="G852" s="2" t="s">
        <v>7</v>
      </c>
      <c r="H852" s="2" t="s">
        <v>37</v>
      </c>
      <c r="I852" s="2" t="s">
        <v>195</v>
      </c>
      <c r="J852" s="2" t="s">
        <v>133</v>
      </c>
      <c r="K852" s="2">
        <v>521.97</v>
      </c>
      <c r="L852" s="2" t="str">
        <f t="shared" si="78"/>
        <v>March</v>
      </c>
      <c r="M852" s="2" t="str">
        <f t="shared" si="79"/>
        <v>Cancelled</v>
      </c>
      <c r="N852" t="str">
        <f t="shared" si="80"/>
        <v>Cancelled</v>
      </c>
      <c r="O852" t="str">
        <f t="shared" si="81"/>
        <v>Order Cancelled</v>
      </c>
      <c r="P852" t="str">
        <f t="shared" si="82"/>
        <v>Cancelled</v>
      </c>
      <c r="Q852" t="str">
        <f t="shared" si="83"/>
        <v>Cancelled</v>
      </c>
      <c r="R852" t="str">
        <f>_xlfn.XLOOKUP(B852,CustomerMaster!$A$2:$A$287,CustomerMaster!$B$2:$B$287)</f>
        <v>Customer_280</v>
      </c>
      <c r="S852" t="str">
        <f>_xlfn.XLOOKUP(C852,ProductMaster!$A$2:$A$51,ProductMaster!$B$2:$B$51)</f>
        <v>Product_18</v>
      </c>
      <c r="T852" t="str">
        <f>_xlfn.XLOOKUP(G852,RegionMaster!$A$2:$A$5,RegionMaster!$B$2:$B$5)</f>
        <v>A</v>
      </c>
    </row>
    <row r="853" spans="1:20" ht="15.75" customHeight="1">
      <c r="A853" s="2" t="s">
        <v>1563</v>
      </c>
      <c r="B853" s="2" t="s">
        <v>51</v>
      </c>
      <c r="C853" s="2" t="s">
        <v>146</v>
      </c>
      <c r="D853" s="3">
        <v>45675</v>
      </c>
      <c r="E853" s="3">
        <v>45678</v>
      </c>
      <c r="F853" s="4"/>
      <c r="G853" s="2" t="s">
        <v>7</v>
      </c>
      <c r="H853" s="2" t="s">
        <v>59</v>
      </c>
      <c r="I853" s="2" t="s">
        <v>106</v>
      </c>
      <c r="J853" s="2" t="s">
        <v>94</v>
      </c>
      <c r="K853" s="2">
        <v>3799.81</v>
      </c>
      <c r="L853" s="2" t="str">
        <f t="shared" si="78"/>
        <v>January</v>
      </c>
      <c r="M853" s="2" t="str">
        <f t="shared" si="79"/>
        <v>January</v>
      </c>
      <c r="N853" t="str">
        <f t="shared" si="80"/>
        <v>Delivered</v>
      </c>
      <c r="O853">
        <f t="shared" si="81"/>
        <v>3</v>
      </c>
      <c r="P853" t="str">
        <f t="shared" si="82"/>
        <v>Completed</v>
      </c>
      <c r="Q853" t="str">
        <f t="shared" si="83"/>
        <v>Slow</v>
      </c>
      <c r="R853" t="str">
        <f>_xlfn.XLOOKUP(B853,CustomerMaster!$A$2:$A$287,CustomerMaster!$B$2:$B$287)</f>
        <v>Customer_5</v>
      </c>
      <c r="S853" t="str">
        <f>_xlfn.XLOOKUP(C853,ProductMaster!$A$2:$A$51,ProductMaster!$B$2:$B$51)</f>
        <v>Product_30</v>
      </c>
      <c r="T853" t="str">
        <f>_xlfn.XLOOKUP(G853,RegionMaster!$A$2:$A$5,RegionMaster!$B$2:$B$5)</f>
        <v>A</v>
      </c>
    </row>
    <row r="854" spans="1:20" ht="15.75" customHeight="1">
      <c r="A854" s="2" t="s">
        <v>1564</v>
      </c>
      <c r="B854" s="2" t="s">
        <v>315</v>
      </c>
      <c r="C854" s="2" t="s">
        <v>213</v>
      </c>
      <c r="D854" s="3">
        <v>45757</v>
      </c>
      <c r="E854" s="3">
        <v>45761</v>
      </c>
      <c r="F854" s="4"/>
      <c r="G854" s="2" t="s">
        <v>22</v>
      </c>
      <c r="H854" s="2" t="s">
        <v>16</v>
      </c>
      <c r="I854" s="2" t="s">
        <v>121</v>
      </c>
      <c r="J854" s="2" t="s">
        <v>133</v>
      </c>
      <c r="K854" s="2">
        <v>1207.55</v>
      </c>
      <c r="L854" s="2" t="str">
        <f t="shared" si="78"/>
        <v>April</v>
      </c>
      <c r="M854" s="2" t="str">
        <f t="shared" si="79"/>
        <v>April</v>
      </c>
      <c r="N854" t="str">
        <f t="shared" si="80"/>
        <v>Delivered</v>
      </c>
      <c r="O854">
        <f t="shared" si="81"/>
        <v>4</v>
      </c>
      <c r="P854" t="str">
        <f t="shared" si="82"/>
        <v>Completed</v>
      </c>
      <c r="Q854" t="str">
        <f t="shared" si="83"/>
        <v>Slow</v>
      </c>
      <c r="R854" t="str">
        <f>_xlfn.XLOOKUP(B854,CustomerMaster!$A$2:$A$287,CustomerMaster!$B$2:$B$287)</f>
        <v>Customer_67</v>
      </c>
      <c r="S854" t="str">
        <f>_xlfn.XLOOKUP(C854,ProductMaster!$A$2:$A$51,ProductMaster!$B$2:$B$51)</f>
        <v>Product_49</v>
      </c>
      <c r="T854" t="str">
        <f>_xlfn.XLOOKUP(G854,RegionMaster!$A$2:$A$5,RegionMaster!$B$2:$B$5)</f>
        <v>C</v>
      </c>
    </row>
    <row r="855" spans="1:20" ht="15.75" customHeight="1">
      <c r="A855" s="2" t="s">
        <v>1565</v>
      </c>
      <c r="B855" s="2" t="s">
        <v>359</v>
      </c>
      <c r="C855" s="2" t="s">
        <v>168</v>
      </c>
      <c r="D855" s="3">
        <v>45764</v>
      </c>
      <c r="E855" s="4"/>
      <c r="F855" s="3">
        <v>45766</v>
      </c>
      <c r="G855" s="2" t="s">
        <v>45</v>
      </c>
      <c r="H855" s="2" t="s">
        <v>54</v>
      </c>
      <c r="I855" s="2" t="s">
        <v>178</v>
      </c>
      <c r="J855" s="2" t="s">
        <v>133</v>
      </c>
      <c r="K855" s="2">
        <v>4510.66</v>
      </c>
      <c r="L855" s="2" t="str">
        <f t="shared" si="78"/>
        <v>April</v>
      </c>
      <c r="M855" s="2" t="str">
        <f t="shared" si="79"/>
        <v>Cancelled</v>
      </c>
      <c r="N855" t="str">
        <f t="shared" si="80"/>
        <v>Cancelled</v>
      </c>
      <c r="O855" t="str">
        <f t="shared" si="81"/>
        <v>Order Cancelled</v>
      </c>
      <c r="P855" t="str">
        <f t="shared" si="82"/>
        <v>Cancelled</v>
      </c>
      <c r="Q855" t="str">
        <f t="shared" si="83"/>
        <v>Cancelled</v>
      </c>
      <c r="R855" t="str">
        <f>_xlfn.XLOOKUP(B855,CustomerMaster!$A$2:$A$287,CustomerMaster!$B$2:$B$287)</f>
        <v>Customer_87</v>
      </c>
      <c r="S855" t="str">
        <f>_xlfn.XLOOKUP(C855,ProductMaster!$A$2:$A$51,ProductMaster!$B$2:$B$51)</f>
        <v>Product_37</v>
      </c>
      <c r="T855" t="str">
        <f>_xlfn.XLOOKUP(G855,RegionMaster!$A$2:$A$5,RegionMaster!$B$2:$B$5)</f>
        <v>D</v>
      </c>
    </row>
    <row r="856" spans="1:20" ht="15.75" customHeight="1">
      <c r="A856" s="2" t="s">
        <v>1566</v>
      </c>
      <c r="B856" s="2" t="s">
        <v>294</v>
      </c>
      <c r="C856" s="2" t="s">
        <v>142</v>
      </c>
      <c r="D856" s="3">
        <v>45689</v>
      </c>
      <c r="E856" s="4"/>
      <c r="F856" s="3">
        <v>45690</v>
      </c>
      <c r="G856" s="2" t="s">
        <v>17</v>
      </c>
      <c r="H856" s="2" t="s">
        <v>59</v>
      </c>
      <c r="I856" s="2" t="s">
        <v>106</v>
      </c>
      <c r="J856" s="2" t="s">
        <v>94</v>
      </c>
      <c r="K856" s="2">
        <v>1184.67</v>
      </c>
      <c r="L856" s="2" t="str">
        <f t="shared" si="78"/>
        <v>February</v>
      </c>
      <c r="M856" s="2" t="str">
        <f t="shared" si="79"/>
        <v>Cancelled</v>
      </c>
      <c r="N856" t="str">
        <f t="shared" si="80"/>
        <v>Cancelled</v>
      </c>
      <c r="O856" t="str">
        <f t="shared" si="81"/>
        <v>Order Cancelled</v>
      </c>
      <c r="P856" t="str">
        <f t="shared" si="82"/>
        <v>Cancelled</v>
      </c>
      <c r="Q856" t="str">
        <f t="shared" si="83"/>
        <v>Cancelled</v>
      </c>
      <c r="R856" t="str">
        <f>_xlfn.XLOOKUP(B856,CustomerMaster!$A$2:$A$287,CustomerMaster!$B$2:$B$287)</f>
        <v>Customer_58</v>
      </c>
      <c r="S856" t="str">
        <f>_xlfn.XLOOKUP(C856,ProductMaster!$A$2:$A$51,ProductMaster!$B$2:$B$51)</f>
        <v>Product_29</v>
      </c>
      <c r="T856" t="str">
        <f>_xlfn.XLOOKUP(G856,RegionMaster!$A$2:$A$5,RegionMaster!$B$2:$B$5)</f>
        <v>B</v>
      </c>
    </row>
    <row r="857" spans="1:20" ht="15.75" customHeight="1">
      <c r="A857" s="2" t="s">
        <v>1567</v>
      </c>
      <c r="B857" s="2" t="s">
        <v>664</v>
      </c>
      <c r="C857" s="2" t="s">
        <v>138</v>
      </c>
      <c r="D857" s="3">
        <v>45729</v>
      </c>
      <c r="E857" s="3">
        <v>45731</v>
      </c>
      <c r="F857" s="4"/>
      <c r="G857" s="2" t="s">
        <v>45</v>
      </c>
      <c r="H857" s="2" t="s">
        <v>54</v>
      </c>
      <c r="I857" s="2" t="s">
        <v>121</v>
      </c>
      <c r="J857" s="2" t="s">
        <v>133</v>
      </c>
      <c r="K857" s="2">
        <v>1115.3</v>
      </c>
      <c r="L857" s="2" t="str">
        <f t="shared" si="78"/>
        <v>March</v>
      </c>
      <c r="M857" s="2" t="str">
        <f t="shared" si="79"/>
        <v>March</v>
      </c>
      <c r="N857" t="str">
        <f t="shared" si="80"/>
        <v>Delivered</v>
      </c>
      <c r="O857">
        <f t="shared" si="81"/>
        <v>2</v>
      </c>
      <c r="P857" t="str">
        <f t="shared" si="82"/>
        <v>Completed</v>
      </c>
      <c r="Q857" t="str">
        <f t="shared" si="83"/>
        <v>Fast</v>
      </c>
      <c r="R857" t="str">
        <f>_xlfn.XLOOKUP(B857,CustomerMaster!$A$2:$A$287,CustomerMaster!$B$2:$B$287)</f>
        <v>Customer_280</v>
      </c>
      <c r="S857" t="str">
        <f>_xlfn.XLOOKUP(C857,ProductMaster!$A$2:$A$51,ProductMaster!$B$2:$B$51)</f>
        <v>Product_28</v>
      </c>
      <c r="T857" t="str">
        <f>_xlfn.XLOOKUP(G857,RegionMaster!$A$2:$A$5,RegionMaster!$B$2:$B$5)</f>
        <v>D</v>
      </c>
    </row>
    <row r="858" spans="1:20" ht="15.75" customHeight="1">
      <c r="A858" s="2" t="s">
        <v>1568</v>
      </c>
      <c r="B858" s="2" t="s">
        <v>743</v>
      </c>
      <c r="C858" s="2" t="s">
        <v>63</v>
      </c>
      <c r="D858" s="3">
        <v>45716</v>
      </c>
      <c r="E858" s="3">
        <v>45720</v>
      </c>
      <c r="F858" s="4"/>
      <c r="G858" s="2" t="s">
        <v>17</v>
      </c>
      <c r="H858" s="2" t="s">
        <v>59</v>
      </c>
      <c r="I858" s="2" t="s">
        <v>106</v>
      </c>
      <c r="J858" s="2" t="s">
        <v>107</v>
      </c>
      <c r="K858" s="2">
        <v>375.44</v>
      </c>
      <c r="L858" s="2" t="str">
        <f t="shared" si="78"/>
        <v>February</v>
      </c>
      <c r="M858" s="2" t="str">
        <f t="shared" si="79"/>
        <v>March</v>
      </c>
      <c r="N858" t="str">
        <f t="shared" si="80"/>
        <v>Delivered</v>
      </c>
      <c r="O858">
        <f t="shared" si="81"/>
        <v>4</v>
      </c>
      <c r="P858" t="str">
        <f t="shared" si="82"/>
        <v>Completed</v>
      </c>
      <c r="Q858" t="str">
        <f t="shared" si="83"/>
        <v>Slow</v>
      </c>
      <c r="R858" t="str">
        <f>_xlfn.XLOOKUP(B858,CustomerMaster!$A$2:$A$287,CustomerMaster!$B$2:$B$287)</f>
        <v>Customer_251</v>
      </c>
      <c r="S858" t="str">
        <f>_xlfn.XLOOKUP(C858,ProductMaster!$A$2:$A$51,ProductMaster!$B$2:$B$51)</f>
        <v>Product_8</v>
      </c>
      <c r="T858" t="str">
        <f>_xlfn.XLOOKUP(G858,RegionMaster!$A$2:$A$5,RegionMaster!$B$2:$B$5)</f>
        <v>B</v>
      </c>
    </row>
    <row r="859" spans="1:20" ht="15.75" customHeight="1">
      <c r="A859" s="2" t="s">
        <v>1569</v>
      </c>
      <c r="B859" s="2" t="s">
        <v>693</v>
      </c>
      <c r="C859" s="2" t="s">
        <v>173</v>
      </c>
      <c r="D859" s="3">
        <v>45692</v>
      </c>
      <c r="E859" s="3">
        <v>45697</v>
      </c>
      <c r="F859" s="4"/>
      <c r="G859" s="2" t="s">
        <v>22</v>
      </c>
      <c r="H859" s="2" t="s">
        <v>16</v>
      </c>
      <c r="I859" s="2" t="s">
        <v>178</v>
      </c>
      <c r="J859" s="2" t="s">
        <v>107</v>
      </c>
      <c r="K859" s="2">
        <v>2465.92</v>
      </c>
      <c r="L859" s="2" t="str">
        <f t="shared" si="78"/>
        <v>February</v>
      </c>
      <c r="M859" s="2" t="str">
        <f t="shared" si="79"/>
        <v>February</v>
      </c>
      <c r="N859" t="str">
        <f t="shared" si="80"/>
        <v>Delivered</v>
      </c>
      <c r="O859">
        <f t="shared" si="81"/>
        <v>5</v>
      </c>
      <c r="P859" t="str">
        <f t="shared" si="82"/>
        <v>Completed</v>
      </c>
      <c r="Q859" t="str">
        <f t="shared" si="83"/>
        <v>Slow</v>
      </c>
      <c r="R859" t="str">
        <f>_xlfn.XLOOKUP(B859,CustomerMaster!$A$2:$A$287,CustomerMaster!$B$2:$B$287)</f>
        <v>Customer_245</v>
      </c>
      <c r="S859" t="str">
        <f>_xlfn.XLOOKUP(C859,ProductMaster!$A$2:$A$51,ProductMaster!$B$2:$B$51)</f>
        <v>Product_38</v>
      </c>
      <c r="T859" t="str">
        <f>_xlfn.XLOOKUP(G859,RegionMaster!$A$2:$A$5,RegionMaster!$B$2:$B$5)</f>
        <v>C</v>
      </c>
    </row>
    <row r="860" spans="1:20" ht="15.75" customHeight="1">
      <c r="A860" s="2" t="s">
        <v>1570</v>
      </c>
      <c r="B860" s="2" t="s">
        <v>656</v>
      </c>
      <c r="C860" s="2" t="s">
        <v>172</v>
      </c>
      <c r="D860" s="3">
        <v>45671</v>
      </c>
      <c r="E860" s="3">
        <v>45676</v>
      </c>
      <c r="F860" s="4"/>
      <c r="G860" s="2" t="s">
        <v>22</v>
      </c>
      <c r="H860" s="2" t="s">
        <v>16</v>
      </c>
      <c r="I860" s="2" t="s">
        <v>121</v>
      </c>
      <c r="J860" s="2" t="s">
        <v>133</v>
      </c>
      <c r="K860" s="2">
        <v>2911.24</v>
      </c>
      <c r="L860" s="2" t="str">
        <f t="shared" si="78"/>
        <v>January</v>
      </c>
      <c r="M860" s="2" t="str">
        <f t="shared" si="79"/>
        <v>January</v>
      </c>
      <c r="N860" t="str">
        <f t="shared" si="80"/>
        <v>Delivered</v>
      </c>
      <c r="O860">
        <f t="shared" si="81"/>
        <v>5</v>
      </c>
      <c r="P860" t="str">
        <f t="shared" si="82"/>
        <v>Completed</v>
      </c>
      <c r="Q860" t="str">
        <f t="shared" si="83"/>
        <v>Slow</v>
      </c>
      <c r="R860" t="str">
        <f>_xlfn.XLOOKUP(B860,CustomerMaster!$A$2:$A$287,CustomerMaster!$B$2:$B$287)</f>
        <v>Customer_258</v>
      </c>
      <c r="S860" t="str">
        <f>_xlfn.XLOOKUP(C860,ProductMaster!$A$2:$A$51,ProductMaster!$B$2:$B$51)</f>
        <v>Product_39</v>
      </c>
      <c r="T860" t="str">
        <f>_xlfn.XLOOKUP(G860,RegionMaster!$A$2:$A$5,RegionMaster!$B$2:$B$5)</f>
        <v>C</v>
      </c>
    </row>
    <row r="861" spans="1:20" ht="15.75" customHeight="1">
      <c r="A861" s="2" t="s">
        <v>1571</v>
      </c>
      <c r="B861" s="2" t="s">
        <v>239</v>
      </c>
      <c r="C861" s="2" t="s">
        <v>142</v>
      </c>
      <c r="D861" s="3">
        <v>45750</v>
      </c>
      <c r="E861" s="3">
        <v>45755</v>
      </c>
      <c r="F861" s="4"/>
      <c r="G861" s="2" t="s">
        <v>7</v>
      </c>
      <c r="H861" s="2" t="s">
        <v>54</v>
      </c>
      <c r="I861" s="2" t="s">
        <v>195</v>
      </c>
      <c r="J861" s="2" t="s">
        <v>133</v>
      </c>
      <c r="K861" s="2">
        <v>515.4</v>
      </c>
      <c r="L861" s="2" t="str">
        <f t="shared" si="78"/>
        <v>April</v>
      </c>
      <c r="M861" s="2" t="str">
        <f t="shared" si="79"/>
        <v>April</v>
      </c>
      <c r="N861" t="str">
        <f t="shared" si="80"/>
        <v>Delivered</v>
      </c>
      <c r="O861">
        <f t="shared" si="81"/>
        <v>5</v>
      </c>
      <c r="P861" t="str">
        <f t="shared" si="82"/>
        <v>Completed</v>
      </c>
      <c r="Q861" t="str">
        <f t="shared" si="83"/>
        <v>Slow</v>
      </c>
      <c r="R861" t="str">
        <f>_xlfn.XLOOKUP(B861,CustomerMaster!$A$2:$A$287,CustomerMaster!$B$2:$B$287)</f>
        <v>Customer_155</v>
      </c>
      <c r="S861" t="str">
        <f>_xlfn.XLOOKUP(C861,ProductMaster!$A$2:$A$51,ProductMaster!$B$2:$B$51)</f>
        <v>Product_29</v>
      </c>
      <c r="T861" t="str">
        <f>_xlfn.XLOOKUP(G861,RegionMaster!$A$2:$A$5,RegionMaster!$B$2:$B$5)</f>
        <v>A</v>
      </c>
    </row>
    <row r="862" spans="1:20" ht="15.75" customHeight="1">
      <c r="A862" s="2" t="s">
        <v>1572</v>
      </c>
      <c r="B862" s="2" t="s">
        <v>466</v>
      </c>
      <c r="C862" s="2" t="s">
        <v>87</v>
      </c>
      <c r="D862" s="3">
        <v>45712</v>
      </c>
      <c r="E862" s="4"/>
      <c r="F862" s="3">
        <v>45714</v>
      </c>
      <c r="G862" s="2" t="s">
        <v>7</v>
      </c>
      <c r="H862" s="2" t="s">
        <v>37</v>
      </c>
      <c r="I862" s="2" t="s">
        <v>90</v>
      </c>
      <c r="J862" s="2" t="s">
        <v>107</v>
      </c>
      <c r="K862" s="2">
        <v>3922.53</v>
      </c>
      <c r="L862" s="2" t="str">
        <f t="shared" si="78"/>
        <v>February</v>
      </c>
      <c r="M862" s="2" t="str">
        <f t="shared" si="79"/>
        <v>Cancelled</v>
      </c>
      <c r="N862" t="str">
        <f t="shared" si="80"/>
        <v>Cancelled</v>
      </c>
      <c r="O862" t="str">
        <f t="shared" si="81"/>
        <v>Order Cancelled</v>
      </c>
      <c r="P862" t="str">
        <f t="shared" si="82"/>
        <v>Cancelled</v>
      </c>
      <c r="Q862" t="str">
        <f t="shared" si="83"/>
        <v>Cancelled</v>
      </c>
      <c r="R862" t="str">
        <f>_xlfn.XLOOKUP(B862,CustomerMaster!$A$2:$A$287,CustomerMaster!$B$2:$B$287)</f>
        <v>Customer_132</v>
      </c>
      <c r="S862" t="str">
        <f>_xlfn.XLOOKUP(C862,ProductMaster!$A$2:$A$51,ProductMaster!$B$2:$B$51)</f>
        <v>Product_15</v>
      </c>
      <c r="T862" t="str">
        <f>_xlfn.XLOOKUP(G862,RegionMaster!$A$2:$A$5,RegionMaster!$B$2:$B$5)</f>
        <v>A</v>
      </c>
    </row>
    <row r="863" spans="1:20" ht="15.75" customHeight="1">
      <c r="A863" s="2" t="s">
        <v>1573</v>
      </c>
      <c r="B863" s="2" t="s">
        <v>65</v>
      </c>
      <c r="C863" s="2" t="s">
        <v>172</v>
      </c>
      <c r="D863" s="3">
        <v>45707</v>
      </c>
      <c r="E863" s="3">
        <v>45712</v>
      </c>
      <c r="F863" s="4"/>
      <c r="G863" s="2" t="s">
        <v>7</v>
      </c>
      <c r="H863" s="2" t="s">
        <v>59</v>
      </c>
      <c r="I863" s="2" t="s">
        <v>195</v>
      </c>
      <c r="J863" s="2" t="s">
        <v>133</v>
      </c>
      <c r="K863" s="2">
        <v>2375.79</v>
      </c>
      <c r="L863" s="2" t="str">
        <f t="shared" si="78"/>
        <v>February</v>
      </c>
      <c r="M863" s="2" t="str">
        <f t="shared" si="79"/>
        <v>February</v>
      </c>
      <c r="N863" t="str">
        <f t="shared" si="80"/>
        <v>Delivered</v>
      </c>
      <c r="O863">
        <f t="shared" si="81"/>
        <v>5</v>
      </c>
      <c r="P863" t="str">
        <f t="shared" si="82"/>
        <v>Completed</v>
      </c>
      <c r="Q863" t="str">
        <f t="shared" si="83"/>
        <v>Slow</v>
      </c>
      <c r="R863" t="str">
        <f>_xlfn.XLOOKUP(B863,CustomerMaster!$A$2:$A$287,CustomerMaster!$B$2:$B$287)</f>
        <v>Customer_10</v>
      </c>
      <c r="S863" t="str">
        <f>_xlfn.XLOOKUP(C863,ProductMaster!$A$2:$A$51,ProductMaster!$B$2:$B$51)</f>
        <v>Product_39</v>
      </c>
      <c r="T863" t="str">
        <f>_xlfn.XLOOKUP(G863,RegionMaster!$A$2:$A$5,RegionMaster!$B$2:$B$5)</f>
        <v>A</v>
      </c>
    </row>
    <row r="864" spans="1:20" ht="15.75" customHeight="1">
      <c r="A864" s="2" t="s">
        <v>1574</v>
      </c>
      <c r="B864" s="2" t="s">
        <v>722</v>
      </c>
      <c r="C864" s="2" t="s">
        <v>160</v>
      </c>
      <c r="D864" s="3">
        <v>45703</v>
      </c>
      <c r="E864" s="3">
        <v>45705</v>
      </c>
      <c r="F864" s="4"/>
      <c r="G864" s="2" t="s">
        <v>17</v>
      </c>
      <c r="H864" s="2" t="s">
        <v>54</v>
      </c>
      <c r="I864" s="2" t="s">
        <v>121</v>
      </c>
      <c r="J864" s="2" t="s">
        <v>133</v>
      </c>
      <c r="K864" s="2">
        <v>2717.07</v>
      </c>
      <c r="L864" s="2" t="str">
        <f t="shared" si="78"/>
        <v>February</v>
      </c>
      <c r="M864" s="2" t="str">
        <f t="shared" si="79"/>
        <v>February</v>
      </c>
      <c r="N864" t="str">
        <f t="shared" si="80"/>
        <v>Delivered</v>
      </c>
      <c r="O864">
        <f t="shared" si="81"/>
        <v>2</v>
      </c>
      <c r="P864" t="str">
        <f t="shared" si="82"/>
        <v>Completed</v>
      </c>
      <c r="Q864" t="str">
        <f t="shared" si="83"/>
        <v>Fast</v>
      </c>
      <c r="R864" t="str">
        <f>_xlfn.XLOOKUP(B864,CustomerMaster!$A$2:$A$287,CustomerMaster!$B$2:$B$287)</f>
        <v>Customer_241</v>
      </c>
      <c r="S864" t="str">
        <f>_xlfn.XLOOKUP(C864,ProductMaster!$A$2:$A$51,ProductMaster!$B$2:$B$51)</f>
        <v>Product_34</v>
      </c>
      <c r="T864" t="str">
        <f>_xlfn.XLOOKUP(G864,RegionMaster!$A$2:$A$5,RegionMaster!$B$2:$B$5)</f>
        <v>B</v>
      </c>
    </row>
    <row r="865" spans="1:20" ht="15.75" customHeight="1">
      <c r="A865" s="2" t="s">
        <v>1575</v>
      </c>
      <c r="B865" s="2" t="s">
        <v>670</v>
      </c>
      <c r="C865" s="2" t="s">
        <v>204</v>
      </c>
      <c r="D865" s="3">
        <v>45762</v>
      </c>
      <c r="E865" s="3">
        <v>45767</v>
      </c>
      <c r="F865" s="4"/>
      <c r="G865" s="2" t="s">
        <v>7</v>
      </c>
      <c r="H865" s="2" t="s">
        <v>16</v>
      </c>
      <c r="I865" s="2" t="s">
        <v>195</v>
      </c>
      <c r="J865" s="2" t="s">
        <v>133</v>
      </c>
      <c r="K865" s="2">
        <v>2315.66</v>
      </c>
      <c r="L865" s="2" t="str">
        <f t="shared" si="78"/>
        <v>April</v>
      </c>
      <c r="M865" s="2" t="str">
        <f t="shared" si="79"/>
        <v>April</v>
      </c>
      <c r="N865" t="str">
        <f t="shared" si="80"/>
        <v>Delivered</v>
      </c>
      <c r="O865">
        <f t="shared" si="81"/>
        <v>5</v>
      </c>
      <c r="P865" t="str">
        <f t="shared" si="82"/>
        <v>Completed</v>
      </c>
      <c r="Q865" t="str">
        <f t="shared" si="83"/>
        <v>Slow</v>
      </c>
      <c r="R865" t="str">
        <f>_xlfn.XLOOKUP(B865,CustomerMaster!$A$2:$A$287,CustomerMaster!$B$2:$B$287)</f>
        <v>Customer_217</v>
      </c>
      <c r="S865" t="str">
        <f>_xlfn.XLOOKUP(C865,ProductMaster!$A$2:$A$51,ProductMaster!$B$2:$B$51)</f>
        <v>Product_46</v>
      </c>
      <c r="T865" t="str">
        <f>_xlfn.XLOOKUP(G865,RegionMaster!$A$2:$A$5,RegionMaster!$B$2:$B$5)</f>
        <v>A</v>
      </c>
    </row>
    <row r="866" spans="1:20" ht="15.75" customHeight="1">
      <c r="A866" s="2" t="s">
        <v>1576</v>
      </c>
      <c r="B866" s="2" t="s">
        <v>353</v>
      </c>
      <c r="C866" s="2" t="s">
        <v>199</v>
      </c>
      <c r="D866" s="3">
        <v>45774</v>
      </c>
      <c r="E866" s="3">
        <v>45777</v>
      </c>
      <c r="F866" s="4"/>
      <c r="G866" s="2" t="s">
        <v>45</v>
      </c>
      <c r="H866" s="2" t="s">
        <v>37</v>
      </c>
      <c r="I866" s="2" t="s">
        <v>121</v>
      </c>
      <c r="J866" s="2" t="s">
        <v>94</v>
      </c>
      <c r="K866" s="2">
        <v>2123.66</v>
      </c>
      <c r="L866" s="2" t="str">
        <f t="shared" si="78"/>
        <v>April</v>
      </c>
      <c r="M866" s="2" t="str">
        <f t="shared" si="79"/>
        <v>April</v>
      </c>
      <c r="N866" t="str">
        <f t="shared" si="80"/>
        <v>Delivered</v>
      </c>
      <c r="O866">
        <f t="shared" si="81"/>
        <v>3</v>
      </c>
      <c r="P866" t="str">
        <f t="shared" si="82"/>
        <v>Completed</v>
      </c>
      <c r="Q866" t="str">
        <f t="shared" si="83"/>
        <v>Slow</v>
      </c>
      <c r="R866" t="str">
        <f>_xlfn.XLOOKUP(B866,CustomerMaster!$A$2:$A$287,CustomerMaster!$B$2:$B$287)</f>
        <v>Customer_84</v>
      </c>
      <c r="S866" t="str">
        <f>_xlfn.XLOOKUP(C866,ProductMaster!$A$2:$A$51,ProductMaster!$B$2:$B$51)</f>
        <v>Product_45</v>
      </c>
      <c r="T866" t="str">
        <f>_xlfn.XLOOKUP(G866,RegionMaster!$A$2:$A$5,RegionMaster!$B$2:$B$5)</f>
        <v>D</v>
      </c>
    </row>
    <row r="867" spans="1:20" ht="15.75" customHeight="1">
      <c r="A867" s="2" t="s">
        <v>1577</v>
      </c>
      <c r="B867" s="2" t="s">
        <v>171</v>
      </c>
      <c r="C867" s="2" t="s">
        <v>122</v>
      </c>
      <c r="D867" s="3">
        <v>45701</v>
      </c>
      <c r="E867" s="3">
        <v>45704</v>
      </c>
      <c r="F867" s="4"/>
      <c r="G867" s="2" t="s">
        <v>22</v>
      </c>
      <c r="H867" s="2" t="s">
        <v>37</v>
      </c>
      <c r="I867" s="2" t="s">
        <v>90</v>
      </c>
      <c r="J867" s="2" t="s">
        <v>133</v>
      </c>
      <c r="K867" s="2">
        <v>2886.27</v>
      </c>
      <c r="L867" s="2" t="str">
        <f t="shared" si="78"/>
        <v>February</v>
      </c>
      <c r="M867" s="2" t="str">
        <f t="shared" si="79"/>
        <v>February</v>
      </c>
      <c r="N867" t="str">
        <f t="shared" si="80"/>
        <v>Delivered</v>
      </c>
      <c r="O867">
        <f t="shared" si="81"/>
        <v>3</v>
      </c>
      <c r="P867" t="str">
        <f t="shared" si="82"/>
        <v>Completed</v>
      </c>
      <c r="Q867" t="str">
        <f t="shared" si="83"/>
        <v>Slow</v>
      </c>
      <c r="R867" t="str">
        <f>_xlfn.XLOOKUP(B867,CustomerMaster!$A$2:$A$287,CustomerMaster!$B$2:$B$287)</f>
        <v>Customer_250</v>
      </c>
      <c r="S867" t="str">
        <f>_xlfn.XLOOKUP(C867,ProductMaster!$A$2:$A$51,ProductMaster!$B$2:$B$51)</f>
        <v>Product_23</v>
      </c>
      <c r="T867" t="str">
        <f>_xlfn.XLOOKUP(G867,RegionMaster!$A$2:$A$5,RegionMaster!$B$2:$B$5)</f>
        <v>C</v>
      </c>
    </row>
    <row r="868" spans="1:20" ht="15.75" customHeight="1">
      <c r="A868" s="2" t="s">
        <v>1578</v>
      </c>
      <c r="B868" s="2" t="s">
        <v>478</v>
      </c>
      <c r="C868" s="2" t="s">
        <v>50</v>
      </c>
      <c r="D868" s="3">
        <v>45709</v>
      </c>
      <c r="E868" s="4"/>
      <c r="F868" s="3">
        <v>45711</v>
      </c>
      <c r="G868" s="2" t="s">
        <v>7</v>
      </c>
      <c r="H868" s="2" t="s">
        <v>59</v>
      </c>
      <c r="I868" s="2" t="s">
        <v>195</v>
      </c>
      <c r="J868" s="2" t="s">
        <v>133</v>
      </c>
      <c r="K868" s="2">
        <v>945.15</v>
      </c>
      <c r="L868" s="2" t="str">
        <f t="shared" si="78"/>
        <v>February</v>
      </c>
      <c r="M868" s="2" t="str">
        <f t="shared" si="79"/>
        <v>Cancelled</v>
      </c>
      <c r="N868" t="str">
        <f t="shared" si="80"/>
        <v>Cancelled</v>
      </c>
      <c r="O868" t="str">
        <f t="shared" si="81"/>
        <v>Order Cancelled</v>
      </c>
      <c r="P868" t="str">
        <f t="shared" si="82"/>
        <v>Cancelled</v>
      </c>
      <c r="Q868" t="str">
        <f t="shared" si="83"/>
        <v>Cancelled</v>
      </c>
      <c r="R868" t="str">
        <f>_xlfn.XLOOKUP(B868,CustomerMaster!$A$2:$A$287,CustomerMaster!$B$2:$B$287)</f>
        <v>Customer_137</v>
      </c>
      <c r="S868" t="str">
        <f>_xlfn.XLOOKUP(C868,ProductMaster!$A$2:$A$51,ProductMaster!$B$2:$B$51)</f>
        <v>Product_6</v>
      </c>
      <c r="T868" t="str">
        <f>_xlfn.XLOOKUP(G868,RegionMaster!$A$2:$A$5,RegionMaster!$B$2:$B$5)</f>
        <v>A</v>
      </c>
    </row>
    <row r="869" spans="1:20" ht="15.75" customHeight="1">
      <c r="A869" s="2" t="s">
        <v>1579</v>
      </c>
      <c r="B869" s="2" t="s">
        <v>223</v>
      </c>
      <c r="C869" s="2" t="s">
        <v>56</v>
      </c>
      <c r="D869" s="3">
        <v>45685</v>
      </c>
      <c r="E869" s="3">
        <v>45691</v>
      </c>
      <c r="F869" s="4"/>
      <c r="G869" s="2" t="s">
        <v>22</v>
      </c>
      <c r="H869" s="2" t="s">
        <v>27</v>
      </c>
      <c r="I869" s="2" t="s">
        <v>106</v>
      </c>
      <c r="J869" s="2" t="s">
        <v>107</v>
      </c>
      <c r="K869" s="2">
        <v>1073.26</v>
      </c>
      <c r="L869" s="2" t="str">
        <f t="shared" si="78"/>
        <v>January</v>
      </c>
      <c r="M869" s="2" t="str">
        <f t="shared" si="79"/>
        <v>February</v>
      </c>
      <c r="N869" t="str">
        <f t="shared" si="80"/>
        <v>Delivered</v>
      </c>
      <c r="O869">
        <f t="shared" si="81"/>
        <v>6</v>
      </c>
      <c r="P869" t="str">
        <f t="shared" si="82"/>
        <v>Completed</v>
      </c>
      <c r="Q869" t="str">
        <f t="shared" si="83"/>
        <v>Slow</v>
      </c>
      <c r="R869" t="str">
        <f>_xlfn.XLOOKUP(B869,CustomerMaster!$A$2:$A$287,CustomerMaster!$B$2:$B$287)</f>
        <v>Customer_44</v>
      </c>
      <c r="S869" t="str">
        <f>_xlfn.XLOOKUP(C869,ProductMaster!$A$2:$A$51,ProductMaster!$B$2:$B$51)</f>
        <v>Product_7</v>
      </c>
      <c r="T869" t="str">
        <f>_xlfn.XLOOKUP(G869,RegionMaster!$A$2:$A$5,RegionMaster!$B$2:$B$5)</f>
        <v>C</v>
      </c>
    </row>
    <row r="870" spans="1:20" ht="15.75" customHeight="1">
      <c r="A870" s="2" t="s">
        <v>1580</v>
      </c>
      <c r="B870" s="2" t="s">
        <v>355</v>
      </c>
      <c r="C870" s="2" t="s">
        <v>130</v>
      </c>
      <c r="D870" s="3">
        <v>45760</v>
      </c>
      <c r="E870" s="4"/>
      <c r="F870" s="3">
        <v>45762</v>
      </c>
      <c r="G870" s="2" t="s">
        <v>17</v>
      </c>
      <c r="H870" s="2" t="s">
        <v>54</v>
      </c>
      <c r="I870" s="2" t="s">
        <v>106</v>
      </c>
      <c r="J870" s="2" t="s">
        <v>94</v>
      </c>
      <c r="K870" s="2">
        <v>4336.57</v>
      </c>
      <c r="L870" s="2" t="str">
        <f t="shared" si="78"/>
        <v>April</v>
      </c>
      <c r="M870" s="2" t="str">
        <f t="shared" si="79"/>
        <v>Cancelled</v>
      </c>
      <c r="N870" t="str">
        <f t="shared" si="80"/>
        <v>Cancelled</v>
      </c>
      <c r="O870" t="str">
        <f t="shared" si="81"/>
        <v>Order Cancelled</v>
      </c>
      <c r="P870" t="str">
        <f t="shared" si="82"/>
        <v>Cancelled</v>
      </c>
      <c r="Q870" t="str">
        <f t="shared" si="83"/>
        <v>Cancelled</v>
      </c>
      <c r="R870" t="str">
        <f>_xlfn.XLOOKUP(B870,CustomerMaster!$A$2:$A$287,CustomerMaster!$B$2:$B$287)</f>
        <v>Customer_85</v>
      </c>
      <c r="S870" t="str">
        <f>_xlfn.XLOOKUP(C870,ProductMaster!$A$2:$A$51,ProductMaster!$B$2:$B$51)</f>
        <v>Product_26</v>
      </c>
      <c r="T870" t="str">
        <f>_xlfn.XLOOKUP(G870,RegionMaster!$A$2:$A$5,RegionMaster!$B$2:$B$5)</f>
        <v>B</v>
      </c>
    </row>
    <row r="871" spans="1:20" ht="15.75" customHeight="1">
      <c r="A871" s="2" t="s">
        <v>1581</v>
      </c>
      <c r="B871" s="2" t="s">
        <v>255</v>
      </c>
      <c r="C871" s="2" t="s">
        <v>56</v>
      </c>
      <c r="D871" s="3">
        <v>45723</v>
      </c>
      <c r="E871" s="3">
        <v>45726</v>
      </c>
      <c r="F871" s="4"/>
      <c r="G871" s="2" t="s">
        <v>7</v>
      </c>
      <c r="H871" s="2" t="s">
        <v>37</v>
      </c>
      <c r="I871" s="2" t="s">
        <v>178</v>
      </c>
      <c r="J871" s="2" t="s">
        <v>107</v>
      </c>
      <c r="K871" s="2">
        <v>4741.3500000000004</v>
      </c>
      <c r="L871" s="2" t="str">
        <f t="shared" si="78"/>
        <v>March</v>
      </c>
      <c r="M871" s="2" t="str">
        <f t="shared" si="79"/>
        <v>March</v>
      </c>
      <c r="N871" t="str">
        <f t="shared" si="80"/>
        <v>Delivered</v>
      </c>
      <c r="O871">
        <f t="shared" si="81"/>
        <v>3</v>
      </c>
      <c r="P871" t="str">
        <f t="shared" si="82"/>
        <v>Completed</v>
      </c>
      <c r="Q871" t="str">
        <f t="shared" si="83"/>
        <v>Slow</v>
      </c>
      <c r="R871" t="str">
        <f>_xlfn.XLOOKUP(B871,CustomerMaster!$A$2:$A$287,CustomerMaster!$B$2:$B$287)</f>
        <v>Customer_43</v>
      </c>
      <c r="S871" t="str">
        <f>_xlfn.XLOOKUP(C871,ProductMaster!$A$2:$A$51,ProductMaster!$B$2:$B$51)</f>
        <v>Product_7</v>
      </c>
      <c r="T871" t="str">
        <f>_xlfn.XLOOKUP(G871,RegionMaster!$A$2:$A$5,RegionMaster!$B$2:$B$5)</f>
        <v>A</v>
      </c>
    </row>
    <row r="872" spans="1:20" ht="15.75" customHeight="1">
      <c r="A872" s="2" t="s">
        <v>1582</v>
      </c>
      <c r="B872" s="2" t="s">
        <v>698</v>
      </c>
      <c r="C872" s="2" t="s">
        <v>130</v>
      </c>
      <c r="D872" s="3">
        <v>45705</v>
      </c>
      <c r="E872" s="3">
        <v>45706</v>
      </c>
      <c r="F872" s="4"/>
      <c r="G872" s="2" t="s">
        <v>7</v>
      </c>
      <c r="H872" s="2" t="s">
        <v>37</v>
      </c>
      <c r="I872" s="2" t="s">
        <v>195</v>
      </c>
      <c r="J872" s="2" t="s">
        <v>94</v>
      </c>
      <c r="K872" s="2">
        <v>1991.88</v>
      </c>
      <c r="L872" s="2" t="str">
        <f t="shared" si="78"/>
        <v>February</v>
      </c>
      <c r="M872" s="2" t="str">
        <f t="shared" si="79"/>
        <v>February</v>
      </c>
      <c r="N872" t="str">
        <f t="shared" si="80"/>
        <v>Delivered</v>
      </c>
      <c r="O872">
        <f t="shared" si="81"/>
        <v>1</v>
      </c>
      <c r="P872" t="str">
        <f t="shared" si="82"/>
        <v>Completed</v>
      </c>
      <c r="Q872" t="str">
        <f t="shared" si="83"/>
        <v>Fast</v>
      </c>
      <c r="R872" t="str">
        <f>_xlfn.XLOOKUP(B872,CustomerMaster!$A$2:$A$287,CustomerMaster!$B$2:$B$287)</f>
        <v>Customer_230</v>
      </c>
      <c r="S872" t="str">
        <f>_xlfn.XLOOKUP(C872,ProductMaster!$A$2:$A$51,ProductMaster!$B$2:$B$51)</f>
        <v>Product_26</v>
      </c>
      <c r="T872" t="str">
        <f>_xlfn.XLOOKUP(G872,RegionMaster!$A$2:$A$5,RegionMaster!$B$2:$B$5)</f>
        <v>A</v>
      </c>
    </row>
    <row r="873" spans="1:20" ht="15.75" customHeight="1">
      <c r="A873" s="2" t="s">
        <v>1583</v>
      </c>
      <c r="B873" s="2" t="s">
        <v>694</v>
      </c>
      <c r="C873" s="2" t="s">
        <v>20</v>
      </c>
      <c r="D873" s="3">
        <v>45738</v>
      </c>
      <c r="E873" s="4"/>
      <c r="F873" s="3">
        <v>45740</v>
      </c>
      <c r="G873" s="2" t="s">
        <v>7</v>
      </c>
      <c r="H873" s="2" t="s">
        <v>54</v>
      </c>
      <c r="I873" s="2" t="s">
        <v>90</v>
      </c>
      <c r="J873" s="2" t="s">
        <v>133</v>
      </c>
      <c r="K873" s="2">
        <v>1499.57</v>
      </c>
      <c r="L873" s="2" t="str">
        <f t="shared" si="78"/>
        <v>March</v>
      </c>
      <c r="M873" s="2" t="str">
        <f t="shared" si="79"/>
        <v>Cancelled</v>
      </c>
      <c r="N873" t="str">
        <f t="shared" si="80"/>
        <v>Cancelled</v>
      </c>
      <c r="O873" t="str">
        <f t="shared" si="81"/>
        <v>Order Cancelled</v>
      </c>
      <c r="P873" t="str">
        <f t="shared" si="82"/>
        <v>Cancelled</v>
      </c>
      <c r="Q873" t="str">
        <f t="shared" si="83"/>
        <v>Cancelled</v>
      </c>
      <c r="R873" t="str">
        <f>_xlfn.XLOOKUP(B873,CustomerMaster!$A$2:$A$287,CustomerMaster!$B$2:$B$287)</f>
        <v>Customer_228</v>
      </c>
      <c r="S873" t="str">
        <f>_xlfn.XLOOKUP(C873,ProductMaster!$A$2:$A$51,ProductMaster!$B$2:$B$51)</f>
        <v>Product_1</v>
      </c>
      <c r="T873" t="str">
        <f>_xlfn.XLOOKUP(G873,RegionMaster!$A$2:$A$5,RegionMaster!$B$2:$B$5)</f>
        <v>A</v>
      </c>
    </row>
    <row r="874" spans="1:20" ht="15.75" customHeight="1">
      <c r="A874" s="2" t="s">
        <v>1584</v>
      </c>
      <c r="B874" s="2" t="s">
        <v>681</v>
      </c>
      <c r="C874" s="2" t="s">
        <v>146</v>
      </c>
      <c r="D874" s="3">
        <v>45731</v>
      </c>
      <c r="E874" s="4"/>
      <c r="F874" s="3">
        <v>45732</v>
      </c>
      <c r="G874" s="2" t="s">
        <v>22</v>
      </c>
      <c r="H874" s="2" t="s">
        <v>37</v>
      </c>
      <c r="I874" s="2" t="s">
        <v>90</v>
      </c>
      <c r="J874" s="2" t="s">
        <v>107</v>
      </c>
      <c r="K874" s="2">
        <v>3291.2</v>
      </c>
      <c r="L874" s="2" t="str">
        <f t="shared" si="78"/>
        <v>March</v>
      </c>
      <c r="M874" s="2" t="str">
        <f t="shared" si="79"/>
        <v>Cancelled</v>
      </c>
      <c r="N874" t="str">
        <f t="shared" si="80"/>
        <v>Cancelled</v>
      </c>
      <c r="O874" t="str">
        <f t="shared" si="81"/>
        <v>Order Cancelled</v>
      </c>
      <c r="P874" t="str">
        <f t="shared" si="82"/>
        <v>Cancelled</v>
      </c>
      <c r="Q874" t="str">
        <f t="shared" si="83"/>
        <v>Cancelled</v>
      </c>
      <c r="R874" t="str">
        <f>_xlfn.XLOOKUP(B874,CustomerMaster!$A$2:$A$287,CustomerMaster!$B$2:$B$287)</f>
        <v>Customer_222</v>
      </c>
      <c r="S874" t="str">
        <f>_xlfn.XLOOKUP(C874,ProductMaster!$A$2:$A$51,ProductMaster!$B$2:$B$51)</f>
        <v>Product_30</v>
      </c>
      <c r="T874" t="str">
        <f>_xlfn.XLOOKUP(G874,RegionMaster!$A$2:$A$5,RegionMaster!$B$2:$B$5)</f>
        <v>C</v>
      </c>
    </row>
    <row r="875" spans="1:20" ht="15.75" customHeight="1">
      <c r="A875" s="2" t="s">
        <v>1585</v>
      </c>
      <c r="B875" s="2" t="s">
        <v>648</v>
      </c>
      <c r="C875" s="2" t="s">
        <v>75</v>
      </c>
      <c r="D875" s="3">
        <v>45719</v>
      </c>
      <c r="E875" s="3">
        <v>45722</v>
      </c>
      <c r="F875" s="4"/>
      <c r="G875" s="2" t="s">
        <v>17</v>
      </c>
      <c r="H875" s="2" t="s">
        <v>59</v>
      </c>
      <c r="I875" s="2" t="s">
        <v>121</v>
      </c>
      <c r="J875" s="2" t="s">
        <v>94</v>
      </c>
      <c r="K875" s="2">
        <v>2161.92</v>
      </c>
      <c r="L875" s="2" t="str">
        <f t="shared" si="78"/>
        <v>March</v>
      </c>
      <c r="M875" s="2" t="str">
        <f t="shared" si="79"/>
        <v>March</v>
      </c>
      <c r="N875" t="str">
        <f t="shared" si="80"/>
        <v>Delivered</v>
      </c>
      <c r="O875">
        <f t="shared" si="81"/>
        <v>3</v>
      </c>
      <c r="P875" t="str">
        <f t="shared" si="82"/>
        <v>Completed</v>
      </c>
      <c r="Q875" t="str">
        <f t="shared" si="83"/>
        <v>Slow</v>
      </c>
      <c r="R875" t="str">
        <f>_xlfn.XLOOKUP(B875,CustomerMaster!$A$2:$A$287,CustomerMaster!$B$2:$B$287)</f>
        <v>Customer_208</v>
      </c>
      <c r="S875" t="str">
        <f>_xlfn.XLOOKUP(C875,ProductMaster!$A$2:$A$51,ProductMaster!$B$2:$B$51)</f>
        <v>Product_11</v>
      </c>
      <c r="T875" t="str">
        <f>_xlfn.XLOOKUP(G875,RegionMaster!$A$2:$A$5,RegionMaster!$B$2:$B$5)</f>
        <v>B</v>
      </c>
    </row>
    <row r="876" spans="1:20" ht="15.75" customHeight="1">
      <c r="A876" s="2" t="s">
        <v>1586</v>
      </c>
      <c r="B876" s="2" t="s">
        <v>653</v>
      </c>
      <c r="C876" s="2" t="s">
        <v>87</v>
      </c>
      <c r="D876" s="3">
        <v>45659</v>
      </c>
      <c r="E876" s="4"/>
      <c r="F876" s="3">
        <v>45659</v>
      </c>
      <c r="G876" s="2" t="s">
        <v>17</v>
      </c>
      <c r="H876" s="2" t="s">
        <v>37</v>
      </c>
      <c r="I876" s="2" t="s">
        <v>121</v>
      </c>
      <c r="J876" s="2" t="s">
        <v>94</v>
      </c>
      <c r="K876" s="2">
        <v>321.85000000000002</v>
      </c>
      <c r="L876" s="2" t="str">
        <f t="shared" si="78"/>
        <v>January</v>
      </c>
      <c r="M876" s="2" t="str">
        <f t="shared" si="79"/>
        <v>Cancelled</v>
      </c>
      <c r="N876" t="str">
        <f t="shared" si="80"/>
        <v>Cancelled</v>
      </c>
      <c r="O876" t="str">
        <f t="shared" si="81"/>
        <v>Order Cancelled</v>
      </c>
      <c r="P876" t="str">
        <f t="shared" si="82"/>
        <v>Cancelled</v>
      </c>
      <c r="Q876" t="str">
        <f t="shared" si="83"/>
        <v>Cancelled</v>
      </c>
      <c r="R876" t="str">
        <f>_xlfn.XLOOKUP(B876,CustomerMaster!$A$2:$A$287,CustomerMaster!$B$2:$B$287)</f>
        <v>Customer_210</v>
      </c>
      <c r="S876" t="str">
        <f>_xlfn.XLOOKUP(C876,ProductMaster!$A$2:$A$51,ProductMaster!$B$2:$B$51)</f>
        <v>Product_15</v>
      </c>
      <c r="T876" t="str">
        <f>_xlfn.XLOOKUP(G876,RegionMaster!$A$2:$A$5,RegionMaster!$B$2:$B$5)</f>
        <v>B</v>
      </c>
    </row>
    <row r="877" spans="1:20" ht="15.75" customHeight="1">
      <c r="A877" s="2" t="s">
        <v>1587</v>
      </c>
      <c r="B877" s="2" t="s">
        <v>789</v>
      </c>
      <c r="C877" s="2" t="s">
        <v>199</v>
      </c>
      <c r="D877" s="3">
        <v>45757</v>
      </c>
      <c r="E877" s="3">
        <v>45761</v>
      </c>
      <c r="F877" s="4"/>
      <c r="G877" s="2" t="s">
        <v>7</v>
      </c>
      <c r="H877" s="2" t="s">
        <v>27</v>
      </c>
      <c r="I877" s="2" t="s">
        <v>121</v>
      </c>
      <c r="J877" s="2" t="s">
        <v>107</v>
      </c>
      <c r="K877" s="2">
        <v>949.53</v>
      </c>
      <c r="L877" s="2" t="str">
        <f t="shared" si="78"/>
        <v>April</v>
      </c>
      <c r="M877" s="2" t="str">
        <f t="shared" si="79"/>
        <v>April</v>
      </c>
      <c r="N877" t="str">
        <f t="shared" si="80"/>
        <v>Delivered</v>
      </c>
      <c r="O877">
        <f t="shared" si="81"/>
        <v>4</v>
      </c>
      <c r="P877" t="str">
        <f t="shared" si="82"/>
        <v>Completed</v>
      </c>
      <c r="Q877" t="str">
        <f t="shared" si="83"/>
        <v>Slow</v>
      </c>
      <c r="R877" t="str">
        <f>_xlfn.XLOOKUP(B877,CustomerMaster!$A$2:$A$287,CustomerMaster!$B$2:$B$287)</f>
        <v>Customer_277</v>
      </c>
      <c r="S877" t="str">
        <f>_xlfn.XLOOKUP(C877,ProductMaster!$A$2:$A$51,ProductMaster!$B$2:$B$51)</f>
        <v>Product_45</v>
      </c>
      <c r="T877" t="str">
        <f>_xlfn.XLOOKUP(G877,RegionMaster!$A$2:$A$5,RegionMaster!$B$2:$B$5)</f>
        <v>A</v>
      </c>
    </row>
    <row r="878" spans="1:20" ht="15.75" customHeight="1">
      <c r="A878" s="2" t="s">
        <v>1588</v>
      </c>
      <c r="B878" s="2" t="s">
        <v>610</v>
      </c>
      <c r="C878" s="2" t="s">
        <v>29</v>
      </c>
      <c r="D878" s="3">
        <v>45666</v>
      </c>
      <c r="E878" s="3">
        <v>45668</v>
      </c>
      <c r="F878" s="4"/>
      <c r="G878" s="2" t="s">
        <v>22</v>
      </c>
      <c r="H878" s="2" t="s">
        <v>27</v>
      </c>
      <c r="I878" s="2" t="s">
        <v>178</v>
      </c>
      <c r="J878" s="2" t="s">
        <v>107</v>
      </c>
      <c r="K878" s="2">
        <v>3636.67</v>
      </c>
      <c r="L878" s="2" t="str">
        <f t="shared" si="78"/>
        <v>January</v>
      </c>
      <c r="M878" s="2" t="str">
        <f t="shared" si="79"/>
        <v>January</v>
      </c>
      <c r="N878" t="str">
        <f t="shared" si="80"/>
        <v>Delivered</v>
      </c>
      <c r="O878">
        <f t="shared" si="81"/>
        <v>2</v>
      </c>
      <c r="P878" t="str">
        <f t="shared" si="82"/>
        <v>Completed</v>
      </c>
      <c r="Q878" t="str">
        <f t="shared" si="83"/>
        <v>Fast</v>
      </c>
      <c r="R878" t="str">
        <f>_xlfn.XLOOKUP(B878,CustomerMaster!$A$2:$A$287,CustomerMaster!$B$2:$B$287)</f>
        <v>Customer_191</v>
      </c>
      <c r="S878" t="str">
        <f>_xlfn.XLOOKUP(C878,ProductMaster!$A$2:$A$51,ProductMaster!$B$2:$B$51)</f>
        <v>Product_2</v>
      </c>
      <c r="T878" t="str">
        <f>_xlfn.XLOOKUP(G878,RegionMaster!$A$2:$A$5,RegionMaster!$B$2:$B$5)</f>
        <v>C</v>
      </c>
    </row>
    <row r="879" spans="1:20" ht="15.75" customHeight="1">
      <c r="A879" s="2" t="s">
        <v>1589</v>
      </c>
      <c r="B879" s="2" t="s">
        <v>673</v>
      </c>
      <c r="C879" s="2" t="s">
        <v>138</v>
      </c>
      <c r="D879" s="3">
        <v>45769</v>
      </c>
      <c r="E879" s="3">
        <v>45772</v>
      </c>
      <c r="F879" s="4"/>
      <c r="G879" s="2" t="s">
        <v>45</v>
      </c>
      <c r="H879" s="2" t="s">
        <v>59</v>
      </c>
      <c r="I879" s="2" t="s">
        <v>178</v>
      </c>
      <c r="J879" s="2" t="s">
        <v>107</v>
      </c>
      <c r="K879" s="2">
        <v>3362.83</v>
      </c>
      <c r="L879" s="2" t="str">
        <f t="shared" si="78"/>
        <v>April</v>
      </c>
      <c r="M879" s="2" t="str">
        <f t="shared" si="79"/>
        <v>April</v>
      </c>
      <c r="N879" t="str">
        <f t="shared" si="80"/>
        <v>Delivered</v>
      </c>
      <c r="O879">
        <f t="shared" si="81"/>
        <v>3</v>
      </c>
      <c r="P879" t="str">
        <f t="shared" si="82"/>
        <v>Completed</v>
      </c>
      <c r="Q879" t="str">
        <f t="shared" si="83"/>
        <v>Slow</v>
      </c>
      <c r="R879" t="str">
        <f>_xlfn.XLOOKUP(B879,CustomerMaster!$A$2:$A$287,CustomerMaster!$B$2:$B$287)</f>
        <v>Customer_219</v>
      </c>
      <c r="S879" t="str">
        <f>_xlfn.XLOOKUP(C879,ProductMaster!$A$2:$A$51,ProductMaster!$B$2:$B$51)</f>
        <v>Product_28</v>
      </c>
      <c r="T879" t="str">
        <f>_xlfn.XLOOKUP(G879,RegionMaster!$A$2:$A$5,RegionMaster!$B$2:$B$5)</f>
        <v>D</v>
      </c>
    </row>
    <row r="880" spans="1:20" ht="15.75" customHeight="1">
      <c r="A880" s="2" t="s">
        <v>1590</v>
      </c>
      <c r="B880" s="2" t="s">
        <v>307</v>
      </c>
      <c r="C880" s="2" t="s">
        <v>141</v>
      </c>
      <c r="D880" s="3">
        <v>45718</v>
      </c>
      <c r="E880" s="3">
        <v>45722</v>
      </c>
      <c r="F880" s="4"/>
      <c r="G880" s="2" t="s">
        <v>17</v>
      </c>
      <c r="H880" s="2" t="s">
        <v>37</v>
      </c>
      <c r="I880" s="2" t="s">
        <v>121</v>
      </c>
      <c r="J880" s="2" t="s">
        <v>107</v>
      </c>
      <c r="K880" s="2">
        <v>330.06</v>
      </c>
      <c r="L880" s="2" t="str">
        <f t="shared" si="78"/>
        <v>March</v>
      </c>
      <c r="M880" s="2" t="str">
        <f t="shared" si="79"/>
        <v>March</v>
      </c>
      <c r="N880" t="str">
        <f t="shared" si="80"/>
        <v>Delivered</v>
      </c>
      <c r="O880">
        <f t="shared" si="81"/>
        <v>4</v>
      </c>
      <c r="P880" t="str">
        <f t="shared" si="82"/>
        <v>Completed</v>
      </c>
      <c r="Q880" t="str">
        <f t="shared" si="83"/>
        <v>Slow</v>
      </c>
      <c r="R880" t="str">
        <f>_xlfn.XLOOKUP(B880,CustomerMaster!$A$2:$A$287,CustomerMaster!$B$2:$B$287)</f>
        <v>Customer_64</v>
      </c>
      <c r="S880" t="str">
        <f>_xlfn.XLOOKUP(C880,ProductMaster!$A$2:$A$51,ProductMaster!$B$2:$B$51)</f>
        <v>Product_42</v>
      </c>
      <c r="T880" t="str">
        <f>_xlfn.XLOOKUP(G880,RegionMaster!$A$2:$A$5,RegionMaster!$B$2:$B$5)</f>
        <v>B</v>
      </c>
    </row>
    <row r="881" spans="1:20" ht="15.75" customHeight="1">
      <c r="A881" s="2" t="s">
        <v>1591</v>
      </c>
      <c r="B881" s="2" t="s">
        <v>355</v>
      </c>
      <c r="C881" s="2" t="s">
        <v>75</v>
      </c>
      <c r="D881" s="3">
        <v>45764</v>
      </c>
      <c r="E881" s="3">
        <v>45768</v>
      </c>
      <c r="F881" s="4"/>
      <c r="G881" s="2" t="s">
        <v>17</v>
      </c>
      <c r="H881" s="2" t="s">
        <v>16</v>
      </c>
      <c r="I881" s="2" t="s">
        <v>195</v>
      </c>
      <c r="J881" s="2" t="s">
        <v>107</v>
      </c>
      <c r="K881" s="2">
        <v>1265.47</v>
      </c>
      <c r="L881" s="2" t="str">
        <f t="shared" si="78"/>
        <v>April</v>
      </c>
      <c r="M881" s="2" t="str">
        <f t="shared" si="79"/>
        <v>April</v>
      </c>
      <c r="N881" t="str">
        <f t="shared" si="80"/>
        <v>Delivered</v>
      </c>
      <c r="O881">
        <f t="shared" si="81"/>
        <v>4</v>
      </c>
      <c r="P881" t="str">
        <f t="shared" si="82"/>
        <v>Completed</v>
      </c>
      <c r="Q881" t="str">
        <f t="shared" si="83"/>
        <v>Slow</v>
      </c>
      <c r="R881" t="str">
        <f>_xlfn.XLOOKUP(B881,CustomerMaster!$A$2:$A$287,CustomerMaster!$B$2:$B$287)</f>
        <v>Customer_85</v>
      </c>
      <c r="S881" t="str">
        <f>_xlfn.XLOOKUP(C881,ProductMaster!$A$2:$A$51,ProductMaster!$B$2:$B$51)</f>
        <v>Product_11</v>
      </c>
      <c r="T881" t="str">
        <f>_xlfn.XLOOKUP(G881,RegionMaster!$A$2:$A$5,RegionMaster!$B$2:$B$5)</f>
        <v>B</v>
      </c>
    </row>
    <row r="882" spans="1:20" ht="15.75" customHeight="1">
      <c r="A882" s="2" t="s">
        <v>1592</v>
      </c>
      <c r="B882" s="2" t="s">
        <v>633</v>
      </c>
      <c r="C882" s="2" t="s">
        <v>204</v>
      </c>
      <c r="D882" s="3">
        <v>45737</v>
      </c>
      <c r="E882" s="4"/>
      <c r="F882" s="3">
        <v>45737</v>
      </c>
      <c r="G882" s="2" t="s">
        <v>17</v>
      </c>
      <c r="H882" s="2" t="s">
        <v>37</v>
      </c>
      <c r="I882" s="2" t="s">
        <v>195</v>
      </c>
      <c r="J882" s="2" t="s">
        <v>107</v>
      </c>
      <c r="K882" s="2">
        <v>1309.1600000000001</v>
      </c>
      <c r="L882" s="2" t="str">
        <f t="shared" si="78"/>
        <v>March</v>
      </c>
      <c r="M882" s="2" t="str">
        <f t="shared" si="79"/>
        <v>Cancelled</v>
      </c>
      <c r="N882" t="str">
        <f t="shared" si="80"/>
        <v>Cancelled</v>
      </c>
      <c r="O882" t="str">
        <f t="shared" si="81"/>
        <v>Order Cancelled</v>
      </c>
      <c r="P882" t="str">
        <f t="shared" si="82"/>
        <v>Cancelled</v>
      </c>
      <c r="Q882" t="str">
        <f t="shared" si="83"/>
        <v>Cancelled</v>
      </c>
      <c r="R882" t="str">
        <f>_xlfn.XLOOKUP(B882,CustomerMaster!$A$2:$A$287,CustomerMaster!$B$2:$B$287)</f>
        <v>Customer_202</v>
      </c>
      <c r="S882" t="str">
        <f>_xlfn.XLOOKUP(C882,ProductMaster!$A$2:$A$51,ProductMaster!$B$2:$B$51)</f>
        <v>Product_46</v>
      </c>
      <c r="T882" t="str">
        <f>_xlfn.XLOOKUP(G882,RegionMaster!$A$2:$A$5,RegionMaster!$B$2:$B$5)</f>
        <v>B</v>
      </c>
    </row>
    <row r="883" spans="1:20" ht="15.75" customHeight="1">
      <c r="A883" s="2" t="s">
        <v>1593</v>
      </c>
      <c r="B883" s="2" t="s">
        <v>787</v>
      </c>
      <c r="C883" s="2" t="s">
        <v>68</v>
      </c>
      <c r="D883" s="3">
        <v>45722</v>
      </c>
      <c r="E883" s="4"/>
      <c r="F883" s="3">
        <v>45723</v>
      </c>
      <c r="G883" s="2" t="s">
        <v>22</v>
      </c>
      <c r="H883" s="2" t="s">
        <v>59</v>
      </c>
      <c r="I883" s="2" t="s">
        <v>178</v>
      </c>
      <c r="J883" s="2" t="s">
        <v>107</v>
      </c>
      <c r="K883" s="2">
        <v>3425.09</v>
      </c>
      <c r="L883" s="2" t="str">
        <f t="shared" si="78"/>
        <v>March</v>
      </c>
      <c r="M883" s="2" t="str">
        <f t="shared" si="79"/>
        <v>Cancelled</v>
      </c>
      <c r="N883" t="str">
        <f t="shared" si="80"/>
        <v>Cancelled</v>
      </c>
      <c r="O883" t="str">
        <f t="shared" si="81"/>
        <v>Order Cancelled</v>
      </c>
      <c r="P883" t="str">
        <f t="shared" si="82"/>
        <v>Cancelled</v>
      </c>
      <c r="Q883" t="str">
        <f t="shared" si="83"/>
        <v>Cancelled</v>
      </c>
      <c r="R883" t="str">
        <f>_xlfn.XLOOKUP(B883,CustomerMaster!$A$2:$A$287,CustomerMaster!$B$2:$B$287)</f>
        <v>Customer_276</v>
      </c>
      <c r="S883" t="str">
        <f>_xlfn.XLOOKUP(C883,ProductMaster!$A$2:$A$51,ProductMaster!$B$2:$B$51)</f>
        <v>Product_13</v>
      </c>
      <c r="T883" t="str">
        <f>_xlfn.XLOOKUP(G883,RegionMaster!$A$2:$A$5,RegionMaster!$B$2:$B$5)</f>
        <v>C</v>
      </c>
    </row>
    <row r="884" spans="1:20" ht="15.75" customHeight="1">
      <c r="A884" s="2" t="s">
        <v>1594</v>
      </c>
      <c r="B884" s="2" t="s">
        <v>24</v>
      </c>
      <c r="C884" s="2" t="s">
        <v>101</v>
      </c>
      <c r="D884" s="3">
        <v>45733</v>
      </c>
      <c r="E884" s="3">
        <v>45734</v>
      </c>
      <c r="F884" s="4"/>
      <c r="G884" s="2" t="s">
        <v>17</v>
      </c>
      <c r="H884" s="2" t="s">
        <v>37</v>
      </c>
      <c r="I884" s="2" t="s">
        <v>195</v>
      </c>
      <c r="J884" s="2" t="s">
        <v>94</v>
      </c>
      <c r="K884" s="2">
        <v>294.61</v>
      </c>
      <c r="L884" s="2" t="str">
        <f t="shared" si="78"/>
        <v>March</v>
      </c>
      <c r="M884" s="2" t="str">
        <f t="shared" si="79"/>
        <v>March</v>
      </c>
      <c r="N884" t="str">
        <f t="shared" si="80"/>
        <v>Delivered</v>
      </c>
      <c r="O884">
        <f t="shared" si="81"/>
        <v>1</v>
      </c>
      <c r="P884" t="str">
        <f t="shared" si="82"/>
        <v>Completed</v>
      </c>
      <c r="Q884" t="str">
        <f t="shared" si="83"/>
        <v>Fast</v>
      </c>
      <c r="R884" t="str">
        <f>_xlfn.XLOOKUP(B884,CustomerMaster!$A$2:$A$287,CustomerMaster!$B$2:$B$287)</f>
        <v>Customer_1</v>
      </c>
      <c r="S884" t="str">
        <f>_xlfn.XLOOKUP(C884,ProductMaster!$A$2:$A$51,ProductMaster!$B$2:$B$51)</f>
        <v>Product_27</v>
      </c>
      <c r="T884" t="str">
        <f>_xlfn.XLOOKUP(G884,RegionMaster!$A$2:$A$5,RegionMaster!$B$2:$B$5)</f>
        <v>B</v>
      </c>
    </row>
    <row r="885" spans="1:20" ht="15.75" customHeight="1">
      <c r="A885" s="2" t="s">
        <v>1595</v>
      </c>
      <c r="B885" s="2" t="s">
        <v>202</v>
      </c>
      <c r="C885" s="2" t="s">
        <v>160</v>
      </c>
      <c r="D885" s="3">
        <v>45688</v>
      </c>
      <c r="E885" s="4"/>
      <c r="F885" s="3">
        <v>45690</v>
      </c>
      <c r="G885" s="2" t="s">
        <v>45</v>
      </c>
      <c r="H885" s="2" t="s">
        <v>16</v>
      </c>
      <c r="I885" s="2" t="s">
        <v>106</v>
      </c>
      <c r="J885" s="2" t="s">
        <v>107</v>
      </c>
      <c r="K885" s="2">
        <v>699.72</v>
      </c>
      <c r="L885" s="2" t="str">
        <f t="shared" si="78"/>
        <v>January</v>
      </c>
      <c r="M885" s="2" t="str">
        <f t="shared" si="79"/>
        <v>Cancelled</v>
      </c>
      <c r="N885" t="str">
        <f t="shared" si="80"/>
        <v>Cancelled</v>
      </c>
      <c r="O885" t="str">
        <f t="shared" si="81"/>
        <v>Order Cancelled</v>
      </c>
      <c r="P885" t="str">
        <f t="shared" si="82"/>
        <v>Cancelled</v>
      </c>
      <c r="Q885" t="str">
        <f t="shared" si="83"/>
        <v>Cancelled</v>
      </c>
      <c r="R885" t="str">
        <f>_xlfn.XLOOKUP(B885,CustomerMaster!$A$2:$A$287,CustomerMaster!$B$2:$B$287)</f>
        <v>Customer_27</v>
      </c>
      <c r="S885" t="str">
        <f>_xlfn.XLOOKUP(C885,ProductMaster!$A$2:$A$51,ProductMaster!$B$2:$B$51)</f>
        <v>Product_34</v>
      </c>
      <c r="T885" t="str">
        <f>_xlfn.XLOOKUP(G885,RegionMaster!$A$2:$A$5,RegionMaster!$B$2:$B$5)</f>
        <v>D</v>
      </c>
    </row>
    <row r="886" spans="1:20" ht="15.75" customHeight="1">
      <c r="A886" s="2" t="s">
        <v>1596</v>
      </c>
      <c r="B886" s="2" t="s">
        <v>64</v>
      </c>
      <c r="C886" s="2" t="s">
        <v>72</v>
      </c>
      <c r="D886" s="3">
        <v>45728</v>
      </c>
      <c r="E886" s="3">
        <v>45732</v>
      </c>
      <c r="F886" s="4"/>
      <c r="G886" s="2" t="s">
        <v>7</v>
      </c>
      <c r="H886" s="2" t="s">
        <v>27</v>
      </c>
      <c r="I886" s="2" t="s">
        <v>90</v>
      </c>
      <c r="J886" s="2" t="s">
        <v>94</v>
      </c>
      <c r="K886" s="2">
        <v>4039.6</v>
      </c>
      <c r="L886" s="2" t="str">
        <f t="shared" si="78"/>
        <v>March</v>
      </c>
      <c r="M886" s="2" t="str">
        <f t="shared" si="79"/>
        <v>March</v>
      </c>
      <c r="N886" t="str">
        <f t="shared" si="80"/>
        <v>Delivered</v>
      </c>
      <c r="O886">
        <f t="shared" si="81"/>
        <v>4</v>
      </c>
      <c r="P886" t="str">
        <f t="shared" si="82"/>
        <v>Completed</v>
      </c>
      <c r="Q886" t="str">
        <f t="shared" si="83"/>
        <v>Slow</v>
      </c>
      <c r="R886" t="str">
        <f>_xlfn.XLOOKUP(B886,CustomerMaster!$A$2:$A$287,CustomerMaster!$B$2:$B$287)</f>
        <v>Customer_7</v>
      </c>
      <c r="S886" t="str">
        <f>_xlfn.XLOOKUP(C886,ProductMaster!$A$2:$A$51,ProductMaster!$B$2:$B$51)</f>
        <v>Product_10</v>
      </c>
      <c r="T886" t="str">
        <f>_xlfn.XLOOKUP(G886,RegionMaster!$A$2:$A$5,RegionMaster!$B$2:$B$5)</f>
        <v>A</v>
      </c>
    </row>
    <row r="887" spans="1:20" ht="15.75" customHeight="1">
      <c r="A887" s="2" t="s">
        <v>1597</v>
      </c>
      <c r="B887" s="2" t="s">
        <v>722</v>
      </c>
      <c r="C887" s="2" t="s">
        <v>87</v>
      </c>
      <c r="D887" s="3">
        <v>45758</v>
      </c>
      <c r="E887" s="3">
        <v>45763</v>
      </c>
      <c r="F887" s="4"/>
      <c r="G887" s="2" t="s">
        <v>17</v>
      </c>
      <c r="H887" s="2" t="s">
        <v>16</v>
      </c>
      <c r="I887" s="2" t="s">
        <v>178</v>
      </c>
      <c r="J887" s="2" t="s">
        <v>107</v>
      </c>
      <c r="K887" s="2">
        <v>1057.01</v>
      </c>
      <c r="L887" s="2" t="str">
        <f t="shared" si="78"/>
        <v>April</v>
      </c>
      <c r="M887" s="2" t="str">
        <f t="shared" si="79"/>
        <v>April</v>
      </c>
      <c r="N887" t="str">
        <f t="shared" si="80"/>
        <v>Delivered</v>
      </c>
      <c r="O887">
        <f t="shared" si="81"/>
        <v>5</v>
      </c>
      <c r="P887" t="str">
        <f t="shared" si="82"/>
        <v>Completed</v>
      </c>
      <c r="Q887" t="str">
        <f t="shared" si="83"/>
        <v>Slow</v>
      </c>
      <c r="R887" t="str">
        <f>_xlfn.XLOOKUP(B887,CustomerMaster!$A$2:$A$287,CustomerMaster!$B$2:$B$287)</f>
        <v>Customer_241</v>
      </c>
      <c r="S887" t="str">
        <f>_xlfn.XLOOKUP(C887,ProductMaster!$A$2:$A$51,ProductMaster!$B$2:$B$51)</f>
        <v>Product_15</v>
      </c>
      <c r="T887" t="str">
        <f>_xlfn.XLOOKUP(G887,RegionMaster!$A$2:$A$5,RegionMaster!$B$2:$B$5)</f>
        <v>B</v>
      </c>
    </row>
    <row r="888" spans="1:20" ht="15.75" customHeight="1">
      <c r="A888" s="2" t="s">
        <v>1598</v>
      </c>
      <c r="B888" s="2" t="s">
        <v>302</v>
      </c>
      <c r="C888" s="2" t="s">
        <v>141</v>
      </c>
      <c r="D888" s="3">
        <v>45719</v>
      </c>
      <c r="E888" s="3">
        <v>45724</v>
      </c>
      <c r="F888" s="4"/>
      <c r="G888" s="2" t="s">
        <v>45</v>
      </c>
      <c r="H888" s="2" t="s">
        <v>16</v>
      </c>
      <c r="I888" s="2" t="s">
        <v>90</v>
      </c>
      <c r="J888" s="2" t="s">
        <v>133</v>
      </c>
      <c r="K888" s="2">
        <v>3333.18</v>
      </c>
      <c r="L888" s="2" t="str">
        <f t="shared" si="78"/>
        <v>March</v>
      </c>
      <c r="M888" s="2" t="str">
        <f t="shared" si="79"/>
        <v>March</v>
      </c>
      <c r="N888" t="str">
        <f t="shared" si="80"/>
        <v>Delivered</v>
      </c>
      <c r="O888">
        <f t="shared" si="81"/>
        <v>5</v>
      </c>
      <c r="P888" t="str">
        <f t="shared" si="82"/>
        <v>Completed</v>
      </c>
      <c r="Q888" t="str">
        <f t="shared" si="83"/>
        <v>Slow</v>
      </c>
      <c r="R888" t="str">
        <f>_xlfn.XLOOKUP(B888,CustomerMaster!$A$2:$A$287,CustomerMaster!$B$2:$B$287)</f>
        <v>Customer_267</v>
      </c>
      <c r="S888" t="str">
        <f>_xlfn.XLOOKUP(C888,ProductMaster!$A$2:$A$51,ProductMaster!$B$2:$B$51)</f>
        <v>Product_42</v>
      </c>
      <c r="T888" t="str">
        <f>_xlfn.XLOOKUP(G888,RegionMaster!$A$2:$A$5,RegionMaster!$B$2:$B$5)</f>
        <v>D</v>
      </c>
    </row>
    <row r="889" spans="1:20" ht="15.75" customHeight="1">
      <c r="A889" s="2" t="s">
        <v>1599</v>
      </c>
      <c r="B889" s="2" t="s">
        <v>507</v>
      </c>
      <c r="C889" s="2" t="s">
        <v>63</v>
      </c>
      <c r="D889" s="3">
        <v>45754</v>
      </c>
      <c r="E889" s="4"/>
      <c r="F889" s="3">
        <v>45755</v>
      </c>
      <c r="G889" s="2" t="s">
        <v>45</v>
      </c>
      <c r="H889" s="2" t="s">
        <v>54</v>
      </c>
      <c r="I889" s="2" t="s">
        <v>106</v>
      </c>
      <c r="J889" s="2" t="s">
        <v>94</v>
      </c>
      <c r="K889" s="2">
        <v>1343.28</v>
      </c>
      <c r="L889" s="2" t="str">
        <f t="shared" si="78"/>
        <v>April</v>
      </c>
      <c r="M889" s="2" t="str">
        <f t="shared" si="79"/>
        <v>Cancelled</v>
      </c>
      <c r="N889" t="str">
        <f t="shared" si="80"/>
        <v>Cancelled</v>
      </c>
      <c r="O889" t="str">
        <f t="shared" si="81"/>
        <v>Order Cancelled</v>
      </c>
      <c r="P889" t="str">
        <f t="shared" si="82"/>
        <v>Cancelled</v>
      </c>
      <c r="Q889" t="str">
        <f t="shared" si="83"/>
        <v>Cancelled</v>
      </c>
      <c r="R889" t="str">
        <f>_xlfn.XLOOKUP(B889,CustomerMaster!$A$2:$A$287,CustomerMaster!$B$2:$B$287)</f>
        <v>Customer_269</v>
      </c>
      <c r="S889" t="str">
        <f>_xlfn.XLOOKUP(C889,ProductMaster!$A$2:$A$51,ProductMaster!$B$2:$B$51)</f>
        <v>Product_8</v>
      </c>
      <c r="T889" t="str">
        <f>_xlfn.XLOOKUP(G889,RegionMaster!$A$2:$A$5,RegionMaster!$B$2:$B$5)</f>
        <v>D</v>
      </c>
    </row>
    <row r="890" spans="1:20" ht="15.75" customHeight="1">
      <c r="A890" s="2" t="s">
        <v>1600</v>
      </c>
      <c r="B890" s="2" t="s">
        <v>262</v>
      </c>
      <c r="C890" s="2" t="s">
        <v>39</v>
      </c>
      <c r="D890" s="3">
        <v>45769</v>
      </c>
      <c r="E890" s="4"/>
      <c r="F890" s="3">
        <v>45770</v>
      </c>
      <c r="G890" s="2" t="s">
        <v>45</v>
      </c>
      <c r="H890" s="2" t="s">
        <v>27</v>
      </c>
      <c r="I890" s="2" t="s">
        <v>90</v>
      </c>
      <c r="J890" s="2" t="s">
        <v>133</v>
      </c>
      <c r="K890" s="2">
        <v>677.32</v>
      </c>
      <c r="L890" s="2" t="str">
        <f t="shared" si="78"/>
        <v>April</v>
      </c>
      <c r="M890" s="2" t="str">
        <f t="shared" si="79"/>
        <v>Cancelled</v>
      </c>
      <c r="N890" t="str">
        <f t="shared" si="80"/>
        <v>Cancelled</v>
      </c>
      <c r="O890" t="str">
        <f t="shared" si="81"/>
        <v>Order Cancelled</v>
      </c>
      <c r="P890" t="str">
        <f t="shared" si="82"/>
        <v>Cancelled</v>
      </c>
      <c r="Q890" t="str">
        <f t="shared" si="83"/>
        <v>Cancelled</v>
      </c>
      <c r="R890" t="str">
        <f>_xlfn.XLOOKUP(B890,CustomerMaster!$A$2:$A$287,CustomerMaster!$B$2:$B$287)</f>
        <v>Customer_46</v>
      </c>
      <c r="S890" t="str">
        <f>_xlfn.XLOOKUP(C890,ProductMaster!$A$2:$A$51,ProductMaster!$B$2:$B$51)</f>
        <v>Product_4</v>
      </c>
      <c r="T890" t="str">
        <f>_xlfn.XLOOKUP(G890,RegionMaster!$A$2:$A$5,RegionMaster!$B$2:$B$5)</f>
        <v>D</v>
      </c>
    </row>
    <row r="891" spans="1:20" ht="15.75" customHeight="1">
      <c r="A891" s="2" t="s">
        <v>1601</v>
      </c>
      <c r="B891" s="2" t="s">
        <v>637</v>
      </c>
      <c r="C891" s="2" t="s">
        <v>191</v>
      </c>
      <c r="D891" s="3">
        <v>45705</v>
      </c>
      <c r="E891" s="4"/>
      <c r="F891" s="3">
        <v>45707</v>
      </c>
      <c r="G891" s="2" t="s">
        <v>45</v>
      </c>
      <c r="H891" s="2" t="s">
        <v>16</v>
      </c>
      <c r="I891" s="2" t="s">
        <v>106</v>
      </c>
      <c r="J891" s="2" t="s">
        <v>107</v>
      </c>
      <c r="K891" s="2">
        <v>1367.23</v>
      </c>
      <c r="L891" s="2" t="str">
        <f t="shared" si="78"/>
        <v>February</v>
      </c>
      <c r="M891" s="2" t="str">
        <f t="shared" si="79"/>
        <v>Cancelled</v>
      </c>
      <c r="N891" t="str">
        <f t="shared" si="80"/>
        <v>Cancelled</v>
      </c>
      <c r="O891" t="str">
        <f t="shared" si="81"/>
        <v>Order Cancelled</v>
      </c>
      <c r="P891" t="str">
        <f t="shared" si="82"/>
        <v>Cancelled</v>
      </c>
      <c r="Q891" t="str">
        <f t="shared" si="83"/>
        <v>Cancelled</v>
      </c>
      <c r="R891" t="str">
        <f>_xlfn.XLOOKUP(B891,CustomerMaster!$A$2:$A$287,CustomerMaster!$B$2:$B$287)</f>
        <v>Customer_203</v>
      </c>
      <c r="S891" t="str">
        <f>_xlfn.XLOOKUP(C891,ProductMaster!$A$2:$A$51,ProductMaster!$B$2:$B$51)</f>
        <v>Product_43</v>
      </c>
      <c r="T891" t="str">
        <f>_xlfn.XLOOKUP(G891,RegionMaster!$A$2:$A$5,RegionMaster!$B$2:$B$5)</f>
        <v>D</v>
      </c>
    </row>
    <row r="892" spans="1:20" ht="15.75" customHeight="1">
      <c r="A892" s="2" t="s">
        <v>1602</v>
      </c>
      <c r="B892" s="2" t="s">
        <v>762</v>
      </c>
      <c r="C892" s="2" t="s">
        <v>9</v>
      </c>
      <c r="D892" s="3">
        <v>45667</v>
      </c>
      <c r="E892" s="3">
        <v>45672</v>
      </c>
      <c r="F892" s="4"/>
      <c r="G892" s="2" t="s">
        <v>7</v>
      </c>
      <c r="H892" s="2" t="s">
        <v>27</v>
      </c>
      <c r="I892" s="2" t="s">
        <v>178</v>
      </c>
      <c r="J892" s="2" t="s">
        <v>94</v>
      </c>
      <c r="K892" s="2">
        <v>3666.88</v>
      </c>
      <c r="L892" s="2" t="str">
        <f t="shared" si="78"/>
        <v>January</v>
      </c>
      <c r="M892" s="2" t="str">
        <f t="shared" si="79"/>
        <v>January</v>
      </c>
      <c r="N892" t="str">
        <f t="shared" si="80"/>
        <v>Delivered</v>
      </c>
      <c r="O892">
        <f t="shared" si="81"/>
        <v>5</v>
      </c>
      <c r="P892" t="str">
        <f t="shared" si="82"/>
        <v>Completed</v>
      </c>
      <c r="Q892" t="str">
        <f t="shared" si="83"/>
        <v>Slow</v>
      </c>
      <c r="R892" t="str">
        <f>_xlfn.XLOOKUP(B892,CustomerMaster!$A$2:$A$287,CustomerMaster!$B$2:$B$287)</f>
        <v>Customer_261</v>
      </c>
      <c r="S892" t="str">
        <f>_xlfn.XLOOKUP(C892,ProductMaster!$A$2:$A$51,ProductMaster!$B$2:$B$51)</f>
        <v>Product_0</v>
      </c>
      <c r="T892" t="str">
        <f>_xlfn.XLOOKUP(G892,RegionMaster!$A$2:$A$5,RegionMaster!$B$2:$B$5)</f>
        <v>A</v>
      </c>
    </row>
    <row r="893" spans="1:20" ht="15.75" customHeight="1">
      <c r="A893" s="2" t="s">
        <v>1603</v>
      </c>
      <c r="B893" s="2" t="s">
        <v>11</v>
      </c>
      <c r="C893" s="2" t="s">
        <v>50</v>
      </c>
      <c r="D893" s="3">
        <v>45758</v>
      </c>
      <c r="E893" s="3">
        <v>45763</v>
      </c>
      <c r="F893" s="4"/>
      <c r="G893" s="2" t="s">
        <v>45</v>
      </c>
      <c r="H893" s="2" t="s">
        <v>37</v>
      </c>
      <c r="I893" s="2" t="s">
        <v>106</v>
      </c>
      <c r="J893" s="2" t="s">
        <v>133</v>
      </c>
      <c r="K893" s="2">
        <v>4307.34</v>
      </c>
      <c r="L893" s="2" t="str">
        <f t="shared" si="78"/>
        <v>April</v>
      </c>
      <c r="M893" s="2" t="str">
        <f t="shared" si="79"/>
        <v>April</v>
      </c>
      <c r="N893" t="str">
        <f t="shared" si="80"/>
        <v>Delivered</v>
      </c>
      <c r="O893">
        <f t="shared" si="81"/>
        <v>5</v>
      </c>
      <c r="P893" t="str">
        <f t="shared" si="82"/>
        <v>Completed</v>
      </c>
      <c r="Q893" t="str">
        <f t="shared" si="83"/>
        <v>Slow</v>
      </c>
      <c r="R893" t="str">
        <f>_xlfn.XLOOKUP(B893,CustomerMaster!$A$2:$A$287,CustomerMaster!$B$2:$B$287)</f>
        <v>Customer_0</v>
      </c>
      <c r="S893" t="str">
        <f>_xlfn.XLOOKUP(C893,ProductMaster!$A$2:$A$51,ProductMaster!$B$2:$B$51)</f>
        <v>Product_6</v>
      </c>
      <c r="T893" t="str">
        <f>_xlfn.XLOOKUP(G893,RegionMaster!$A$2:$A$5,RegionMaster!$B$2:$B$5)</f>
        <v>D</v>
      </c>
    </row>
    <row r="894" spans="1:20" ht="15.75" customHeight="1">
      <c r="A894" s="2" t="s">
        <v>1604</v>
      </c>
      <c r="B894" s="2" t="s">
        <v>328</v>
      </c>
      <c r="C894" s="2" t="s">
        <v>213</v>
      </c>
      <c r="D894" s="3">
        <v>45767</v>
      </c>
      <c r="E894" s="3">
        <v>45771</v>
      </c>
      <c r="F894" s="4"/>
      <c r="G894" s="2" t="s">
        <v>17</v>
      </c>
      <c r="H894" s="2" t="s">
        <v>59</v>
      </c>
      <c r="I894" s="2" t="s">
        <v>195</v>
      </c>
      <c r="J894" s="2" t="s">
        <v>94</v>
      </c>
      <c r="K894" s="2">
        <v>4185.0600000000004</v>
      </c>
      <c r="L894" s="2" t="str">
        <f t="shared" si="78"/>
        <v>April</v>
      </c>
      <c r="M894" s="2" t="str">
        <f t="shared" si="79"/>
        <v>April</v>
      </c>
      <c r="N894" t="str">
        <f t="shared" si="80"/>
        <v>Delivered</v>
      </c>
      <c r="O894">
        <f t="shared" si="81"/>
        <v>4</v>
      </c>
      <c r="P894" t="str">
        <f t="shared" si="82"/>
        <v>Completed</v>
      </c>
      <c r="Q894" t="str">
        <f t="shared" si="83"/>
        <v>Slow</v>
      </c>
      <c r="R894" t="str">
        <f>_xlfn.XLOOKUP(B894,CustomerMaster!$A$2:$A$287,CustomerMaster!$B$2:$B$287)</f>
        <v>Customer_73</v>
      </c>
      <c r="S894" t="str">
        <f>_xlfn.XLOOKUP(C894,ProductMaster!$A$2:$A$51,ProductMaster!$B$2:$B$51)</f>
        <v>Product_49</v>
      </c>
      <c r="T894" t="str">
        <f>_xlfn.XLOOKUP(G894,RegionMaster!$A$2:$A$5,RegionMaster!$B$2:$B$5)</f>
        <v>B</v>
      </c>
    </row>
    <row r="895" spans="1:20" ht="15.75" customHeight="1">
      <c r="A895" s="2" t="s">
        <v>1605</v>
      </c>
      <c r="B895" s="2" t="s">
        <v>597</v>
      </c>
      <c r="C895" s="2" t="s">
        <v>87</v>
      </c>
      <c r="D895" s="3">
        <v>45775</v>
      </c>
      <c r="E895" s="3">
        <v>45781</v>
      </c>
      <c r="F895" s="4"/>
      <c r="G895" s="2" t="s">
        <v>22</v>
      </c>
      <c r="H895" s="2" t="s">
        <v>54</v>
      </c>
      <c r="I895" s="2" t="s">
        <v>90</v>
      </c>
      <c r="J895" s="2" t="s">
        <v>107</v>
      </c>
      <c r="K895" s="2">
        <v>2106.48</v>
      </c>
      <c r="L895" s="2" t="str">
        <f t="shared" si="78"/>
        <v>April</v>
      </c>
      <c r="M895" s="2" t="str">
        <f t="shared" si="79"/>
        <v>May</v>
      </c>
      <c r="N895" t="str">
        <f t="shared" si="80"/>
        <v>Delivered</v>
      </c>
      <c r="O895">
        <f t="shared" si="81"/>
        <v>6</v>
      </c>
      <c r="P895" t="str">
        <f t="shared" si="82"/>
        <v>Completed</v>
      </c>
      <c r="Q895" t="str">
        <f t="shared" si="83"/>
        <v>Slow</v>
      </c>
      <c r="R895" t="str">
        <f>_xlfn.XLOOKUP(B895,CustomerMaster!$A$2:$A$287,CustomerMaster!$B$2:$B$287)</f>
        <v>Customer_186</v>
      </c>
      <c r="S895" t="str">
        <f>_xlfn.XLOOKUP(C895,ProductMaster!$A$2:$A$51,ProductMaster!$B$2:$B$51)</f>
        <v>Product_15</v>
      </c>
      <c r="T895" t="str">
        <f>_xlfn.XLOOKUP(G895,RegionMaster!$A$2:$A$5,RegionMaster!$B$2:$B$5)</f>
        <v>C</v>
      </c>
    </row>
    <row r="896" spans="1:20" ht="15.75" customHeight="1">
      <c r="A896" s="2" t="s">
        <v>1606</v>
      </c>
      <c r="B896" s="2" t="s">
        <v>382</v>
      </c>
      <c r="C896" s="2" t="s">
        <v>68</v>
      </c>
      <c r="D896" s="3">
        <v>45759</v>
      </c>
      <c r="E896" s="3">
        <v>45760</v>
      </c>
      <c r="F896" s="4"/>
      <c r="G896" s="2" t="s">
        <v>22</v>
      </c>
      <c r="H896" s="2" t="s">
        <v>54</v>
      </c>
      <c r="I896" s="2" t="s">
        <v>90</v>
      </c>
      <c r="J896" s="2" t="s">
        <v>107</v>
      </c>
      <c r="K896" s="2">
        <v>3406.81</v>
      </c>
      <c r="L896" s="2" t="str">
        <f t="shared" si="78"/>
        <v>April</v>
      </c>
      <c r="M896" s="2" t="str">
        <f t="shared" si="79"/>
        <v>April</v>
      </c>
      <c r="N896" t="str">
        <f t="shared" si="80"/>
        <v>Delivered</v>
      </c>
      <c r="O896">
        <f t="shared" si="81"/>
        <v>1</v>
      </c>
      <c r="P896" t="str">
        <f t="shared" si="82"/>
        <v>Completed</v>
      </c>
      <c r="Q896" t="str">
        <f t="shared" si="83"/>
        <v>Fast</v>
      </c>
      <c r="R896" t="str">
        <f>_xlfn.XLOOKUP(B896,CustomerMaster!$A$2:$A$287,CustomerMaster!$B$2:$B$287)</f>
        <v>Customer_98</v>
      </c>
      <c r="S896" t="str">
        <f>_xlfn.XLOOKUP(C896,ProductMaster!$A$2:$A$51,ProductMaster!$B$2:$B$51)</f>
        <v>Product_13</v>
      </c>
      <c r="T896" t="str">
        <f>_xlfn.XLOOKUP(G896,RegionMaster!$A$2:$A$5,RegionMaster!$B$2:$B$5)</f>
        <v>C</v>
      </c>
    </row>
    <row r="897" spans="1:20" ht="15.75" customHeight="1">
      <c r="A897" s="2" t="s">
        <v>1607</v>
      </c>
      <c r="B897" s="2" t="s">
        <v>226</v>
      </c>
      <c r="C897" s="2" t="s">
        <v>20</v>
      </c>
      <c r="D897" s="3">
        <v>45658</v>
      </c>
      <c r="E897" s="3">
        <v>45662</v>
      </c>
      <c r="F897" s="4"/>
      <c r="G897" s="2" t="s">
        <v>7</v>
      </c>
      <c r="H897" s="2" t="s">
        <v>16</v>
      </c>
      <c r="I897" s="2" t="s">
        <v>90</v>
      </c>
      <c r="J897" s="2" t="s">
        <v>107</v>
      </c>
      <c r="K897" s="2">
        <v>1183.92</v>
      </c>
      <c r="L897" s="2" t="str">
        <f t="shared" si="78"/>
        <v>January</v>
      </c>
      <c r="M897" s="2" t="str">
        <f t="shared" si="79"/>
        <v>January</v>
      </c>
      <c r="N897" t="str">
        <f t="shared" si="80"/>
        <v>Delivered</v>
      </c>
      <c r="O897">
        <f t="shared" si="81"/>
        <v>4</v>
      </c>
      <c r="P897" t="str">
        <f t="shared" si="82"/>
        <v>Completed</v>
      </c>
      <c r="Q897" t="str">
        <f t="shared" si="83"/>
        <v>Slow</v>
      </c>
      <c r="R897" t="str">
        <f>_xlfn.XLOOKUP(B897,CustomerMaster!$A$2:$A$287,CustomerMaster!$B$2:$B$287)</f>
        <v>Customer_32</v>
      </c>
      <c r="S897" t="str">
        <f>_xlfn.XLOOKUP(C897,ProductMaster!$A$2:$A$51,ProductMaster!$B$2:$B$51)</f>
        <v>Product_1</v>
      </c>
      <c r="T897" t="str">
        <f>_xlfn.XLOOKUP(G897,RegionMaster!$A$2:$A$5,RegionMaster!$B$2:$B$5)</f>
        <v>A</v>
      </c>
    </row>
    <row r="898" spans="1:20" ht="15.75" customHeight="1">
      <c r="A898" s="2" t="s">
        <v>1608</v>
      </c>
      <c r="B898" s="2" t="s">
        <v>449</v>
      </c>
      <c r="C898" s="2" t="s">
        <v>68</v>
      </c>
      <c r="D898" s="3">
        <v>45685</v>
      </c>
      <c r="E898" s="4"/>
      <c r="F898" s="3">
        <v>45686</v>
      </c>
      <c r="G898" s="2" t="s">
        <v>7</v>
      </c>
      <c r="H898" s="2" t="s">
        <v>59</v>
      </c>
      <c r="I898" s="2" t="s">
        <v>106</v>
      </c>
      <c r="J898" s="2" t="s">
        <v>133</v>
      </c>
      <c r="K898" s="2">
        <v>1607.11</v>
      </c>
      <c r="L898" s="2" t="str">
        <f t="shared" si="78"/>
        <v>January</v>
      </c>
      <c r="M898" s="2" t="str">
        <f t="shared" si="79"/>
        <v>Cancelled</v>
      </c>
      <c r="N898" t="str">
        <f t="shared" si="80"/>
        <v>Cancelled</v>
      </c>
      <c r="O898" t="str">
        <f t="shared" si="81"/>
        <v>Order Cancelled</v>
      </c>
      <c r="P898" t="str">
        <f t="shared" si="82"/>
        <v>Cancelled</v>
      </c>
      <c r="Q898" t="str">
        <f t="shared" si="83"/>
        <v>Cancelled</v>
      </c>
      <c r="R898" t="str">
        <f>_xlfn.XLOOKUP(B898,CustomerMaster!$A$2:$A$287,CustomerMaster!$B$2:$B$287)</f>
        <v>Customer_125</v>
      </c>
      <c r="S898" t="str">
        <f>_xlfn.XLOOKUP(C898,ProductMaster!$A$2:$A$51,ProductMaster!$B$2:$B$51)</f>
        <v>Product_13</v>
      </c>
      <c r="T898" t="str">
        <f>_xlfn.XLOOKUP(G898,RegionMaster!$A$2:$A$5,RegionMaster!$B$2:$B$5)</f>
        <v>A</v>
      </c>
    </row>
    <row r="899" spans="1:20" ht="15.75" customHeight="1">
      <c r="A899" s="2" t="s">
        <v>1609</v>
      </c>
      <c r="B899" s="2" t="s">
        <v>673</v>
      </c>
      <c r="C899" s="2" t="s">
        <v>138</v>
      </c>
      <c r="D899" s="3">
        <v>45778</v>
      </c>
      <c r="E899" s="3">
        <v>45784</v>
      </c>
      <c r="F899" s="4"/>
      <c r="G899" s="2" t="s">
        <v>22</v>
      </c>
      <c r="H899" s="2" t="s">
        <v>54</v>
      </c>
      <c r="I899" s="2" t="s">
        <v>121</v>
      </c>
      <c r="J899" s="2" t="s">
        <v>107</v>
      </c>
      <c r="K899" s="2">
        <v>4502.41</v>
      </c>
      <c r="L899" s="2" t="str">
        <f t="shared" ref="L899:L962" si="84">TEXT(D899,"MMMM")</f>
        <v>May</v>
      </c>
      <c r="M899" s="2" t="str">
        <f t="shared" ref="M899:M962" si="85">IF(NOT(ISBLANK(E899)),TEXT(E899,"MMMM"),"Cancelled")</f>
        <v>May</v>
      </c>
      <c r="N899" t="str">
        <f t="shared" ref="N899:N962" si="86">IF(F899="","Delivered","Cancelled")</f>
        <v>Delivered</v>
      </c>
      <c r="O899">
        <f t="shared" ref="O899:O962" si="87">IF(E899="","Order Cancelled",_xlfn.DAYS(E899,D899))</f>
        <v>6</v>
      </c>
      <c r="P899" t="str">
        <f t="shared" ref="P899:P962" si="88">IF(F899="","Completed","Cancelled")</f>
        <v>Completed</v>
      </c>
      <c r="Q899" t="str">
        <f t="shared" ref="Q899:Q962" si="89">IF(O899="Order Cancelled","Cancelled",IF(O899&lt;=2,"Fast","Slow"))</f>
        <v>Slow</v>
      </c>
      <c r="R899" t="str">
        <f>_xlfn.XLOOKUP(B899,CustomerMaster!$A$2:$A$287,CustomerMaster!$B$2:$B$287)</f>
        <v>Customer_219</v>
      </c>
      <c r="S899" t="str">
        <f>_xlfn.XLOOKUP(C899,ProductMaster!$A$2:$A$51,ProductMaster!$B$2:$B$51)</f>
        <v>Product_28</v>
      </c>
      <c r="T899" t="str">
        <f>_xlfn.XLOOKUP(G899,RegionMaster!$A$2:$A$5,RegionMaster!$B$2:$B$5)</f>
        <v>C</v>
      </c>
    </row>
    <row r="900" spans="1:20" ht="15.75" customHeight="1">
      <c r="A900" s="2" t="s">
        <v>1610</v>
      </c>
      <c r="B900" s="2" t="s">
        <v>451</v>
      </c>
      <c r="C900" s="2" t="s">
        <v>164</v>
      </c>
      <c r="D900" s="3">
        <v>45670</v>
      </c>
      <c r="E900" s="3">
        <v>45672</v>
      </c>
      <c r="F900" s="4"/>
      <c r="G900" s="2" t="s">
        <v>17</v>
      </c>
      <c r="H900" s="2" t="s">
        <v>37</v>
      </c>
      <c r="I900" s="2" t="s">
        <v>121</v>
      </c>
      <c r="J900" s="2" t="s">
        <v>94</v>
      </c>
      <c r="K900" s="2">
        <v>262.41000000000003</v>
      </c>
      <c r="L900" s="2" t="str">
        <f t="shared" si="84"/>
        <v>January</v>
      </c>
      <c r="M900" s="2" t="str">
        <f t="shared" si="85"/>
        <v>January</v>
      </c>
      <c r="N900" t="str">
        <f t="shared" si="86"/>
        <v>Delivered</v>
      </c>
      <c r="O900">
        <f t="shared" si="87"/>
        <v>2</v>
      </c>
      <c r="P900" t="str">
        <f t="shared" si="88"/>
        <v>Completed</v>
      </c>
      <c r="Q900" t="str">
        <f t="shared" si="89"/>
        <v>Fast</v>
      </c>
      <c r="R900" t="str">
        <f>_xlfn.XLOOKUP(B900,CustomerMaster!$A$2:$A$287,CustomerMaster!$B$2:$B$287)</f>
        <v>Customer_126</v>
      </c>
      <c r="S900" t="str">
        <f>_xlfn.XLOOKUP(C900,ProductMaster!$A$2:$A$51,ProductMaster!$B$2:$B$51)</f>
        <v>Product_36</v>
      </c>
      <c r="T900" t="str">
        <f>_xlfn.XLOOKUP(G900,RegionMaster!$A$2:$A$5,RegionMaster!$B$2:$B$5)</f>
        <v>B</v>
      </c>
    </row>
    <row r="901" spans="1:20" ht="15.75" customHeight="1">
      <c r="A901" s="2" t="s">
        <v>1611</v>
      </c>
      <c r="B901" s="2" t="s">
        <v>175</v>
      </c>
      <c r="C901" s="2" t="s">
        <v>194</v>
      </c>
      <c r="D901" s="3">
        <v>45680</v>
      </c>
      <c r="E901" s="3">
        <v>45682</v>
      </c>
      <c r="F901" s="4"/>
      <c r="G901" s="2" t="s">
        <v>22</v>
      </c>
      <c r="H901" s="2" t="s">
        <v>27</v>
      </c>
      <c r="I901" s="2" t="s">
        <v>121</v>
      </c>
      <c r="J901" s="2" t="s">
        <v>94</v>
      </c>
      <c r="K901" s="2">
        <v>610.44000000000005</v>
      </c>
      <c r="L901" s="2" t="str">
        <f t="shared" si="84"/>
        <v>January</v>
      </c>
      <c r="M901" s="2" t="str">
        <f t="shared" si="85"/>
        <v>January</v>
      </c>
      <c r="N901" t="str">
        <f t="shared" si="86"/>
        <v>Delivered</v>
      </c>
      <c r="O901">
        <f t="shared" si="87"/>
        <v>2</v>
      </c>
      <c r="P901" t="str">
        <f t="shared" si="88"/>
        <v>Completed</v>
      </c>
      <c r="Q901" t="str">
        <f t="shared" si="89"/>
        <v>Fast</v>
      </c>
      <c r="R901" t="str">
        <f>_xlfn.XLOOKUP(B901,CustomerMaster!$A$2:$A$287,CustomerMaster!$B$2:$B$287)</f>
        <v>Customer_22</v>
      </c>
      <c r="S901" t="str">
        <f>_xlfn.XLOOKUP(C901,ProductMaster!$A$2:$A$51,ProductMaster!$B$2:$B$51)</f>
        <v>Product_44</v>
      </c>
      <c r="T901" t="str">
        <f>_xlfn.XLOOKUP(G901,RegionMaster!$A$2:$A$5,RegionMaster!$B$2:$B$5)</f>
        <v>C</v>
      </c>
    </row>
    <row r="902" spans="1:20" ht="15.75" customHeight="1">
      <c r="A902" s="2" t="s">
        <v>1612</v>
      </c>
      <c r="B902" s="2" t="s">
        <v>603</v>
      </c>
      <c r="C902" s="2" t="s">
        <v>173</v>
      </c>
      <c r="D902" s="3">
        <v>45729</v>
      </c>
      <c r="E902" s="4"/>
      <c r="F902" s="3">
        <v>45731</v>
      </c>
      <c r="G902" s="2" t="s">
        <v>22</v>
      </c>
      <c r="H902" s="2" t="s">
        <v>59</v>
      </c>
      <c r="I902" s="2" t="s">
        <v>106</v>
      </c>
      <c r="J902" s="2" t="s">
        <v>94</v>
      </c>
      <c r="K902" s="2">
        <v>1197.8499999999999</v>
      </c>
      <c r="L902" s="2" t="str">
        <f t="shared" si="84"/>
        <v>March</v>
      </c>
      <c r="M902" s="2" t="str">
        <f t="shared" si="85"/>
        <v>Cancelled</v>
      </c>
      <c r="N902" t="str">
        <f t="shared" si="86"/>
        <v>Cancelled</v>
      </c>
      <c r="O902" t="str">
        <f t="shared" si="87"/>
        <v>Order Cancelled</v>
      </c>
      <c r="P902" t="str">
        <f t="shared" si="88"/>
        <v>Cancelled</v>
      </c>
      <c r="Q902" t="str">
        <f t="shared" si="89"/>
        <v>Cancelled</v>
      </c>
      <c r="R902" t="str">
        <f>_xlfn.XLOOKUP(B902,CustomerMaster!$A$2:$A$287,CustomerMaster!$B$2:$B$287)</f>
        <v>Customer_188</v>
      </c>
      <c r="S902" t="str">
        <f>_xlfn.XLOOKUP(C902,ProductMaster!$A$2:$A$51,ProductMaster!$B$2:$B$51)</f>
        <v>Product_38</v>
      </c>
      <c r="T902" t="str">
        <f>_xlfn.XLOOKUP(G902,RegionMaster!$A$2:$A$5,RegionMaster!$B$2:$B$5)</f>
        <v>C</v>
      </c>
    </row>
    <row r="903" spans="1:20" ht="15.75" customHeight="1">
      <c r="A903" s="2" t="s">
        <v>1613</v>
      </c>
      <c r="B903" s="2" t="s">
        <v>337</v>
      </c>
      <c r="C903" s="2" t="s">
        <v>168</v>
      </c>
      <c r="D903" s="3">
        <v>45740</v>
      </c>
      <c r="E903" s="4"/>
      <c r="F903" s="3">
        <v>45741</v>
      </c>
      <c r="G903" s="2" t="s">
        <v>7</v>
      </c>
      <c r="H903" s="2" t="s">
        <v>54</v>
      </c>
      <c r="I903" s="2" t="s">
        <v>90</v>
      </c>
      <c r="J903" s="2" t="s">
        <v>94</v>
      </c>
      <c r="K903" s="2">
        <v>327.35000000000002</v>
      </c>
      <c r="L903" s="2" t="str">
        <f t="shared" si="84"/>
        <v>March</v>
      </c>
      <c r="M903" s="2" t="str">
        <f t="shared" si="85"/>
        <v>Cancelled</v>
      </c>
      <c r="N903" t="str">
        <f t="shared" si="86"/>
        <v>Cancelled</v>
      </c>
      <c r="O903" t="str">
        <f t="shared" si="87"/>
        <v>Order Cancelled</v>
      </c>
      <c r="P903" t="str">
        <f t="shared" si="88"/>
        <v>Cancelled</v>
      </c>
      <c r="Q903" t="str">
        <f t="shared" si="89"/>
        <v>Cancelled</v>
      </c>
      <c r="R903" t="str">
        <f>_xlfn.XLOOKUP(B903,CustomerMaster!$A$2:$A$287,CustomerMaster!$B$2:$B$287)</f>
        <v>Customer_107</v>
      </c>
      <c r="S903" t="str">
        <f>_xlfn.XLOOKUP(C903,ProductMaster!$A$2:$A$51,ProductMaster!$B$2:$B$51)</f>
        <v>Product_37</v>
      </c>
      <c r="T903" t="str">
        <f>_xlfn.XLOOKUP(G903,RegionMaster!$A$2:$A$5,RegionMaster!$B$2:$B$5)</f>
        <v>A</v>
      </c>
    </row>
    <row r="904" spans="1:20" ht="15.75" customHeight="1">
      <c r="A904" s="2" t="s">
        <v>1614</v>
      </c>
      <c r="B904" s="2" t="s">
        <v>349</v>
      </c>
      <c r="C904" s="2" t="s">
        <v>29</v>
      </c>
      <c r="D904" s="3">
        <v>45728</v>
      </c>
      <c r="E904" s="4"/>
      <c r="F904" s="3">
        <v>45729</v>
      </c>
      <c r="G904" s="2" t="s">
        <v>45</v>
      </c>
      <c r="H904" s="2" t="s">
        <v>37</v>
      </c>
      <c r="I904" s="2" t="s">
        <v>106</v>
      </c>
      <c r="J904" s="2" t="s">
        <v>94</v>
      </c>
      <c r="K904" s="2">
        <v>1070.8900000000001</v>
      </c>
      <c r="L904" s="2" t="str">
        <f t="shared" si="84"/>
        <v>March</v>
      </c>
      <c r="M904" s="2" t="str">
        <f t="shared" si="85"/>
        <v>Cancelled</v>
      </c>
      <c r="N904" t="str">
        <f t="shared" si="86"/>
        <v>Cancelled</v>
      </c>
      <c r="O904" t="str">
        <f t="shared" si="87"/>
        <v>Order Cancelled</v>
      </c>
      <c r="P904" t="str">
        <f t="shared" si="88"/>
        <v>Cancelled</v>
      </c>
      <c r="Q904" t="str">
        <f t="shared" si="89"/>
        <v>Cancelled</v>
      </c>
      <c r="R904" t="str">
        <f>_xlfn.XLOOKUP(B904,CustomerMaster!$A$2:$A$287,CustomerMaster!$B$2:$B$287)</f>
        <v>Customer_82</v>
      </c>
      <c r="S904" t="str">
        <f>_xlfn.XLOOKUP(C904,ProductMaster!$A$2:$A$51,ProductMaster!$B$2:$B$51)</f>
        <v>Product_2</v>
      </c>
      <c r="T904" t="str">
        <f>_xlfn.XLOOKUP(G904,RegionMaster!$A$2:$A$5,RegionMaster!$B$2:$B$5)</f>
        <v>D</v>
      </c>
    </row>
    <row r="905" spans="1:20" ht="15.75" customHeight="1">
      <c r="A905" s="2" t="s">
        <v>1615</v>
      </c>
      <c r="B905" s="2" t="s">
        <v>758</v>
      </c>
      <c r="C905" s="2" t="s">
        <v>39</v>
      </c>
      <c r="D905" s="3">
        <v>45701</v>
      </c>
      <c r="E905" s="3">
        <v>45702</v>
      </c>
      <c r="F905" s="4"/>
      <c r="G905" s="2" t="s">
        <v>7</v>
      </c>
      <c r="H905" s="2" t="s">
        <v>16</v>
      </c>
      <c r="I905" s="2" t="s">
        <v>121</v>
      </c>
      <c r="J905" s="2" t="s">
        <v>107</v>
      </c>
      <c r="K905" s="2">
        <v>2998.6</v>
      </c>
      <c r="L905" s="2" t="str">
        <f t="shared" si="84"/>
        <v>February</v>
      </c>
      <c r="M905" s="2" t="str">
        <f t="shared" si="85"/>
        <v>February</v>
      </c>
      <c r="N905" t="str">
        <f t="shared" si="86"/>
        <v>Delivered</v>
      </c>
      <c r="O905">
        <f t="shared" si="87"/>
        <v>1</v>
      </c>
      <c r="P905" t="str">
        <f t="shared" si="88"/>
        <v>Completed</v>
      </c>
      <c r="Q905" t="str">
        <f t="shared" si="89"/>
        <v>Fast</v>
      </c>
      <c r="R905" t="str">
        <f>_xlfn.XLOOKUP(B905,CustomerMaster!$A$2:$A$287,CustomerMaster!$B$2:$B$287)</f>
        <v>Customer_259</v>
      </c>
      <c r="S905" t="str">
        <f>_xlfn.XLOOKUP(C905,ProductMaster!$A$2:$A$51,ProductMaster!$B$2:$B$51)</f>
        <v>Product_4</v>
      </c>
      <c r="T905" t="str">
        <f>_xlfn.XLOOKUP(G905,RegionMaster!$A$2:$A$5,RegionMaster!$B$2:$B$5)</f>
        <v>A</v>
      </c>
    </row>
    <row r="906" spans="1:20" ht="15.75" customHeight="1">
      <c r="A906" s="2" t="s">
        <v>1616</v>
      </c>
      <c r="B906" s="2" t="s">
        <v>681</v>
      </c>
      <c r="C906" s="2" t="s">
        <v>69</v>
      </c>
      <c r="D906" s="3">
        <v>45692</v>
      </c>
      <c r="E906" s="4"/>
      <c r="F906" s="3">
        <v>45694</v>
      </c>
      <c r="G906" s="2" t="s">
        <v>22</v>
      </c>
      <c r="H906" s="2" t="s">
        <v>16</v>
      </c>
      <c r="I906" s="2" t="s">
        <v>106</v>
      </c>
      <c r="J906" s="2" t="s">
        <v>133</v>
      </c>
      <c r="K906" s="2">
        <v>2222.84</v>
      </c>
      <c r="L906" s="2" t="str">
        <f t="shared" si="84"/>
        <v>February</v>
      </c>
      <c r="M906" s="2" t="str">
        <f t="shared" si="85"/>
        <v>Cancelled</v>
      </c>
      <c r="N906" t="str">
        <f t="shared" si="86"/>
        <v>Cancelled</v>
      </c>
      <c r="O906" t="str">
        <f t="shared" si="87"/>
        <v>Order Cancelled</v>
      </c>
      <c r="P906" t="str">
        <f t="shared" si="88"/>
        <v>Cancelled</v>
      </c>
      <c r="Q906" t="str">
        <f t="shared" si="89"/>
        <v>Cancelled</v>
      </c>
      <c r="R906" t="str">
        <f>_xlfn.XLOOKUP(B906,CustomerMaster!$A$2:$A$287,CustomerMaster!$B$2:$B$287)</f>
        <v>Customer_222</v>
      </c>
      <c r="S906" t="str">
        <f>_xlfn.XLOOKUP(C906,ProductMaster!$A$2:$A$51,ProductMaster!$B$2:$B$51)</f>
        <v>Product_9</v>
      </c>
      <c r="T906" t="str">
        <f>_xlfn.XLOOKUP(G906,RegionMaster!$A$2:$A$5,RegionMaster!$B$2:$B$5)</f>
        <v>C</v>
      </c>
    </row>
    <row r="907" spans="1:20" ht="15.75" customHeight="1">
      <c r="A907" s="2" t="s">
        <v>1617</v>
      </c>
      <c r="B907" s="2" t="s">
        <v>792</v>
      </c>
      <c r="C907" s="2" t="s">
        <v>162</v>
      </c>
      <c r="D907" s="3">
        <v>45752</v>
      </c>
      <c r="E907" s="3">
        <v>45756</v>
      </c>
      <c r="F907" s="4"/>
      <c r="G907" s="2" t="s">
        <v>7</v>
      </c>
      <c r="H907" s="2" t="s">
        <v>27</v>
      </c>
      <c r="I907" s="2" t="s">
        <v>90</v>
      </c>
      <c r="J907" s="2" t="s">
        <v>107</v>
      </c>
      <c r="K907" s="2">
        <v>4484.82</v>
      </c>
      <c r="L907" s="2" t="str">
        <f t="shared" si="84"/>
        <v>April</v>
      </c>
      <c r="M907" s="2" t="str">
        <f t="shared" si="85"/>
        <v>April</v>
      </c>
      <c r="N907" t="str">
        <f t="shared" si="86"/>
        <v>Delivered</v>
      </c>
      <c r="O907">
        <f t="shared" si="87"/>
        <v>4</v>
      </c>
      <c r="P907" t="str">
        <f t="shared" si="88"/>
        <v>Completed</v>
      </c>
      <c r="Q907" t="str">
        <f t="shared" si="89"/>
        <v>Slow</v>
      </c>
      <c r="R907" t="str">
        <f>_xlfn.XLOOKUP(B907,CustomerMaster!$A$2:$A$287,CustomerMaster!$B$2:$B$287)</f>
        <v>Customer_279</v>
      </c>
      <c r="S907" t="str">
        <f>_xlfn.XLOOKUP(C907,ProductMaster!$A$2:$A$51,ProductMaster!$B$2:$B$51)</f>
        <v>Product_35</v>
      </c>
      <c r="T907" t="str">
        <f>_xlfn.XLOOKUP(G907,RegionMaster!$A$2:$A$5,RegionMaster!$B$2:$B$5)</f>
        <v>A</v>
      </c>
    </row>
    <row r="908" spans="1:20" ht="15.75" customHeight="1">
      <c r="A908" s="2" t="s">
        <v>1618</v>
      </c>
      <c r="B908" s="2" t="s">
        <v>441</v>
      </c>
      <c r="C908" s="2" t="s">
        <v>138</v>
      </c>
      <c r="D908" s="3">
        <v>45698</v>
      </c>
      <c r="E908" s="3">
        <v>45700</v>
      </c>
      <c r="F908" s="4"/>
      <c r="G908" s="2" t="s">
        <v>45</v>
      </c>
      <c r="H908" s="2" t="s">
        <v>59</v>
      </c>
      <c r="I908" s="2" t="s">
        <v>195</v>
      </c>
      <c r="J908" s="2" t="s">
        <v>107</v>
      </c>
      <c r="K908" s="2">
        <v>4123.7299999999996</v>
      </c>
      <c r="L908" s="2" t="str">
        <f t="shared" si="84"/>
        <v>February</v>
      </c>
      <c r="M908" s="2" t="str">
        <f t="shared" si="85"/>
        <v>February</v>
      </c>
      <c r="N908" t="str">
        <f t="shared" si="86"/>
        <v>Delivered</v>
      </c>
      <c r="O908">
        <f t="shared" si="87"/>
        <v>2</v>
      </c>
      <c r="P908" t="str">
        <f t="shared" si="88"/>
        <v>Completed</v>
      </c>
      <c r="Q908" t="str">
        <f t="shared" si="89"/>
        <v>Fast</v>
      </c>
      <c r="R908" t="str">
        <f>_xlfn.XLOOKUP(B908,CustomerMaster!$A$2:$A$287,CustomerMaster!$B$2:$B$287)</f>
        <v>Customer_122</v>
      </c>
      <c r="S908" t="str">
        <f>_xlfn.XLOOKUP(C908,ProductMaster!$A$2:$A$51,ProductMaster!$B$2:$B$51)</f>
        <v>Product_28</v>
      </c>
      <c r="T908" t="str">
        <f>_xlfn.XLOOKUP(G908,RegionMaster!$A$2:$A$5,RegionMaster!$B$2:$B$5)</f>
        <v>D</v>
      </c>
    </row>
    <row r="909" spans="1:20" ht="15.75" customHeight="1">
      <c r="A909" s="2" t="s">
        <v>1619</v>
      </c>
      <c r="B909" s="2" t="s">
        <v>312</v>
      </c>
      <c r="C909" s="2" t="s">
        <v>95</v>
      </c>
      <c r="D909" s="3">
        <v>45685</v>
      </c>
      <c r="E909" s="4"/>
      <c r="F909" s="3">
        <v>45687</v>
      </c>
      <c r="G909" s="2" t="s">
        <v>45</v>
      </c>
      <c r="H909" s="2" t="s">
        <v>16</v>
      </c>
      <c r="I909" s="2" t="s">
        <v>90</v>
      </c>
      <c r="J909" s="2" t="s">
        <v>133</v>
      </c>
      <c r="K909" s="2">
        <v>1840.72</v>
      </c>
      <c r="L909" s="2" t="str">
        <f t="shared" si="84"/>
        <v>January</v>
      </c>
      <c r="M909" s="2" t="str">
        <f t="shared" si="85"/>
        <v>Cancelled</v>
      </c>
      <c r="N909" t="str">
        <f t="shared" si="86"/>
        <v>Cancelled</v>
      </c>
      <c r="O909" t="str">
        <f t="shared" si="87"/>
        <v>Order Cancelled</v>
      </c>
      <c r="P909" t="str">
        <f t="shared" si="88"/>
        <v>Cancelled</v>
      </c>
      <c r="Q909" t="str">
        <f t="shared" si="89"/>
        <v>Cancelled</v>
      </c>
      <c r="R909" t="str">
        <f>_xlfn.XLOOKUP(B909,CustomerMaster!$A$2:$A$287,CustomerMaster!$B$2:$B$287)</f>
        <v>Customer_278</v>
      </c>
      <c r="S909" t="str">
        <f>_xlfn.XLOOKUP(C909,ProductMaster!$A$2:$A$51,ProductMaster!$B$2:$B$51)</f>
        <v>Product_17</v>
      </c>
      <c r="T909" t="str">
        <f>_xlfn.XLOOKUP(G909,RegionMaster!$A$2:$A$5,RegionMaster!$B$2:$B$5)</f>
        <v>D</v>
      </c>
    </row>
    <row r="910" spans="1:20" ht="15.75" customHeight="1">
      <c r="A910" s="2" t="s">
        <v>1620</v>
      </c>
      <c r="B910" s="2" t="s">
        <v>662</v>
      </c>
      <c r="C910" s="2" t="s">
        <v>39</v>
      </c>
      <c r="D910" s="3">
        <v>45683</v>
      </c>
      <c r="E910" s="3">
        <v>45685</v>
      </c>
      <c r="F910" s="4"/>
      <c r="G910" s="2" t="s">
        <v>22</v>
      </c>
      <c r="H910" s="2" t="s">
        <v>16</v>
      </c>
      <c r="I910" s="2" t="s">
        <v>195</v>
      </c>
      <c r="J910" s="2" t="s">
        <v>94</v>
      </c>
      <c r="K910" s="2">
        <v>1445.23</v>
      </c>
      <c r="L910" s="2" t="str">
        <f t="shared" si="84"/>
        <v>January</v>
      </c>
      <c r="M910" s="2" t="str">
        <f t="shared" si="85"/>
        <v>January</v>
      </c>
      <c r="N910" t="str">
        <f t="shared" si="86"/>
        <v>Delivered</v>
      </c>
      <c r="O910">
        <f t="shared" si="87"/>
        <v>2</v>
      </c>
      <c r="P910" t="str">
        <f t="shared" si="88"/>
        <v>Completed</v>
      </c>
      <c r="Q910" t="str">
        <f t="shared" si="89"/>
        <v>Fast</v>
      </c>
      <c r="R910" t="str">
        <f>_xlfn.XLOOKUP(B910,CustomerMaster!$A$2:$A$287,CustomerMaster!$B$2:$B$287)</f>
        <v>Customer_213</v>
      </c>
      <c r="S910" t="str">
        <f>_xlfn.XLOOKUP(C910,ProductMaster!$A$2:$A$51,ProductMaster!$B$2:$B$51)</f>
        <v>Product_4</v>
      </c>
      <c r="T910" t="str">
        <f>_xlfn.XLOOKUP(G910,RegionMaster!$A$2:$A$5,RegionMaster!$B$2:$B$5)</f>
        <v>C</v>
      </c>
    </row>
    <row r="911" spans="1:20" ht="15.75" customHeight="1">
      <c r="A911" s="2" t="s">
        <v>1621</v>
      </c>
      <c r="B911" s="2" t="s">
        <v>681</v>
      </c>
      <c r="C911" s="2" t="s">
        <v>95</v>
      </c>
      <c r="D911" s="3">
        <v>45732</v>
      </c>
      <c r="E911" s="4"/>
      <c r="F911" s="3">
        <v>45732</v>
      </c>
      <c r="G911" s="2" t="s">
        <v>7</v>
      </c>
      <c r="H911" s="2" t="s">
        <v>37</v>
      </c>
      <c r="I911" s="2" t="s">
        <v>121</v>
      </c>
      <c r="J911" s="2" t="s">
        <v>107</v>
      </c>
      <c r="K911" s="2">
        <v>2022.52</v>
      </c>
      <c r="L911" s="2" t="str">
        <f t="shared" si="84"/>
        <v>March</v>
      </c>
      <c r="M911" s="2" t="str">
        <f t="shared" si="85"/>
        <v>Cancelled</v>
      </c>
      <c r="N911" t="str">
        <f t="shared" si="86"/>
        <v>Cancelled</v>
      </c>
      <c r="O911" t="str">
        <f t="shared" si="87"/>
        <v>Order Cancelled</v>
      </c>
      <c r="P911" t="str">
        <f t="shared" si="88"/>
        <v>Cancelled</v>
      </c>
      <c r="Q911" t="str">
        <f t="shared" si="89"/>
        <v>Cancelled</v>
      </c>
      <c r="R911" t="str">
        <f>_xlfn.XLOOKUP(B911,CustomerMaster!$A$2:$A$287,CustomerMaster!$B$2:$B$287)</f>
        <v>Customer_222</v>
      </c>
      <c r="S911" t="str">
        <f>_xlfn.XLOOKUP(C911,ProductMaster!$A$2:$A$51,ProductMaster!$B$2:$B$51)</f>
        <v>Product_17</v>
      </c>
      <c r="T911" t="str">
        <f>_xlfn.XLOOKUP(G911,RegionMaster!$A$2:$A$5,RegionMaster!$B$2:$B$5)</f>
        <v>A</v>
      </c>
    </row>
    <row r="912" spans="1:20" ht="15.75" customHeight="1">
      <c r="A912" s="2" t="s">
        <v>1622</v>
      </c>
      <c r="B912" s="2" t="s">
        <v>156</v>
      </c>
      <c r="C912" s="2" t="s">
        <v>75</v>
      </c>
      <c r="D912" s="3">
        <v>45660</v>
      </c>
      <c r="E912" s="4"/>
      <c r="F912" s="3">
        <v>45660</v>
      </c>
      <c r="G912" s="2" t="s">
        <v>22</v>
      </c>
      <c r="H912" s="2" t="s">
        <v>27</v>
      </c>
      <c r="I912" s="2" t="s">
        <v>106</v>
      </c>
      <c r="J912" s="2" t="s">
        <v>133</v>
      </c>
      <c r="K912" s="2">
        <v>3033.42</v>
      </c>
      <c r="L912" s="2" t="str">
        <f t="shared" si="84"/>
        <v>January</v>
      </c>
      <c r="M912" s="2" t="str">
        <f t="shared" si="85"/>
        <v>Cancelled</v>
      </c>
      <c r="N912" t="str">
        <f t="shared" si="86"/>
        <v>Cancelled</v>
      </c>
      <c r="O912" t="str">
        <f t="shared" si="87"/>
        <v>Order Cancelled</v>
      </c>
      <c r="P912" t="str">
        <f t="shared" si="88"/>
        <v>Cancelled</v>
      </c>
      <c r="Q912" t="str">
        <f t="shared" si="89"/>
        <v>Cancelled</v>
      </c>
      <c r="R912" t="str">
        <f>_xlfn.XLOOKUP(B912,CustomerMaster!$A$2:$A$287,CustomerMaster!$B$2:$B$287)</f>
        <v>Customer_20</v>
      </c>
      <c r="S912" t="str">
        <f>_xlfn.XLOOKUP(C912,ProductMaster!$A$2:$A$51,ProductMaster!$B$2:$B$51)</f>
        <v>Product_11</v>
      </c>
      <c r="T912" t="str">
        <f>_xlfn.XLOOKUP(G912,RegionMaster!$A$2:$A$5,RegionMaster!$B$2:$B$5)</f>
        <v>C</v>
      </c>
    </row>
    <row r="913" spans="1:20" ht="15.75" customHeight="1">
      <c r="A913" s="2" t="s">
        <v>1623</v>
      </c>
      <c r="B913" s="2" t="s">
        <v>726</v>
      </c>
      <c r="C913" s="2" t="s">
        <v>69</v>
      </c>
      <c r="D913" s="3">
        <v>45742</v>
      </c>
      <c r="E913" s="3">
        <v>45747</v>
      </c>
      <c r="F913" s="4"/>
      <c r="G913" s="2" t="s">
        <v>7</v>
      </c>
      <c r="H913" s="2" t="s">
        <v>37</v>
      </c>
      <c r="I913" s="2" t="s">
        <v>121</v>
      </c>
      <c r="J913" s="2" t="s">
        <v>107</v>
      </c>
      <c r="K913" s="2">
        <v>1486.71</v>
      </c>
      <c r="L913" s="2" t="str">
        <f t="shared" si="84"/>
        <v>March</v>
      </c>
      <c r="M913" s="2" t="str">
        <f t="shared" si="85"/>
        <v>March</v>
      </c>
      <c r="N913" t="str">
        <f t="shared" si="86"/>
        <v>Delivered</v>
      </c>
      <c r="O913">
        <f t="shared" si="87"/>
        <v>5</v>
      </c>
      <c r="P913" t="str">
        <f t="shared" si="88"/>
        <v>Completed</v>
      </c>
      <c r="Q913" t="str">
        <f t="shared" si="89"/>
        <v>Slow</v>
      </c>
      <c r="R913" t="str">
        <f>_xlfn.XLOOKUP(B913,CustomerMaster!$A$2:$A$287,CustomerMaster!$B$2:$B$287)</f>
        <v>Customer_243</v>
      </c>
      <c r="S913" t="str">
        <f>_xlfn.XLOOKUP(C913,ProductMaster!$A$2:$A$51,ProductMaster!$B$2:$B$51)</f>
        <v>Product_9</v>
      </c>
      <c r="T913" t="str">
        <f>_xlfn.XLOOKUP(G913,RegionMaster!$A$2:$A$5,RegionMaster!$B$2:$B$5)</f>
        <v>A</v>
      </c>
    </row>
    <row r="914" spans="1:20" ht="15.75" customHeight="1">
      <c r="A914" s="2" t="s">
        <v>1624</v>
      </c>
      <c r="B914" s="2" t="s">
        <v>706</v>
      </c>
      <c r="C914" s="2" t="s">
        <v>138</v>
      </c>
      <c r="D914" s="3">
        <v>45700</v>
      </c>
      <c r="E914" s="3">
        <v>45705</v>
      </c>
      <c r="F914" s="4"/>
      <c r="G914" s="2" t="s">
        <v>7</v>
      </c>
      <c r="H914" s="2" t="s">
        <v>27</v>
      </c>
      <c r="I914" s="2" t="s">
        <v>195</v>
      </c>
      <c r="J914" s="2" t="s">
        <v>107</v>
      </c>
      <c r="K914" s="2">
        <v>3195.91</v>
      </c>
      <c r="L914" s="2" t="str">
        <f t="shared" si="84"/>
        <v>February</v>
      </c>
      <c r="M914" s="2" t="str">
        <f t="shared" si="85"/>
        <v>February</v>
      </c>
      <c r="N914" t="str">
        <f t="shared" si="86"/>
        <v>Delivered</v>
      </c>
      <c r="O914">
        <f t="shared" si="87"/>
        <v>5</v>
      </c>
      <c r="P914" t="str">
        <f t="shared" si="88"/>
        <v>Completed</v>
      </c>
      <c r="Q914" t="str">
        <f t="shared" si="89"/>
        <v>Slow</v>
      </c>
      <c r="R914" t="str">
        <f>_xlfn.XLOOKUP(B914,CustomerMaster!$A$2:$A$287,CustomerMaster!$B$2:$B$287)</f>
        <v>Customer_234</v>
      </c>
      <c r="S914" t="str">
        <f>_xlfn.XLOOKUP(C914,ProductMaster!$A$2:$A$51,ProductMaster!$B$2:$B$51)</f>
        <v>Product_28</v>
      </c>
      <c r="T914" t="str">
        <f>_xlfn.XLOOKUP(G914,RegionMaster!$A$2:$A$5,RegionMaster!$B$2:$B$5)</f>
        <v>A</v>
      </c>
    </row>
    <row r="915" spans="1:20" ht="15.75" customHeight="1">
      <c r="A915" s="2" t="s">
        <v>1625</v>
      </c>
      <c r="B915" s="2" t="s">
        <v>711</v>
      </c>
      <c r="C915" s="2" t="s">
        <v>173</v>
      </c>
      <c r="D915" s="3">
        <v>45767</v>
      </c>
      <c r="E915" s="4"/>
      <c r="F915" s="3">
        <v>45767</v>
      </c>
      <c r="G915" s="2" t="s">
        <v>17</v>
      </c>
      <c r="H915" s="2" t="s">
        <v>27</v>
      </c>
      <c r="I915" s="2" t="s">
        <v>178</v>
      </c>
      <c r="J915" s="2" t="s">
        <v>94</v>
      </c>
      <c r="K915" s="2">
        <v>2165.1799999999998</v>
      </c>
      <c r="L915" s="2" t="str">
        <f t="shared" si="84"/>
        <v>April</v>
      </c>
      <c r="M915" s="2" t="str">
        <f t="shared" si="85"/>
        <v>Cancelled</v>
      </c>
      <c r="N915" t="str">
        <f t="shared" si="86"/>
        <v>Cancelled</v>
      </c>
      <c r="O915" t="str">
        <f t="shared" si="87"/>
        <v>Order Cancelled</v>
      </c>
      <c r="P915" t="str">
        <f t="shared" si="88"/>
        <v>Cancelled</v>
      </c>
      <c r="Q915" t="str">
        <f t="shared" si="89"/>
        <v>Cancelled</v>
      </c>
      <c r="R915" t="str">
        <f>_xlfn.XLOOKUP(B915,CustomerMaster!$A$2:$A$287,CustomerMaster!$B$2:$B$287)</f>
        <v>Customer_236</v>
      </c>
      <c r="S915" t="str">
        <f>_xlfn.XLOOKUP(C915,ProductMaster!$A$2:$A$51,ProductMaster!$B$2:$B$51)</f>
        <v>Product_38</v>
      </c>
      <c r="T915" t="str">
        <f>_xlfn.XLOOKUP(G915,RegionMaster!$A$2:$A$5,RegionMaster!$B$2:$B$5)</f>
        <v>B</v>
      </c>
    </row>
    <row r="916" spans="1:20" ht="15.75" customHeight="1">
      <c r="A916" s="2" t="s">
        <v>1626</v>
      </c>
      <c r="B916" s="2" t="s">
        <v>528</v>
      </c>
      <c r="C916" s="2" t="s">
        <v>210</v>
      </c>
      <c r="D916" s="3">
        <v>45743</v>
      </c>
      <c r="E916" s="4"/>
      <c r="F916" s="3">
        <v>45744</v>
      </c>
      <c r="G916" s="2" t="s">
        <v>7</v>
      </c>
      <c r="H916" s="2" t="s">
        <v>37</v>
      </c>
      <c r="I916" s="2" t="s">
        <v>106</v>
      </c>
      <c r="J916" s="2" t="s">
        <v>133</v>
      </c>
      <c r="K916" s="2">
        <v>2849.83</v>
      </c>
      <c r="L916" s="2" t="str">
        <f t="shared" si="84"/>
        <v>March</v>
      </c>
      <c r="M916" s="2" t="str">
        <f t="shared" si="85"/>
        <v>Cancelled</v>
      </c>
      <c r="N916" t="str">
        <f t="shared" si="86"/>
        <v>Cancelled</v>
      </c>
      <c r="O916" t="str">
        <f t="shared" si="87"/>
        <v>Order Cancelled</v>
      </c>
      <c r="P916" t="str">
        <f t="shared" si="88"/>
        <v>Cancelled</v>
      </c>
      <c r="Q916" t="str">
        <f t="shared" si="89"/>
        <v>Cancelled</v>
      </c>
      <c r="R916" t="str">
        <f>_xlfn.XLOOKUP(B916,CustomerMaster!$A$2:$A$287,CustomerMaster!$B$2:$B$287)</f>
        <v>Customer_157</v>
      </c>
      <c r="S916" t="str">
        <f>_xlfn.XLOOKUP(C916,ProductMaster!$A$2:$A$51,ProductMaster!$B$2:$B$51)</f>
        <v>Product_48</v>
      </c>
      <c r="T916" t="str">
        <f>_xlfn.XLOOKUP(G916,RegionMaster!$A$2:$A$5,RegionMaster!$B$2:$B$5)</f>
        <v>A</v>
      </c>
    </row>
    <row r="917" spans="1:20" ht="15.75" customHeight="1">
      <c r="A917" s="2" t="s">
        <v>1627</v>
      </c>
      <c r="B917" s="2" t="s">
        <v>251</v>
      </c>
      <c r="C917" s="2" t="s">
        <v>162</v>
      </c>
      <c r="D917" s="3">
        <v>45724</v>
      </c>
      <c r="E917" s="3">
        <v>45727</v>
      </c>
      <c r="F917" s="4"/>
      <c r="G917" s="2" t="s">
        <v>7</v>
      </c>
      <c r="H917" s="2" t="s">
        <v>27</v>
      </c>
      <c r="I917" s="2" t="s">
        <v>106</v>
      </c>
      <c r="J917" s="2" t="s">
        <v>107</v>
      </c>
      <c r="K917" s="2">
        <v>2293.41</v>
      </c>
      <c r="L917" s="2" t="str">
        <f t="shared" si="84"/>
        <v>March</v>
      </c>
      <c r="M917" s="2" t="str">
        <f t="shared" si="85"/>
        <v>March</v>
      </c>
      <c r="N917" t="str">
        <f t="shared" si="86"/>
        <v>Delivered</v>
      </c>
      <c r="O917">
        <f t="shared" si="87"/>
        <v>3</v>
      </c>
      <c r="P917" t="str">
        <f t="shared" si="88"/>
        <v>Completed</v>
      </c>
      <c r="Q917" t="str">
        <f t="shared" si="89"/>
        <v>Slow</v>
      </c>
      <c r="R917" t="str">
        <f>_xlfn.XLOOKUP(B917,CustomerMaster!$A$2:$A$287,CustomerMaster!$B$2:$B$287)</f>
        <v>Customer_42</v>
      </c>
      <c r="S917" t="str">
        <f>_xlfn.XLOOKUP(C917,ProductMaster!$A$2:$A$51,ProductMaster!$B$2:$B$51)</f>
        <v>Product_35</v>
      </c>
      <c r="T917" t="str">
        <f>_xlfn.XLOOKUP(G917,RegionMaster!$A$2:$A$5,RegionMaster!$B$2:$B$5)</f>
        <v>A</v>
      </c>
    </row>
    <row r="918" spans="1:20" ht="15.75" customHeight="1">
      <c r="A918" s="2" t="s">
        <v>1628</v>
      </c>
      <c r="B918" s="2" t="s">
        <v>565</v>
      </c>
      <c r="C918" s="2" t="s">
        <v>210</v>
      </c>
      <c r="D918" s="3">
        <v>45688</v>
      </c>
      <c r="E918" s="3">
        <v>45690</v>
      </c>
      <c r="F918" s="4"/>
      <c r="G918" s="2" t="s">
        <v>17</v>
      </c>
      <c r="H918" s="2" t="s">
        <v>27</v>
      </c>
      <c r="I918" s="2" t="s">
        <v>90</v>
      </c>
      <c r="J918" s="2" t="s">
        <v>107</v>
      </c>
      <c r="K918" s="2">
        <v>1613.44</v>
      </c>
      <c r="L918" s="2" t="str">
        <f t="shared" si="84"/>
        <v>January</v>
      </c>
      <c r="M918" s="2" t="str">
        <f t="shared" si="85"/>
        <v>February</v>
      </c>
      <c r="N918" t="str">
        <f t="shared" si="86"/>
        <v>Delivered</v>
      </c>
      <c r="O918">
        <f t="shared" si="87"/>
        <v>2</v>
      </c>
      <c r="P918" t="str">
        <f t="shared" si="88"/>
        <v>Completed</v>
      </c>
      <c r="Q918" t="str">
        <f t="shared" si="89"/>
        <v>Fast</v>
      </c>
      <c r="R918" t="str">
        <f>_xlfn.XLOOKUP(B918,CustomerMaster!$A$2:$A$287,CustomerMaster!$B$2:$B$287)</f>
        <v>Customer_173</v>
      </c>
      <c r="S918" t="str">
        <f>_xlfn.XLOOKUP(C918,ProductMaster!$A$2:$A$51,ProductMaster!$B$2:$B$51)</f>
        <v>Product_48</v>
      </c>
      <c r="T918" t="str">
        <f>_xlfn.XLOOKUP(G918,RegionMaster!$A$2:$A$5,RegionMaster!$B$2:$B$5)</f>
        <v>B</v>
      </c>
    </row>
    <row r="919" spans="1:20" ht="15.75" customHeight="1">
      <c r="A919" s="2" t="s">
        <v>1629</v>
      </c>
      <c r="B919" s="2" t="s">
        <v>662</v>
      </c>
      <c r="C919" s="2" t="s">
        <v>39</v>
      </c>
      <c r="D919" s="3">
        <v>45726</v>
      </c>
      <c r="E919" s="4"/>
      <c r="F919" s="3">
        <v>45727</v>
      </c>
      <c r="G919" s="2" t="s">
        <v>7</v>
      </c>
      <c r="H919" s="2" t="s">
        <v>37</v>
      </c>
      <c r="I919" s="2" t="s">
        <v>90</v>
      </c>
      <c r="J919" s="2" t="s">
        <v>133</v>
      </c>
      <c r="K919" s="2">
        <v>4752.58</v>
      </c>
      <c r="L919" s="2" t="str">
        <f t="shared" si="84"/>
        <v>March</v>
      </c>
      <c r="M919" s="2" t="str">
        <f t="shared" si="85"/>
        <v>Cancelled</v>
      </c>
      <c r="N919" t="str">
        <f t="shared" si="86"/>
        <v>Cancelled</v>
      </c>
      <c r="O919" t="str">
        <f t="shared" si="87"/>
        <v>Order Cancelled</v>
      </c>
      <c r="P919" t="str">
        <f t="shared" si="88"/>
        <v>Cancelled</v>
      </c>
      <c r="Q919" t="str">
        <f t="shared" si="89"/>
        <v>Cancelled</v>
      </c>
      <c r="R919" t="str">
        <f>_xlfn.XLOOKUP(B919,CustomerMaster!$A$2:$A$287,CustomerMaster!$B$2:$B$287)</f>
        <v>Customer_213</v>
      </c>
      <c r="S919" t="str">
        <f>_xlfn.XLOOKUP(C919,ProductMaster!$A$2:$A$51,ProductMaster!$B$2:$B$51)</f>
        <v>Product_4</v>
      </c>
      <c r="T919" t="str">
        <f>_xlfn.XLOOKUP(G919,RegionMaster!$A$2:$A$5,RegionMaster!$B$2:$B$5)</f>
        <v>A</v>
      </c>
    </row>
    <row r="920" spans="1:20" ht="15.75" customHeight="1">
      <c r="A920" s="2" t="s">
        <v>1630</v>
      </c>
      <c r="B920" s="2" t="s">
        <v>728</v>
      </c>
      <c r="C920" s="2" t="s">
        <v>118</v>
      </c>
      <c r="D920" s="3">
        <v>45755</v>
      </c>
      <c r="E920" s="4"/>
      <c r="F920" s="3">
        <v>45757</v>
      </c>
      <c r="G920" s="2" t="s">
        <v>7</v>
      </c>
      <c r="H920" s="2" t="s">
        <v>37</v>
      </c>
      <c r="I920" s="2" t="s">
        <v>178</v>
      </c>
      <c r="J920" s="2" t="s">
        <v>133</v>
      </c>
      <c r="K920" s="2">
        <v>3865.31</v>
      </c>
      <c r="L920" s="2" t="str">
        <f t="shared" si="84"/>
        <v>April</v>
      </c>
      <c r="M920" s="2" t="str">
        <f t="shared" si="85"/>
        <v>Cancelled</v>
      </c>
      <c r="N920" t="str">
        <f t="shared" si="86"/>
        <v>Cancelled</v>
      </c>
      <c r="O920" t="str">
        <f t="shared" si="87"/>
        <v>Order Cancelled</v>
      </c>
      <c r="P920" t="str">
        <f t="shared" si="88"/>
        <v>Cancelled</v>
      </c>
      <c r="Q920" t="str">
        <f t="shared" si="89"/>
        <v>Cancelled</v>
      </c>
      <c r="R920" t="str">
        <f>_xlfn.XLOOKUP(B920,CustomerMaster!$A$2:$A$287,CustomerMaster!$B$2:$B$287)</f>
        <v>Customer_244</v>
      </c>
      <c r="S920" t="str">
        <f>_xlfn.XLOOKUP(C920,ProductMaster!$A$2:$A$51,ProductMaster!$B$2:$B$51)</f>
        <v>Product_22</v>
      </c>
      <c r="T920" t="str">
        <f>_xlfn.XLOOKUP(G920,RegionMaster!$A$2:$A$5,RegionMaster!$B$2:$B$5)</f>
        <v>A</v>
      </c>
    </row>
    <row r="921" spans="1:20" ht="15.75" customHeight="1">
      <c r="A921" s="2" t="s">
        <v>1631</v>
      </c>
      <c r="B921" s="2" t="s">
        <v>706</v>
      </c>
      <c r="C921" s="2" t="s">
        <v>138</v>
      </c>
      <c r="D921" s="3">
        <v>45749</v>
      </c>
      <c r="E921" s="3">
        <v>45754</v>
      </c>
      <c r="F921" s="4"/>
      <c r="G921" s="2" t="s">
        <v>17</v>
      </c>
      <c r="H921" s="2" t="s">
        <v>16</v>
      </c>
      <c r="I921" s="2" t="s">
        <v>195</v>
      </c>
      <c r="J921" s="2" t="s">
        <v>94</v>
      </c>
      <c r="K921" s="2">
        <v>872.54</v>
      </c>
      <c r="L921" s="2" t="str">
        <f t="shared" si="84"/>
        <v>April</v>
      </c>
      <c r="M921" s="2" t="str">
        <f t="shared" si="85"/>
        <v>April</v>
      </c>
      <c r="N921" t="str">
        <f t="shared" si="86"/>
        <v>Delivered</v>
      </c>
      <c r="O921">
        <f t="shared" si="87"/>
        <v>5</v>
      </c>
      <c r="P921" t="str">
        <f t="shared" si="88"/>
        <v>Completed</v>
      </c>
      <c r="Q921" t="str">
        <f t="shared" si="89"/>
        <v>Slow</v>
      </c>
      <c r="R921" t="str">
        <f>_xlfn.XLOOKUP(B921,CustomerMaster!$A$2:$A$287,CustomerMaster!$B$2:$B$287)</f>
        <v>Customer_234</v>
      </c>
      <c r="S921" t="str">
        <f>_xlfn.XLOOKUP(C921,ProductMaster!$A$2:$A$51,ProductMaster!$B$2:$B$51)</f>
        <v>Product_28</v>
      </c>
      <c r="T921" t="str">
        <f>_xlfn.XLOOKUP(G921,RegionMaster!$A$2:$A$5,RegionMaster!$B$2:$B$5)</f>
        <v>B</v>
      </c>
    </row>
    <row r="922" spans="1:20" ht="15.75" customHeight="1">
      <c r="A922" s="2" t="s">
        <v>1632</v>
      </c>
      <c r="B922" s="2" t="s">
        <v>378</v>
      </c>
      <c r="C922" s="2" t="s">
        <v>122</v>
      </c>
      <c r="D922" s="3">
        <v>45762</v>
      </c>
      <c r="E922" s="3">
        <v>45766</v>
      </c>
      <c r="F922" s="4"/>
      <c r="G922" s="2" t="s">
        <v>17</v>
      </c>
      <c r="H922" s="2" t="s">
        <v>27</v>
      </c>
      <c r="I922" s="2" t="s">
        <v>195</v>
      </c>
      <c r="J922" s="2" t="s">
        <v>107</v>
      </c>
      <c r="K922" s="2">
        <v>4368.6499999999996</v>
      </c>
      <c r="L922" s="2" t="str">
        <f t="shared" si="84"/>
        <v>April</v>
      </c>
      <c r="M922" s="2" t="str">
        <f t="shared" si="85"/>
        <v>April</v>
      </c>
      <c r="N922" t="str">
        <f t="shared" si="86"/>
        <v>Delivered</v>
      </c>
      <c r="O922">
        <f t="shared" si="87"/>
        <v>4</v>
      </c>
      <c r="P922" t="str">
        <f t="shared" si="88"/>
        <v>Completed</v>
      </c>
      <c r="Q922" t="str">
        <f t="shared" si="89"/>
        <v>Slow</v>
      </c>
      <c r="R922" t="str">
        <f>_xlfn.XLOOKUP(B922,CustomerMaster!$A$2:$A$287,CustomerMaster!$B$2:$B$287)</f>
        <v>Customer_96</v>
      </c>
      <c r="S922" t="str">
        <f>_xlfn.XLOOKUP(C922,ProductMaster!$A$2:$A$51,ProductMaster!$B$2:$B$51)</f>
        <v>Product_23</v>
      </c>
      <c r="T922" t="str">
        <f>_xlfn.XLOOKUP(G922,RegionMaster!$A$2:$A$5,RegionMaster!$B$2:$B$5)</f>
        <v>B</v>
      </c>
    </row>
    <row r="923" spans="1:20" ht="15.75" customHeight="1">
      <c r="A923" s="2" t="s">
        <v>1633</v>
      </c>
      <c r="B923" s="2" t="s">
        <v>799</v>
      </c>
      <c r="C923" s="2" t="s">
        <v>75</v>
      </c>
      <c r="D923" s="3">
        <v>45700</v>
      </c>
      <c r="E923" s="3">
        <v>45702</v>
      </c>
      <c r="F923" s="4"/>
      <c r="G923" s="2" t="s">
        <v>7</v>
      </c>
      <c r="H923" s="2" t="s">
        <v>37</v>
      </c>
      <c r="I923" s="2" t="s">
        <v>178</v>
      </c>
      <c r="J923" s="2" t="s">
        <v>133</v>
      </c>
      <c r="K923" s="2">
        <v>2539.67</v>
      </c>
      <c r="L923" s="2" t="str">
        <f t="shared" si="84"/>
        <v>February</v>
      </c>
      <c r="M923" s="2" t="str">
        <f t="shared" si="85"/>
        <v>February</v>
      </c>
      <c r="N923" t="str">
        <f t="shared" si="86"/>
        <v>Delivered</v>
      </c>
      <c r="O923">
        <f t="shared" si="87"/>
        <v>2</v>
      </c>
      <c r="P923" t="str">
        <f t="shared" si="88"/>
        <v>Completed</v>
      </c>
      <c r="Q923" t="str">
        <f t="shared" si="89"/>
        <v>Fast</v>
      </c>
      <c r="R923" t="str">
        <f>_xlfn.XLOOKUP(B923,CustomerMaster!$A$2:$A$287,CustomerMaster!$B$2:$B$287)</f>
        <v>Customer_284</v>
      </c>
      <c r="S923" t="str">
        <f>_xlfn.XLOOKUP(C923,ProductMaster!$A$2:$A$51,ProductMaster!$B$2:$B$51)</f>
        <v>Product_11</v>
      </c>
      <c r="T923" t="str">
        <f>_xlfn.XLOOKUP(G923,RegionMaster!$A$2:$A$5,RegionMaster!$B$2:$B$5)</f>
        <v>A</v>
      </c>
    </row>
    <row r="924" spans="1:20" ht="15.75" customHeight="1">
      <c r="A924" s="2" t="s">
        <v>1634</v>
      </c>
      <c r="B924" s="2" t="s">
        <v>785</v>
      </c>
      <c r="C924" s="2" t="s">
        <v>118</v>
      </c>
      <c r="D924" s="3">
        <v>45696</v>
      </c>
      <c r="E924" s="3">
        <v>45701</v>
      </c>
      <c r="F924" s="4"/>
      <c r="G924" s="2" t="s">
        <v>22</v>
      </c>
      <c r="H924" s="2" t="s">
        <v>16</v>
      </c>
      <c r="I924" s="2" t="s">
        <v>106</v>
      </c>
      <c r="J924" s="2" t="s">
        <v>133</v>
      </c>
      <c r="K924" s="2">
        <v>4493.8500000000004</v>
      </c>
      <c r="L924" s="2" t="str">
        <f t="shared" si="84"/>
        <v>February</v>
      </c>
      <c r="M924" s="2" t="str">
        <f t="shared" si="85"/>
        <v>February</v>
      </c>
      <c r="N924" t="str">
        <f t="shared" si="86"/>
        <v>Delivered</v>
      </c>
      <c r="O924">
        <f t="shared" si="87"/>
        <v>5</v>
      </c>
      <c r="P924" t="str">
        <f t="shared" si="88"/>
        <v>Completed</v>
      </c>
      <c r="Q924" t="str">
        <f t="shared" si="89"/>
        <v>Slow</v>
      </c>
      <c r="R924" t="str">
        <f>_xlfn.XLOOKUP(B924,CustomerMaster!$A$2:$A$287,CustomerMaster!$B$2:$B$287)</f>
        <v>Customer_275</v>
      </c>
      <c r="S924" t="str">
        <f>_xlfn.XLOOKUP(C924,ProductMaster!$A$2:$A$51,ProductMaster!$B$2:$B$51)</f>
        <v>Product_22</v>
      </c>
      <c r="T924" t="str">
        <f>_xlfn.XLOOKUP(G924,RegionMaster!$A$2:$A$5,RegionMaster!$B$2:$B$5)</f>
        <v>C</v>
      </c>
    </row>
    <row r="925" spans="1:20" ht="15.75" customHeight="1">
      <c r="A925" s="2" t="s">
        <v>1635</v>
      </c>
      <c r="B925" s="2" t="s">
        <v>572</v>
      </c>
      <c r="C925" s="2" t="s">
        <v>50</v>
      </c>
      <c r="D925" s="3">
        <v>45741</v>
      </c>
      <c r="E925" s="3">
        <v>45742</v>
      </c>
      <c r="F925" s="4"/>
      <c r="G925" s="2" t="s">
        <v>17</v>
      </c>
      <c r="H925" s="2" t="s">
        <v>16</v>
      </c>
      <c r="I925" s="2" t="s">
        <v>90</v>
      </c>
      <c r="J925" s="2" t="s">
        <v>133</v>
      </c>
      <c r="K925" s="2">
        <v>4039.31</v>
      </c>
      <c r="L925" s="2" t="str">
        <f t="shared" si="84"/>
        <v>March</v>
      </c>
      <c r="M925" s="2" t="str">
        <f t="shared" si="85"/>
        <v>March</v>
      </c>
      <c r="N925" t="str">
        <f t="shared" si="86"/>
        <v>Delivered</v>
      </c>
      <c r="O925">
        <f t="shared" si="87"/>
        <v>1</v>
      </c>
      <c r="P925" t="str">
        <f t="shared" si="88"/>
        <v>Completed</v>
      </c>
      <c r="Q925" t="str">
        <f t="shared" si="89"/>
        <v>Fast</v>
      </c>
      <c r="R925" t="str">
        <f>_xlfn.XLOOKUP(B925,CustomerMaster!$A$2:$A$287,CustomerMaster!$B$2:$B$287)</f>
        <v>Customer_176</v>
      </c>
      <c r="S925" t="str">
        <f>_xlfn.XLOOKUP(C925,ProductMaster!$A$2:$A$51,ProductMaster!$B$2:$B$51)</f>
        <v>Product_6</v>
      </c>
      <c r="T925" t="str">
        <f>_xlfn.XLOOKUP(G925,RegionMaster!$A$2:$A$5,RegionMaster!$B$2:$B$5)</f>
        <v>B</v>
      </c>
    </row>
    <row r="926" spans="1:20" ht="15.75" customHeight="1">
      <c r="A926" s="2" t="s">
        <v>1636</v>
      </c>
      <c r="B926" s="2" t="s">
        <v>267</v>
      </c>
      <c r="C926" s="2" t="s">
        <v>204</v>
      </c>
      <c r="D926" s="3">
        <v>45680</v>
      </c>
      <c r="E926" s="3">
        <v>45681</v>
      </c>
      <c r="F926" s="4"/>
      <c r="G926" s="2" t="s">
        <v>17</v>
      </c>
      <c r="H926" s="2" t="s">
        <v>16</v>
      </c>
      <c r="I926" s="2" t="s">
        <v>178</v>
      </c>
      <c r="J926" s="2" t="s">
        <v>133</v>
      </c>
      <c r="K926" s="2">
        <v>2241.02</v>
      </c>
      <c r="L926" s="2" t="str">
        <f t="shared" si="84"/>
        <v>January</v>
      </c>
      <c r="M926" s="2" t="str">
        <f t="shared" si="85"/>
        <v>January</v>
      </c>
      <c r="N926" t="str">
        <f t="shared" si="86"/>
        <v>Delivered</v>
      </c>
      <c r="O926">
        <f t="shared" si="87"/>
        <v>1</v>
      </c>
      <c r="P926" t="str">
        <f t="shared" si="88"/>
        <v>Completed</v>
      </c>
      <c r="Q926" t="str">
        <f t="shared" si="89"/>
        <v>Fast</v>
      </c>
      <c r="R926" t="str">
        <f>_xlfn.XLOOKUP(B926,CustomerMaster!$A$2:$A$287,CustomerMaster!$B$2:$B$287)</f>
        <v>Customer_205</v>
      </c>
      <c r="S926" t="str">
        <f>_xlfn.XLOOKUP(C926,ProductMaster!$A$2:$A$51,ProductMaster!$B$2:$B$51)</f>
        <v>Product_46</v>
      </c>
      <c r="T926" t="str">
        <f>_xlfn.XLOOKUP(G926,RegionMaster!$A$2:$A$5,RegionMaster!$B$2:$B$5)</f>
        <v>B</v>
      </c>
    </row>
    <row r="927" spans="1:20" ht="15.75" customHeight="1">
      <c r="A927" s="2" t="s">
        <v>1637</v>
      </c>
      <c r="B927" s="2" t="s">
        <v>262</v>
      </c>
      <c r="C927" s="2" t="s">
        <v>95</v>
      </c>
      <c r="D927" s="3">
        <v>45690</v>
      </c>
      <c r="E927" s="3">
        <v>45694</v>
      </c>
      <c r="F927" s="4"/>
      <c r="G927" s="2" t="s">
        <v>45</v>
      </c>
      <c r="H927" s="2" t="s">
        <v>27</v>
      </c>
      <c r="I927" s="2" t="s">
        <v>106</v>
      </c>
      <c r="J927" s="2" t="s">
        <v>133</v>
      </c>
      <c r="K927" s="2">
        <v>307.85000000000002</v>
      </c>
      <c r="L927" s="2" t="str">
        <f t="shared" si="84"/>
        <v>February</v>
      </c>
      <c r="M927" s="2" t="str">
        <f t="shared" si="85"/>
        <v>February</v>
      </c>
      <c r="N927" t="str">
        <f t="shared" si="86"/>
        <v>Delivered</v>
      </c>
      <c r="O927">
        <f t="shared" si="87"/>
        <v>4</v>
      </c>
      <c r="P927" t="str">
        <f t="shared" si="88"/>
        <v>Completed</v>
      </c>
      <c r="Q927" t="str">
        <f t="shared" si="89"/>
        <v>Slow</v>
      </c>
      <c r="R927" t="str">
        <f>_xlfn.XLOOKUP(B927,CustomerMaster!$A$2:$A$287,CustomerMaster!$B$2:$B$287)</f>
        <v>Customer_46</v>
      </c>
      <c r="S927" t="str">
        <f>_xlfn.XLOOKUP(C927,ProductMaster!$A$2:$A$51,ProductMaster!$B$2:$B$51)</f>
        <v>Product_17</v>
      </c>
      <c r="T927" t="str">
        <f>_xlfn.XLOOKUP(G927,RegionMaster!$A$2:$A$5,RegionMaster!$B$2:$B$5)</f>
        <v>D</v>
      </c>
    </row>
    <row r="928" spans="1:20" ht="15.75" customHeight="1">
      <c r="A928" s="2" t="s">
        <v>1638</v>
      </c>
      <c r="B928" s="2" t="s">
        <v>76</v>
      </c>
      <c r="C928" s="2" t="s">
        <v>69</v>
      </c>
      <c r="D928" s="3">
        <v>45764</v>
      </c>
      <c r="E928" s="3">
        <v>45765</v>
      </c>
      <c r="F928" s="4"/>
      <c r="G928" s="2" t="s">
        <v>45</v>
      </c>
      <c r="H928" s="2" t="s">
        <v>59</v>
      </c>
      <c r="I928" s="2" t="s">
        <v>195</v>
      </c>
      <c r="J928" s="2" t="s">
        <v>133</v>
      </c>
      <c r="K928" s="2">
        <v>1489.65</v>
      </c>
      <c r="L928" s="2" t="str">
        <f t="shared" si="84"/>
        <v>April</v>
      </c>
      <c r="M928" s="2" t="str">
        <f t="shared" si="85"/>
        <v>April</v>
      </c>
      <c r="N928" t="str">
        <f t="shared" si="86"/>
        <v>Delivered</v>
      </c>
      <c r="O928">
        <f t="shared" si="87"/>
        <v>1</v>
      </c>
      <c r="P928" t="str">
        <f t="shared" si="88"/>
        <v>Completed</v>
      </c>
      <c r="Q928" t="str">
        <f t="shared" si="89"/>
        <v>Fast</v>
      </c>
      <c r="R928" t="str">
        <f>_xlfn.XLOOKUP(B928,CustomerMaster!$A$2:$A$287,CustomerMaster!$B$2:$B$287)</f>
        <v>Customer_9</v>
      </c>
      <c r="S928" t="str">
        <f>_xlfn.XLOOKUP(C928,ProductMaster!$A$2:$A$51,ProductMaster!$B$2:$B$51)</f>
        <v>Product_9</v>
      </c>
      <c r="T928" t="str">
        <f>_xlfn.XLOOKUP(G928,RegionMaster!$A$2:$A$5,RegionMaster!$B$2:$B$5)</f>
        <v>D</v>
      </c>
    </row>
    <row r="929" spans="1:20" ht="15.75" customHeight="1">
      <c r="A929" s="2" t="s">
        <v>1639</v>
      </c>
      <c r="B929" s="2" t="s">
        <v>662</v>
      </c>
      <c r="C929" s="2" t="s">
        <v>95</v>
      </c>
      <c r="D929" s="3">
        <v>45754</v>
      </c>
      <c r="E929" s="3">
        <v>45759</v>
      </c>
      <c r="F929" s="4"/>
      <c r="G929" s="2" t="s">
        <v>17</v>
      </c>
      <c r="H929" s="2" t="s">
        <v>59</v>
      </c>
      <c r="I929" s="2" t="s">
        <v>121</v>
      </c>
      <c r="J929" s="2" t="s">
        <v>107</v>
      </c>
      <c r="K929" s="2">
        <v>2799.84</v>
      </c>
      <c r="L929" s="2" t="str">
        <f t="shared" si="84"/>
        <v>April</v>
      </c>
      <c r="M929" s="2" t="str">
        <f t="shared" si="85"/>
        <v>April</v>
      </c>
      <c r="N929" t="str">
        <f t="shared" si="86"/>
        <v>Delivered</v>
      </c>
      <c r="O929">
        <f t="shared" si="87"/>
        <v>5</v>
      </c>
      <c r="P929" t="str">
        <f t="shared" si="88"/>
        <v>Completed</v>
      </c>
      <c r="Q929" t="str">
        <f t="shared" si="89"/>
        <v>Slow</v>
      </c>
      <c r="R929" t="str">
        <f>_xlfn.XLOOKUP(B929,CustomerMaster!$A$2:$A$287,CustomerMaster!$B$2:$B$287)</f>
        <v>Customer_213</v>
      </c>
      <c r="S929" t="str">
        <f>_xlfn.XLOOKUP(C929,ProductMaster!$A$2:$A$51,ProductMaster!$B$2:$B$51)</f>
        <v>Product_17</v>
      </c>
      <c r="T929" t="str">
        <f>_xlfn.XLOOKUP(G929,RegionMaster!$A$2:$A$5,RegionMaster!$B$2:$B$5)</f>
        <v>B</v>
      </c>
    </row>
    <row r="930" spans="1:20" ht="15.75" customHeight="1">
      <c r="A930" s="2" t="s">
        <v>1640</v>
      </c>
      <c r="B930" s="2" t="s">
        <v>342</v>
      </c>
      <c r="C930" s="2" t="s">
        <v>173</v>
      </c>
      <c r="D930" s="3">
        <v>45771</v>
      </c>
      <c r="E930" s="4"/>
      <c r="F930" s="3">
        <v>45773</v>
      </c>
      <c r="G930" s="2" t="s">
        <v>45</v>
      </c>
      <c r="H930" s="2" t="s">
        <v>27</v>
      </c>
      <c r="I930" s="2" t="s">
        <v>178</v>
      </c>
      <c r="J930" s="2" t="s">
        <v>107</v>
      </c>
      <c r="K930" s="2">
        <v>3240.7</v>
      </c>
      <c r="L930" s="2" t="str">
        <f t="shared" si="84"/>
        <v>April</v>
      </c>
      <c r="M930" s="2" t="str">
        <f t="shared" si="85"/>
        <v>Cancelled</v>
      </c>
      <c r="N930" t="str">
        <f t="shared" si="86"/>
        <v>Cancelled</v>
      </c>
      <c r="O930" t="str">
        <f t="shared" si="87"/>
        <v>Order Cancelled</v>
      </c>
      <c r="P930" t="str">
        <f t="shared" si="88"/>
        <v>Cancelled</v>
      </c>
      <c r="Q930" t="str">
        <f t="shared" si="89"/>
        <v>Cancelled</v>
      </c>
      <c r="R930" t="str">
        <f>_xlfn.XLOOKUP(B930,CustomerMaster!$A$2:$A$287,CustomerMaster!$B$2:$B$287)</f>
        <v>Customer_79</v>
      </c>
      <c r="S930" t="str">
        <f>_xlfn.XLOOKUP(C930,ProductMaster!$A$2:$A$51,ProductMaster!$B$2:$B$51)</f>
        <v>Product_38</v>
      </c>
      <c r="T930" t="str">
        <f>_xlfn.XLOOKUP(G930,RegionMaster!$A$2:$A$5,RegionMaster!$B$2:$B$5)</f>
        <v>D</v>
      </c>
    </row>
    <row r="931" spans="1:20" ht="15.75" customHeight="1">
      <c r="A931" s="2" t="s">
        <v>1641</v>
      </c>
      <c r="B931" s="2" t="s">
        <v>500</v>
      </c>
      <c r="C931" s="2" t="s">
        <v>122</v>
      </c>
      <c r="D931" s="3">
        <v>45712</v>
      </c>
      <c r="E931" s="3">
        <v>45713</v>
      </c>
      <c r="F931" s="4"/>
      <c r="G931" s="2" t="s">
        <v>7</v>
      </c>
      <c r="H931" s="2" t="s">
        <v>59</v>
      </c>
      <c r="I931" s="2" t="s">
        <v>121</v>
      </c>
      <c r="J931" s="2" t="s">
        <v>94</v>
      </c>
      <c r="K931" s="2">
        <v>1437.86</v>
      </c>
      <c r="L931" s="2" t="str">
        <f t="shared" si="84"/>
        <v>February</v>
      </c>
      <c r="M931" s="2" t="str">
        <f t="shared" si="85"/>
        <v>February</v>
      </c>
      <c r="N931" t="str">
        <f t="shared" si="86"/>
        <v>Delivered</v>
      </c>
      <c r="O931">
        <f t="shared" si="87"/>
        <v>1</v>
      </c>
      <c r="P931" t="str">
        <f t="shared" si="88"/>
        <v>Completed</v>
      </c>
      <c r="Q931" t="str">
        <f t="shared" si="89"/>
        <v>Fast</v>
      </c>
      <c r="R931" t="str">
        <f>_xlfn.XLOOKUP(B931,CustomerMaster!$A$2:$A$287,CustomerMaster!$B$2:$B$287)</f>
        <v>Customer_214</v>
      </c>
      <c r="S931" t="str">
        <f>_xlfn.XLOOKUP(C931,ProductMaster!$A$2:$A$51,ProductMaster!$B$2:$B$51)</f>
        <v>Product_23</v>
      </c>
      <c r="T931" t="str">
        <f>_xlfn.XLOOKUP(G931,RegionMaster!$A$2:$A$5,RegionMaster!$B$2:$B$5)</f>
        <v>A</v>
      </c>
    </row>
    <row r="932" spans="1:20" ht="15.75" customHeight="1">
      <c r="A932" s="2" t="s">
        <v>1642</v>
      </c>
      <c r="B932" s="2" t="s">
        <v>567</v>
      </c>
      <c r="C932" s="2" t="s">
        <v>79</v>
      </c>
      <c r="D932" s="3">
        <v>45750</v>
      </c>
      <c r="E932" s="3">
        <v>45753</v>
      </c>
      <c r="F932" s="4"/>
      <c r="G932" s="2" t="s">
        <v>7</v>
      </c>
      <c r="H932" s="2" t="s">
        <v>59</v>
      </c>
      <c r="I932" s="2" t="s">
        <v>121</v>
      </c>
      <c r="J932" s="2" t="s">
        <v>107</v>
      </c>
      <c r="K932" s="2">
        <v>868.91</v>
      </c>
      <c r="L932" s="2" t="str">
        <f t="shared" si="84"/>
        <v>April</v>
      </c>
      <c r="M932" s="2" t="str">
        <f t="shared" si="85"/>
        <v>April</v>
      </c>
      <c r="N932" t="str">
        <f t="shared" si="86"/>
        <v>Delivered</v>
      </c>
      <c r="O932">
        <f t="shared" si="87"/>
        <v>3</v>
      </c>
      <c r="P932" t="str">
        <f t="shared" si="88"/>
        <v>Completed</v>
      </c>
      <c r="Q932" t="str">
        <f t="shared" si="89"/>
        <v>Slow</v>
      </c>
      <c r="R932" t="str">
        <f>_xlfn.XLOOKUP(B932,CustomerMaster!$A$2:$A$287,CustomerMaster!$B$2:$B$287)</f>
        <v>Customer_174</v>
      </c>
      <c r="S932" t="str">
        <f>_xlfn.XLOOKUP(C932,ProductMaster!$A$2:$A$51,ProductMaster!$B$2:$B$51)</f>
        <v>Product_12</v>
      </c>
      <c r="T932" t="str">
        <f>_xlfn.XLOOKUP(G932,RegionMaster!$A$2:$A$5,RegionMaster!$B$2:$B$5)</f>
        <v>A</v>
      </c>
    </row>
    <row r="933" spans="1:20" ht="15.75" customHeight="1">
      <c r="A933" s="2" t="s">
        <v>1643</v>
      </c>
      <c r="B933" s="2" t="s">
        <v>457</v>
      </c>
      <c r="C933" s="2" t="s">
        <v>157</v>
      </c>
      <c r="D933" s="3">
        <v>45723</v>
      </c>
      <c r="E933" s="3">
        <v>45728</v>
      </c>
      <c r="F933" s="4"/>
      <c r="G933" s="2" t="s">
        <v>22</v>
      </c>
      <c r="H933" s="2" t="s">
        <v>16</v>
      </c>
      <c r="I933" s="2" t="s">
        <v>178</v>
      </c>
      <c r="J933" s="2" t="s">
        <v>94</v>
      </c>
      <c r="K933" s="2">
        <v>4207.67</v>
      </c>
      <c r="L933" s="2" t="str">
        <f t="shared" si="84"/>
        <v>March</v>
      </c>
      <c r="M933" s="2" t="str">
        <f t="shared" si="85"/>
        <v>March</v>
      </c>
      <c r="N933" t="str">
        <f t="shared" si="86"/>
        <v>Delivered</v>
      </c>
      <c r="O933">
        <f t="shared" si="87"/>
        <v>5</v>
      </c>
      <c r="P933" t="str">
        <f t="shared" si="88"/>
        <v>Completed</v>
      </c>
      <c r="Q933" t="str">
        <f t="shared" si="89"/>
        <v>Slow</v>
      </c>
      <c r="R933" t="str">
        <f>_xlfn.XLOOKUP(B933,CustomerMaster!$A$2:$A$287,CustomerMaster!$B$2:$B$287)</f>
        <v>Customer_128</v>
      </c>
      <c r="S933" t="str">
        <f>_xlfn.XLOOKUP(C933,ProductMaster!$A$2:$A$51,ProductMaster!$B$2:$B$51)</f>
        <v>Product_33</v>
      </c>
      <c r="T933" t="str">
        <f>_xlfn.XLOOKUP(G933,RegionMaster!$A$2:$A$5,RegionMaster!$B$2:$B$5)</f>
        <v>C</v>
      </c>
    </row>
    <row r="934" spans="1:20" ht="15.75" customHeight="1">
      <c r="A934" s="2" t="s">
        <v>1644</v>
      </c>
      <c r="B934" s="2" t="s">
        <v>340</v>
      </c>
      <c r="C934" s="2" t="s">
        <v>160</v>
      </c>
      <c r="D934" s="3">
        <v>45760</v>
      </c>
      <c r="E934" s="3">
        <v>45765</v>
      </c>
      <c r="F934" s="4"/>
      <c r="G934" s="2" t="s">
        <v>22</v>
      </c>
      <c r="H934" s="2" t="s">
        <v>37</v>
      </c>
      <c r="I934" s="2" t="s">
        <v>106</v>
      </c>
      <c r="J934" s="2" t="s">
        <v>94</v>
      </c>
      <c r="K934" s="2">
        <v>4925.13</v>
      </c>
      <c r="L934" s="2" t="str">
        <f t="shared" si="84"/>
        <v>April</v>
      </c>
      <c r="M934" s="2" t="str">
        <f t="shared" si="85"/>
        <v>April</v>
      </c>
      <c r="N934" t="str">
        <f t="shared" si="86"/>
        <v>Delivered</v>
      </c>
      <c r="O934">
        <f t="shared" si="87"/>
        <v>5</v>
      </c>
      <c r="P934" t="str">
        <f t="shared" si="88"/>
        <v>Completed</v>
      </c>
      <c r="Q934" t="str">
        <f t="shared" si="89"/>
        <v>Slow</v>
      </c>
      <c r="R934" t="str">
        <f>_xlfn.XLOOKUP(B934,CustomerMaster!$A$2:$A$287,CustomerMaster!$B$2:$B$287)</f>
        <v>Customer_78</v>
      </c>
      <c r="S934" t="str">
        <f>_xlfn.XLOOKUP(C934,ProductMaster!$A$2:$A$51,ProductMaster!$B$2:$B$51)</f>
        <v>Product_34</v>
      </c>
      <c r="T934" t="str">
        <f>_xlfn.XLOOKUP(G934,RegionMaster!$A$2:$A$5,RegionMaster!$B$2:$B$5)</f>
        <v>C</v>
      </c>
    </row>
    <row r="935" spans="1:20" ht="15.75" customHeight="1">
      <c r="A935" s="2" t="s">
        <v>1645</v>
      </c>
      <c r="B935" s="2" t="s">
        <v>471</v>
      </c>
      <c r="C935" s="2" t="s">
        <v>91</v>
      </c>
      <c r="D935" s="3">
        <v>45773</v>
      </c>
      <c r="E935" s="3">
        <v>45779</v>
      </c>
      <c r="F935" s="4"/>
      <c r="G935" s="2" t="s">
        <v>22</v>
      </c>
      <c r="H935" s="2" t="s">
        <v>16</v>
      </c>
      <c r="I935" s="2" t="s">
        <v>121</v>
      </c>
      <c r="J935" s="2" t="s">
        <v>107</v>
      </c>
      <c r="K935" s="2">
        <v>2723.31</v>
      </c>
      <c r="L935" s="2" t="str">
        <f t="shared" si="84"/>
        <v>April</v>
      </c>
      <c r="M935" s="2" t="str">
        <f t="shared" si="85"/>
        <v>May</v>
      </c>
      <c r="N935" t="str">
        <f t="shared" si="86"/>
        <v>Delivered</v>
      </c>
      <c r="O935">
        <f t="shared" si="87"/>
        <v>6</v>
      </c>
      <c r="P935" t="str">
        <f t="shared" si="88"/>
        <v>Completed</v>
      </c>
      <c r="Q935" t="str">
        <f t="shared" si="89"/>
        <v>Slow</v>
      </c>
      <c r="R935" t="str">
        <f>_xlfn.XLOOKUP(B935,CustomerMaster!$A$2:$A$287,CustomerMaster!$B$2:$B$287)</f>
        <v>Customer_134</v>
      </c>
      <c r="S935" t="str">
        <f>_xlfn.XLOOKUP(C935,ProductMaster!$A$2:$A$51,ProductMaster!$B$2:$B$51)</f>
        <v>Product_16</v>
      </c>
      <c r="T935" t="str">
        <f>_xlfn.XLOOKUP(G935,RegionMaster!$A$2:$A$5,RegionMaster!$B$2:$B$5)</f>
        <v>C</v>
      </c>
    </row>
    <row r="936" spans="1:20" ht="15.75" customHeight="1">
      <c r="A936" s="2" t="s">
        <v>1646</v>
      </c>
      <c r="B936" s="2" t="s">
        <v>542</v>
      </c>
      <c r="C936" s="2" t="s">
        <v>118</v>
      </c>
      <c r="D936" s="3">
        <v>45749</v>
      </c>
      <c r="E936" s="3">
        <v>45755</v>
      </c>
      <c r="F936" s="4"/>
      <c r="G936" s="2" t="s">
        <v>22</v>
      </c>
      <c r="H936" s="2" t="s">
        <v>37</v>
      </c>
      <c r="I936" s="2" t="s">
        <v>106</v>
      </c>
      <c r="J936" s="2" t="s">
        <v>107</v>
      </c>
      <c r="K936" s="2">
        <v>1024.06</v>
      </c>
      <c r="L936" s="2" t="str">
        <f t="shared" si="84"/>
        <v>April</v>
      </c>
      <c r="M936" s="2" t="str">
        <f t="shared" si="85"/>
        <v>April</v>
      </c>
      <c r="N936" t="str">
        <f t="shared" si="86"/>
        <v>Delivered</v>
      </c>
      <c r="O936">
        <f t="shared" si="87"/>
        <v>6</v>
      </c>
      <c r="P936" t="str">
        <f t="shared" si="88"/>
        <v>Completed</v>
      </c>
      <c r="Q936" t="str">
        <f t="shared" si="89"/>
        <v>Slow</v>
      </c>
      <c r="R936" t="str">
        <f>_xlfn.XLOOKUP(B936,CustomerMaster!$A$2:$A$287,CustomerMaster!$B$2:$B$287)</f>
        <v>Customer_162</v>
      </c>
      <c r="S936" t="str">
        <f>_xlfn.XLOOKUP(C936,ProductMaster!$A$2:$A$51,ProductMaster!$B$2:$B$51)</f>
        <v>Product_22</v>
      </c>
      <c r="T936" t="str">
        <f>_xlfn.XLOOKUP(G936,RegionMaster!$A$2:$A$5,RegionMaster!$B$2:$B$5)</f>
        <v>C</v>
      </c>
    </row>
    <row r="937" spans="1:20" ht="15.75" customHeight="1">
      <c r="A937" s="2" t="s">
        <v>1647</v>
      </c>
      <c r="B937" s="2" t="s">
        <v>218</v>
      </c>
      <c r="C937" s="2" t="s">
        <v>68</v>
      </c>
      <c r="D937" s="3">
        <v>45724</v>
      </c>
      <c r="E937" s="3">
        <v>45728</v>
      </c>
      <c r="F937" s="4"/>
      <c r="G937" s="2" t="s">
        <v>7</v>
      </c>
      <c r="H937" s="2" t="s">
        <v>37</v>
      </c>
      <c r="I937" s="2" t="s">
        <v>195</v>
      </c>
      <c r="J937" s="2" t="s">
        <v>94</v>
      </c>
      <c r="K937" s="2">
        <v>1507.08</v>
      </c>
      <c r="L937" s="2" t="str">
        <f t="shared" si="84"/>
        <v>March</v>
      </c>
      <c r="M937" s="2" t="str">
        <f t="shared" si="85"/>
        <v>March</v>
      </c>
      <c r="N937" t="str">
        <f t="shared" si="86"/>
        <v>Delivered</v>
      </c>
      <c r="O937">
        <f t="shared" si="87"/>
        <v>4</v>
      </c>
      <c r="P937" t="str">
        <f t="shared" si="88"/>
        <v>Completed</v>
      </c>
      <c r="Q937" t="str">
        <f t="shared" si="89"/>
        <v>Slow</v>
      </c>
      <c r="R937" t="str">
        <f>_xlfn.XLOOKUP(B937,CustomerMaster!$A$2:$A$287,CustomerMaster!$B$2:$B$287)</f>
        <v>Customer_30</v>
      </c>
      <c r="S937" t="str">
        <f>_xlfn.XLOOKUP(C937,ProductMaster!$A$2:$A$51,ProductMaster!$B$2:$B$51)</f>
        <v>Product_13</v>
      </c>
      <c r="T937" t="str">
        <f>_xlfn.XLOOKUP(G937,RegionMaster!$A$2:$A$5,RegionMaster!$B$2:$B$5)</f>
        <v>A</v>
      </c>
    </row>
    <row r="938" spans="1:20" ht="15.75" customHeight="1">
      <c r="A938" s="2" t="s">
        <v>1648</v>
      </c>
      <c r="B938" s="2" t="s">
        <v>643</v>
      </c>
      <c r="C938" s="2" t="s">
        <v>153</v>
      </c>
      <c r="D938" s="3">
        <v>45693</v>
      </c>
      <c r="E938" s="3">
        <v>45696</v>
      </c>
      <c r="F938" s="4"/>
      <c r="G938" s="2" t="s">
        <v>45</v>
      </c>
      <c r="H938" s="2" t="s">
        <v>54</v>
      </c>
      <c r="I938" s="2" t="s">
        <v>195</v>
      </c>
      <c r="J938" s="2" t="s">
        <v>107</v>
      </c>
      <c r="K938" s="2">
        <v>288.27999999999997</v>
      </c>
      <c r="L938" s="2" t="str">
        <f t="shared" si="84"/>
        <v>February</v>
      </c>
      <c r="M938" s="2" t="str">
        <f t="shared" si="85"/>
        <v>February</v>
      </c>
      <c r="N938" t="str">
        <f t="shared" si="86"/>
        <v>Delivered</v>
      </c>
      <c r="O938">
        <f t="shared" si="87"/>
        <v>3</v>
      </c>
      <c r="P938" t="str">
        <f t="shared" si="88"/>
        <v>Completed</v>
      </c>
      <c r="Q938" t="str">
        <f t="shared" si="89"/>
        <v>Slow</v>
      </c>
      <c r="R938" t="str">
        <f>_xlfn.XLOOKUP(B938,CustomerMaster!$A$2:$A$287,CustomerMaster!$B$2:$B$287)</f>
        <v>Customer_206</v>
      </c>
      <c r="S938" t="str">
        <f>_xlfn.XLOOKUP(C938,ProductMaster!$A$2:$A$51,ProductMaster!$B$2:$B$51)</f>
        <v>Product_32</v>
      </c>
      <c r="T938" t="str">
        <f>_xlfn.XLOOKUP(G938,RegionMaster!$A$2:$A$5,RegionMaster!$B$2:$B$5)</f>
        <v>D</v>
      </c>
    </row>
    <row r="939" spans="1:20" ht="15.75" customHeight="1">
      <c r="A939" s="2" t="s">
        <v>1649</v>
      </c>
      <c r="B939" s="2" t="s">
        <v>651</v>
      </c>
      <c r="C939" s="2" t="s">
        <v>72</v>
      </c>
      <c r="D939" s="3">
        <v>45700</v>
      </c>
      <c r="E939" s="4"/>
      <c r="F939" s="3">
        <v>45701</v>
      </c>
      <c r="G939" s="2" t="s">
        <v>22</v>
      </c>
      <c r="H939" s="2" t="s">
        <v>16</v>
      </c>
      <c r="I939" s="2" t="s">
        <v>195</v>
      </c>
      <c r="J939" s="2" t="s">
        <v>107</v>
      </c>
      <c r="K939" s="2">
        <v>4588.63</v>
      </c>
      <c r="L939" s="2" t="str">
        <f t="shared" si="84"/>
        <v>February</v>
      </c>
      <c r="M939" s="2" t="str">
        <f t="shared" si="85"/>
        <v>Cancelled</v>
      </c>
      <c r="N939" t="str">
        <f t="shared" si="86"/>
        <v>Cancelled</v>
      </c>
      <c r="O939" t="str">
        <f t="shared" si="87"/>
        <v>Order Cancelled</v>
      </c>
      <c r="P939" t="str">
        <f t="shared" si="88"/>
        <v>Cancelled</v>
      </c>
      <c r="Q939" t="str">
        <f t="shared" si="89"/>
        <v>Cancelled</v>
      </c>
      <c r="R939" t="str">
        <f>_xlfn.XLOOKUP(B939,CustomerMaster!$A$2:$A$287,CustomerMaster!$B$2:$B$287)</f>
        <v>Customer_209</v>
      </c>
      <c r="S939" t="str">
        <f>_xlfn.XLOOKUP(C939,ProductMaster!$A$2:$A$51,ProductMaster!$B$2:$B$51)</f>
        <v>Product_10</v>
      </c>
      <c r="T939" t="str">
        <f>_xlfn.XLOOKUP(G939,RegionMaster!$A$2:$A$5,RegionMaster!$B$2:$B$5)</f>
        <v>C</v>
      </c>
    </row>
    <row r="940" spans="1:20" ht="15.75" customHeight="1">
      <c r="A940" s="2" t="s">
        <v>1650</v>
      </c>
      <c r="B940" s="2" t="s">
        <v>608</v>
      </c>
      <c r="C940" s="2" t="s">
        <v>157</v>
      </c>
      <c r="D940" s="3">
        <v>45750</v>
      </c>
      <c r="E940" s="3">
        <v>45751</v>
      </c>
      <c r="F940" s="4"/>
      <c r="G940" s="2" t="s">
        <v>7</v>
      </c>
      <c r="H940" s="2" t="s">
        <v>59</v>
      </c>
      <c r="I940" s="2" t="s">
        <v>195</v>
      </c>
      <c r="J940" s="2" t="s">
        <v>107</v>
      </c>
      <c r="K940" s="2">
        <v>765.21</v>
      </c>
      <c r="L940" s="2" t="str">
        <f t="shared" si="84"/>
        <v>April</v>
      </c>
      <c r="M940" s="2" t="str">
        <f t="shared" si="85"/>
        <v>April</v>
      </c>
      <c r="N940" t="str">
        <f t="shared" si="86"/>
        <v>Delivered</v>
      </c>
      <c r="O940">
        <f t="shared" si="87"/>
        <v>1</v>
      </c>
      <c r="P940" t="str">
        <f t="shared" si="88"/>
        <v>Completed</v>
      </c>
      <c r="Q940" t="str">
        <f t="shared" si="89"/>
        <v>Fast</v>
      </c>
      <c r="R940" t="str">
        <f>_xlfn.XLOOKUP(B940,CustomerMaster!$A$2:$A$287,CustomerMaster!$B$2:$B$287)</f>
        <v>Customer_190</v>
      </c>
      <c r="S940" t="str">
        <f>_xlfn.XLOOKUP(C940,ProductMaster!$A$2:$A$51,ProductMaster!$B$2:$B$51)</f>
        <v>Product_33</v>
      </c>
      <c r="T940" t="str">
        <f>_xlfn.XLOOKUP(G940,RegionMaster!$A$2:$A$5,RegionMaster!$B$2:$B$5)</f>
        <v>A</v>
      </c>
    </row>
    <row r="941" spans="1:20" ht="15.75" customHeight="1">
      <c r="A941" s="2" t="s">
        <v>1651</v>
      </c>
      <c r="B941" s="2" t="s">
        <v>643</v>
      </c>
      <c r="C941" s="2" t="s">
        <v>122</v>
      </c>
      <c r="D941" s="3">
        <v>45760</v>
      </c>
      <c r="E941" s="3">
        <v>45764</v>
      </c>
      <c r="F941" s="4"/>
      <c r="G941" s="2" t="s">
        <v>17</v>
      </c>
      <c r="H941" s="2" t="s">
        <v>37</v>
      </c>
      <c r="I941" s="2" t="s">
        <v>195</v>
      </c>
      <c r="J941" s="2" t="s">
        <v>107</v>
      </c>
      <c r="K941" s="2">
        <v>2967.28</v>
      </c>
      <c r="L941" s="2" t="str">
        <f t="shared" si="84"/>
        <v>April</v>
      </c>
      <c r="M941" s="2" t="str">
        <f t="shared" si="85"/>
        <v>April</v>
      </c>
      <c r="N941" t="str">
        <f t="shared" si="86"/>
        <v>Delivered</v>
      </c>
      <c r="O941">
        <f t="shared" si="87"/>
        <v>4</v>
      </c>
      <c r="P941" t="str">
        <f t="shared" si="88"/>
        <v>Completed</v>
      </c>
      <c r="Q941" t="str">
        <f t="shared" si="89"/>
        <v>Slow</v>
      </c>
      <c r="R941" t="str">
        <f>_xlfn.XLOOKUP(B941,CustomerMaster!$A$2:$A$287,CustomerMaster!$B$2:$B$287)</f>
        <v>Customer_206</v>
      </c>
      <c r="S941" t="str">
        <f>_xlfn.XLOOKUP(C941,ProductMaster!$A$2:$A$51,ProductMaster!$B$2:$B$51)</f>
        <v>Product_23</v>
      </c>
      <c r="T941" t="str">
        <f>_xlfn.XLOOKUP(G941,RegionMaster!$A$2:$A$5,RegionMaster!$B$2:$B$5)</f>
        <v>B</v>
      </c>
    </row>
    <row r="942" spans="1:20" ht="15.75" customHeight="1">
      <c r="A942" s="2" t="s">
        <v>1652</v>
      </c>
      <c r="B942" s="2" t="s">
        <v>226</v>
      </c>
      <c r="C942" s="2" t="s">
        <v>148</v>
      </c>
      <c r="D942" s="3">
        <v>45757</v>
      </c>
      <c r="E942" s="3">
        <v>45761</v>
      </c>
      <c r="F942" s="4"/>
      <c r="G942" s="2" t="s">
        <v>45</v>
      </c>
      <c r="H942" s="2" t="s">
        <v>37</v>
      </c>
      <c r="I942" s="2" t="s">
        <v>90</v>
      </c>
      <c r="J942" s="2" t="s">
        <v>133</v>
      </c>
      <c r="K942" s="2">
        <v>1515.47</v>
      </c>
      <c r="L942" s="2" t="str">
        <f t="shared" si="84"/>
        <v>April</v>
      </c>
      <c r="M942" s="2" t="str">
        <f t="shared" si="85"/>
        <v>April</v>
      </c>
      <c r="N942" t="str">
        <f t="shared" si="86"/>
        <v>Delivered</v>
      </c>
      <c r="O942">
        <f t="shared" si="87"/>
        <v>4</v>
      </c>
      <c r="P942" t="str">
        <f t="shared" si="88"/>
        <v>Completed</v>
      </c>
      <c r="Q942" t="str">
        <f t="shared" si="89"/>
        <v>Slow</v>
      </c>
      <c r="R942" t="str">
        <f>_xlfn.XLOOKUP(B942,CustomerMaster!$A$2:$A$287,CustomerMaster!$B$2:$B$287)</f>
        <v>Customer_32</v>
      </c>
      <c r="S942" t="str">
        <f>_xlfn.XLOOKUP(C942,ProductMaster!$A$2:$A$51,ProductMaster!$B$2:$B$51)</f>
        <v>Product_31</v>
      </c>
      <c r="T942" t="str">
        <f>_xlfn.XLOOKUP(G942,RegionMaster!$A$2:$A$5,RegionMaster!$B$2:$B$5)</f>
        <v>D</v>
      </c>
    </row>
    <row r="943" spans="1:20" ht="15.75" customHeight="1">
      <c r="A943" s="2" t="s">
        <v>1653</v>
      </c>
      <c r="B943" s="2" t="s">
        <v>99</v>
      </c>
      <c r="C943" s="2" t="s">
        <v>43</v>
      </c>
      <c r="D943" s="3">
        <v>45744</v>
      </c>
      <c r="E943" s="3">
        <v>45749</v>
      </c>
      <c r="F943" s="4"/>
      <c r="G943" s="2" t="s">
        <v>17</v>
      </c>
      <c r="H943" s="2" t="s">
        <v>16</v>
      </c>
      <c r="I943" s="2" t="s">
        <v>121</v>
      </c>
      <c r="J943" s="2" t="s">
        <v>107</v>
      </c>
      <c r="K943" s="2">
        <v>2860.05</v>
      </c>
      <c r="L943" s="2" t="str">
        <f t="shared" si="84"/>
        <v>March</v>
      </c>
      <c r="M943" s="2" t="str">
        <f t="shared" si="85"/>
        <v>April</v>
      </c>
      <c r="N943" t="str">
        <f t="shared" si="86"/>
        <v>Delivered</v>
      </c>
      <c r="O943">
        <f t="shared" si="87"/>
        <v>5</v>
      </c>
      <c r="P943" t="str">
        <f t="shared" si="88"/>
        <v>Completed</v>
      </c>
      <c r="Q943" t="str">
        <f t="shared" si="89"/>
        <v>Slow</v>
      </c>
      <c r="R943" t="str">
        <f>_xlfn.XLOOKUP(B943,CustomerMaster!$A$2:$A$287,CustomerMaster!$B$2:$B$287)</f>
        <v>Customer_140</v>
      </c>
      <c r="S943" t="str">
        <f>_xlfn.XLOOKUP(C943,ProductMaster!$A$2:$A$51,ProductMaster!$B$2:$B$51)</f>
        <v>Product_5</v>
      </c>
      <c r="T943" t="str">
        <f>_xlfn.XLOOKUP(G943,RegionMaster!$A$2:$A$5,RegionMaster!$B$2:$B$5)</f>
        <v>B</v>
      </c>
    </row>
    <row r="944" spans="1:20" ht="15.75" customHeight="1">
      <c r="A944" s="2" t="s">
        <v>1654</v>
      </c>
      <c r="B944" s="2" t="s">
        <v>466</v>
      </c>
      <c r="C944" s="2" t="s">
        <v>191</v>
      </c>
      <c r="D944" s="3">
        <v>45687</v>
      </c>
      <c r="E944" s="4"/>
      <c r="F944" s="3">
        <v>45687</v>
      </c>
      <c r="G944" s="2" t="s">
        <v>45</v>
      </c>
      <c r="H944" s="2" t="s">
        <v>16</v>
      </c>
      <c r="I944" s="2" t="s">
        <v>178</v>
      </c>
      <c r="J944" s="2" t="s">
        <v>94</v>
      </c>
      <c r="K944" s="2">
        <v>3326.82</v>
      </c>
      <c r="L944" s="2" t="str">
        <f t="shared" si="84"/>
        <v>January</v>
      </c>
      <c r="M944" s="2" t="str">
        <f t="shared" si="85"/>
        <v>Cancelled</v>
      </c>
      <c r="N944" t="str">
        <f t="shared" si="86"/>
        <v>Cancelled</v>
      </c>
      <c r="O944" t="str">
        <f t="shared" si="87"/>
        <v>Order Cancelled</v>
      </c>
      <c r="P944" t="str">
        <f t="shared" si="88"/>
        <v>Cancelled</v>
      </c>
      <c r="Q944" t="str">
        <f t="shared" si="89"/>
        <v>Cancelled</v>
      </c>
      <c r="R944" t="str">
        <f>_xlfn.XLOOKUP(B944,CustomerMaster!$A$2:$A$287,CustomerMaster!$B$2:$B$287)</f>
        <v>Customer_132</v>
      </c>
      <c r="S944" t="str">
        <f>_xlfn.XLOOKUP(C944,ProductMaster!$A$2:$A$51,ProductMaster!$B$2:$B$51)</f>
        <v>Product_43</v>
      </c>
      <c r="T944" t="str">
        <f>_xlfn.XLOOKUP(G944,RegionMaster!$A$2:$A$5,RegionMaster!$B$2:$B$5)</f>
        <v>D</v>
      </c>
    </row>
    <row r="945" spans="1:20" ht="15.75" customHeight="1">
      <c r="A945" s="2" t="s">
        <v>1655</v>
      </c>
      <c r="B945" s="2" t="s">
        <v>536</v>
      </c>
      <c r="C945" s="2" t="s">
        <v>173</v>
      </c>
      <c r="D945" s="3">
        <v>45704</v>
      </c>
      <c r="E945" s="3">
        <v>45706</v>
      </c>
      <c r="F945" s="4"/>
      <c r="G945" s="2" t="s">
        <v>17</v>
      </c>
      <c r="H945" s="2" t="s">
        <v>37</v>
      </c>
      <c r="I945" s="2" t="s">
        <v>121</v>
      </c>
      <c r="J945" s="2" t="s">
        <v>133</v>
      </c>
      <c r="K945" s="2">
        <v>4182.76</v>
      </c>
      <c r="L945" s="2" t="str">
        <f t="shared" si="84"/>
        <v>February</v>
      </c>
      <c r="M945" s="2" t="str">
        <f t="shared" si="85"/>
        <v>February</v>
      </c>
      <c r="N945" t="str">
        <f t="shared" si="86"/>
        <v>Delivered</v>
      </c>
      <c r="O945">
        <f t="shared" si="87"/>
        <v>2</v>
      </c>
      <c r="P945" t="str">
        <f t="shared" si="88"/>
        <v>Completed</v>
      </c>
      <c r="Q945" t="str">
        <f t="shared" si="89"/>
        <v>Fast</v>
      </c>
      <c r="R945" t="str">
        <f>_xlfn.XLOOKUP(B945,CustomerMaster!$A$2:$A$287,CustomerMaster!$B$2:$B$287)</f>
        <v>Customer_160</v>
      </c>
      <c r="S945" t="str">
        <f>_xlfn.XLOOKUP(C945,ProductMaster!$A$2:$A$51,ProductMaster!$B$2:$B$51)</f>
        <v>Product_38</v>
      </c>
      <c r="T945" t="str">
        <f>_xlfn.XLOOKUP(G945,RegionMaster!$A$2:$A$5,RegionMaster!$B$2:$B$5)</f>
        <v>B</v>
      </c>
    </row>
    <row r="946" spans="1:20" ht="15.75" customHeight="1">
      <c r="A946" s="2" t="s">
        <v>1656</v>
      </c>
      <c r="B946" s="2" t="s">
        <v>525</v>
      </c>
      <c r="C946" s="2" t="s">
        <v>173</v>
      </c>
      <c r="D946" s="3">
        <v>45734</v>
      </c>
      <c r="E946" s="3">
        <v>45736</v>
      </c>
      <c r="F946" s="4"/>
      <c r="G946" s="2" t="s">
        <v>22</v>
      </c>
      <c r="H946" s="2" t="s">
        <v>37</v>
      </c>
      <c r="I946" s="2" t="s">
        <v>195</v>
      </c>
      <c r="J946" s="2" t="s">
        <v>107</v>
      </c>
      <c r="K946" s="2">
        <v>1190.82</v>
      </c>
      <c r="L946" s="2" t="str">
        <f t="shared" si="84"/>
        <v>March</v>
      </c>
      <c r="M946" s="2" t="str">
        <f t="shared" si="85"/>
        <v>March</v>
      </c>
      <c r="N946" t="str">
        <f t="shared" si="86"/>
        <v>Delivered</v>
      </c>
      <c r="O946">
        <f t="shared" si="87"/>
        <v>2</v>
      </c>
      <c r="P946" t="str">
        <f t="shared" si="88"/>
        <v>Completed</v>
      </c>
      <c r="Q946" t="str">
        <f t="shared" si="89"/>
        <v>Fast</v>
      </c>
      <c r="R946" t="str">
        <f>_xlfn.XLOOKUP(B946,CustomerMaster!$A$2:$A$287,CustomerMaster!$B$2:$B$287)</f>
        <v>Customer_156</v>
      </c>
      <c r="S946" t="str">
        <f>_xlfn.XLOOKUP(C946,ProductMaster!$A$2:$A$51,ProductMaster!$B$2:$B$51)</f>
        <v>Product_38</v>
      </c>
      <c r="T946" t="str">
        <f>_xlfn.XLOOKUP(G946,RegionMaster!$A$2:$A$5,RegionMaster!$B$2:$B$5)</f>
        <v>C</v>
      </c>
    </row>
    <row r="947" spans="1:20" ht="15.75" customHeight="1">
      <c r="A947" s="2" t="s">
        <v>1657</v>
      </c>
      <c r="B947" s="2" t="s">
        <v>517</v>
      </c>
      <c r="C947" s="2" t="s">
        <v>142</v>
      </c>
      <c r="D947" s="3">
        <v>45678</v>
      </c>
      <c r="E947" s="4"/>
      <c r="F947" s="3">
        <v>45680</v>
      </c>
      <c r="G947" s="2" t="s">
        <v>45</v>
      </c>
      <c r="H947" s="2" t="s">
        <v>54</v>
      </c>
      <c r="I947" s="2" t="s">
        <v>195</v>
      </c>
      <c r="J947" s="2" t="s">
        <v>107</v>
      </c>
      <c r="K947" s="2">
        <v>252.78</v>
      </c>
      <c r="L947" s="2" t="str">
        <f t="shared" si="84"/>
        <v>January</v>
      </c>
      <c r="M947" s="2" t="str">
        <f t="shared" si="85"/>
        <v>Cancelled</v>
      </c>
      <c r="N947" t="str">
        <f t="shared" si="86"/>
        <v>Cancelled</v>
      </c>
      <c r="O947" t="str">
        <f t="shared" si="87"/>
        <v>Order Cancelled</v>
      </c>
      <c r="P947" t="str">
        <f t="shared" si="88"/>
        <v>Cancelled</v>
      </c>
      <c r="Q947" t="str">
        <f t="shared" si="89"/>
        <v>Cancelled</v>
      </c>
      <c r="R947" t="str">
        <f>_xlfn.XLOOKUP(B947,CustomerMaster!$A$2:$A$287,CustomerMaster!$B$2:$B$287)</f>
        <v>Customer_153</v>
      </c>
      <c r="S947" t="str">
        <f>_xlfn.XLOOKUP(C947,ProductMaster!$A$2:$A$51,ProductMaster!$B$2:$B$51)</f>
        <v>Product_29</v>
      </c>
      <c r="T947" t="str">
        <f>_xlfn.XLOOKUP(G947,RegionMaster!$A$2:$A$5,RegionMaster!$B$2:$B$5)</f>
        <v>D</v>
      </c>
    </row>
    <row r="948" spans="1:20" ht="15.75" customHeight="1">
      <c r="A948" s="2" t="s">
        <v>1658</v>
      </c>
      <c r="B948" s="2" t="s">
        <v>108</v>
      </c>
      <c r="C948" s="2" t="s">
        <v>20</v>
      </c>
      <c r="D948" s="3">
        <v>45661</v>
      </c>
      <c r="E948" s="3">
        <v>45663</v>
      </c>
      <c r="F948" s="4"/>
      <c r="G948" s="2" t="s">
        <v>17</v>
      </c>
      <c r="H948" s="2" t="s">
        <v>54</v>
      </c>
      <c r="I948" s="2" t="s">
        <v>121</v>
      </c>
      <c r="J948" s="2" t="s">
        <v>94</v>
      </c>
      <c r="K948" s="2">
        <v>857.05</v>
      </c>
      <c r="L948" s="2" t="str">
        <f t="shared" si="84"/>
        <v>January</v>
      </c>
      <c r="M948" s="2" t="str">
        <f t="shared" si="85"/>
        <v>January</v>
      </c>
      <c r="N948" t="str">
        <f t="shared" si="86"/>
        <v>Delivered</v>
      </c>
      <c r="O948">
        <f t="shared" si="87"/>
        <v>2</v>
      </c>
      <c r="P948" t="str">
        <f t="shared" si="88"/>
        <v>Completed</v>
      </c>
      <c r="Q948" t="str">
        <f t="shared" si="89"/>
        <v>Fast</v>
      </c>
      <c r="R948" t="str">
        <f>_xlfn.XLOOKUP(B948,CustomerMaster!$A$2:$A$287,CustomerMaster!$B$2:$B$287)</f>
        <v>Customer_14</v>
      </c>
      <c r="S948" t="str">
        <f>_xlfn.XLOOKUP(C948,ProductMaster!$A$2:$A$51,ProductMaster!$B$2:$B$51)</f>
        <v>Product_1</v>
      </c>
      <c r="T948" t="str">
        <f>_xlfn.XLOOKUP(G948,RegionMaster!$A$2:$A$5,RegionMaster!$B$2:$B$5)</f>
        <v>B</v>
      </c>
    </row>
    <row r="949" spans="1:20" ht="15.75" customHeight="1">
      <c r="A949" s="2" t="s">
        <v>1659</v>
      </c>
      <c r="B949" s="2" t="s">
        <v>386</v>
      </c>
      <c r="C949" s="2" t="s">
        <v>191</v>
      </c>
      <c r="D949" s="3">
        <v>45701</v>
      </c>
      <c r="E949" s="3">
        <v>45702</v>
      </c>
      <c r="F949" s="4"/>
      <c r="G949" s="2" t="s">
        <v>7</v>
      </c>
      <c r="H949" s="2" t="s">
        <v>37</v>
      </c>
      <c r="I949" s="2" t="s">
        <v>121</v>
      </c>
      <c r="J949" s="2" t="s">
        <v>94</v>
      </c>
      <c r="K949" s="2">
        <v>4520.09</v>
      </c>
      <c r="L949" s="2" t="str">
        <f t="shared" si="84"/>
        <v>February</v>
      </c>
      <c r="M949" s="2" t="str">
        <f t="shared" si="85"/>
        <v>February</v>
      </c>
      <c r="N949" t="str">
        <f t="shared" si="86"/>
        <v>Delivered</v>
      </c>
      <c r="O949">
        <f t="shared" si="87"/>
        <v>1</v>
      </c>
      <c r="P949" t="str">
        <f t="shared" si="88"/>
        <v>Completed</v>
      </c>
      <c r="Q949" t="str">
        <f t="shared" si="89"/>
        <v>Fast</v>
      </c>
      <c r="R949" t="str">
        <f>_xlfn.XLOOKUP(B949,CustomerMaster!$A$2:$A$287,CustomerMaster!$B$2:$B$287)</f>
        <v>Customer_99</v>
      </c>
      <c r="S949" t="str">
        <f>_xlfn.XLOOKUP(C949,ProductMaster!$A$2:$A$51,ProductMaster!$B$2:$B$51)</f>
        <v>Product_43</v>
      </c>
      <c r="T949" t="str">
        <f>_xlfn.XLOOKUP(G949,RegionMaster!$A$2:$A$5,RegionMaster!$B$2:$B$5)</f>
        <v>A</v>
      </c>
    </row>
    <row r="950" spans="1:20" ht="15.75" customHeight="1">
      <c r="A950" s="2" t="s">
        <v>1660</v>
      </c>
      <c r="B950" s="2" t="s">
        <v>340</v>
      </c>
      <c r="C950" s="2" t="s">
        <v>91</v>
      </c>
      <c r="D950" s="3">
        <v>45675</v>
      </c>
      <c r="E950" s="4"/>
      <c r="F950" s="3">
        <v>45676</v>
      </c>
      <c r="G950" s="2" t="s">
        <v>17</v>
      </c>
      <c r="H950" s="2" t="s">
        <v>54</v>
      </c>
      <c r="I950" s="2" t="s">
        <v>121</v>
      </c>
      <c r="J950" s="2" t="s">
        <v>94</v>
      </c>
      <c r="K950" s="2">
        <v>4394.67</v>
      </c>
      <c r="L950" s="2" t="str">
        <f t="shared" si="84"/>
        <v>January</v>
      </c>
      <c r="M950" s="2" t="str">
        <f t="shared" si="85"/>
        <v>Cancelled</v>
      </c>
      <c r="N950" t="str">
        <f t="shared" si="86"/>
        <v>Cancelled</v>
      </c>
      <c r="O950" t="str">
        <f t="shared" si="87"/>
        <v>Order Cancelled</v>
      </c>
      <c r="P950" t="str">
        <f t="shared" si="88"/>
        <v>Cancelled</v>
      </c>
      <c r="Q950" t="str">
        <f t="shared" si="89"/>
        <v>Cancelled</v>
      </c>
      <c r="R950" t="str">
        <f>_xlfn.XLOOKUP(B950,CustomerMaster!$A$2:$A$287,CustomerMaster!$B$2:$B$287)</f>
        <v>Customer_78</v>
      </c>
      <c r="S950" t="str">
        <f>_xlfn.XLOOKUP(C950,ProductMaster!$A$2:$A$51,ProductMaster!$B$2:$B$51)</f>
        <v>Product_16</v>
      </c>
      <c r="T950" t="str">
        <f>_xlfn.XLOOKUP(G950,RegionMaster!$A$2:$A$5,RegionMaster!$B$2:$B$5)</f>
        <v>B</v>
      </c>
    </row>
    <row r="951" spans="1:20" ht="15.75" customHeight="1">
      <c r="A951" s="2" t="s">
        <v>1661</v>
      </c>
      <c r="B951" s="2" t="s">
        <v>670</v>
      </c>
      <c r="C951" s="2" t="s">
        <v>141</v>
      </c>
      <c r="D951" s="3">
        <v>45695</v>
      </c>
      <c r="E951" s="3">
        <v>45699</v>
      </c>
      <c r="F951" s="4"/>
      <c r="G951" s="2" t="s">
        <v>17</v>
      </c>
      <c r="H951" s="2" t="s">
        <v>59</v>
      </c>
      <c r="I951" s="2" t="s">
        <v>178</v>
      </c>
      <c r="J951" s="2" t="s">
        <v>133</v>
      </c>
      <c r="K951" s="2">
        <v>3067.58</v>
      </c>
      <c r="L951" s="2" t="str">
        <f t="shared" si="84"/>
        <v>February</v>
      </c>
      <c r="M951" s="2" t="str">
        <f t="shared" si="85"/>
        <v>February</v>
      </c>
      <c r="N951" t="str">
        <f t="shared" si="86"/>
        <v>Delivered</v>
      </c>
      <c r="O951">
        <f t="shared" si="87"/>
        <v>4</v>
      </c>
      <c r="P951" t="str">
        <f t="shared" si="88"/>
        <v>Completed</v>
      </c>
      <c r="Q951" t="str">
        <f t="shared" si="89"/>
        <v>Slow</v>
      </c>
      <c r="R951" t="str">
        <f>_xlfn.XLOOKUP(B951,CustomerMaster!$A$2:$A$287,CustomerMaster!$B$2:$B$287)</f>
        <v>Customer_217</v>
      </c>
      <c r="S951" t="str">
        <f>_xlfn.XLOOKUP(C951,ProductMaster!$A$2:$A$51,ProductMaster!$B$2:$B$51)</f>
        <v>Product_42</v>
      </c>
      <c r="T951" t="str">
        <f>_xlfn.XLOOKUP(G951,RegionMaster!$A$2:$A$5,RegionMaster!$B$2:$B$5)</f>
        <v>B</v>
      </c>
    </row>
    <row r="952" spans="1:20" ht="15.75" customHeight="1">
      <c r="A952" s="2" t="s">
        <v>1662</v>
      </c>
      <c r="B952" s="2" t="s">
        <v>241</v>
      </c>
      <c r="C952" s="2" t="s">
        <v>191</v>
      </c>
      <c r="D952" s="3">
        <v>45669</v>
      </c>
      <c r="E952" s="3">
        <v>45673</v>
      </c>
      <c r="F952" s="4"/>
      <c r="G952" s="2" t="s">
        <v>7</v>
      </c>
      <c r="H952" s="2" t="s">
        <v>16</v>
      </c>
      <c r="I952" s="2" t="s">
        <v>106</v>
      </c>
      <c r="J952" s="2" t="s">
        <v>107</v>
      </c>
      <c r="K952" s="2">
        <v>3082.48</v>
      </c>
      <c r="L952" s="2" t="str">
        <f t="shared" si="84"/>
        <v>January</v>
      </c>
      <c r="M952" s="2" t="str">
        <f t="shared" si="85"/>
        <v>January</v>
      </c>
      <c r="N952" t="str">
        <f t="shared" si="86"/>
        <v>Delivered</v>
      </c>
      <c r="O952">
        <f t="shared" si="87"/>
        <v>4</v>
      </c>
      <c r="P952" t="str">
        <f t="shared" si="88"/>
        <v>Completed</v>
      </c>
      <c r="Q952" t="str">
        <f t="shared" si="89"/>
        <v>Slow</v>
      </c>
      <c r="R952" t="str">
        <f>_xlfn.XLOOKUP(B952,CustomerMaster!$A$2:$A$287,CustomerMaster!$B$2:$B$287)</f>
        <v>Customer_38</v>
      </c>
      <c r="S952" t="str">
        <f>_xlfn.XLOOKUP(C952,ProductMaster!$A$2:$A$51,ProductMaster!$B$2:$B$51)</f>
        <v>Product_43</v>
      </c>
      <c r="T952" t="str">
        <f>_xlfn.XLOOKUP(G952,RegionMaster!$A$2:$A$5,RegionMaster!$B$2:$B$5)</f>
        <v>A</v>
      </c>
    </row>
    <row r="953" spans="1:20" ht="15.75" customHeight="1">
      <c r="A953" s="2" t="s">
        <v>1663</v>
      </c>
      <c r="B953" s="2" t="s">
        <v>337</v>
      </c>
      <c r="C953" s="2" t="s">
        <v>87</v>
      </c>
      <c r="D953" s="3">
        <v>45727</v>
      </c>
      <c r="E953" s="4"/>
      <c r="F953" s="3">
        <v>45729</v>
      </c>
      <c r="G953" s="2" t="s">
        <v>17</v>
      </c>
      <c r="H953" s="2" t="s">
        <v>54</v>
      </c>
      <c r="I953" s="2" t="s">
        <v>195</v>
      </c>
      <c r="J953" s="2" t="s">
        <v>133</v>
      </c>
      <c r="K953" s="2">
        <v>3392.18</v>
      </c>
      <c r="L953" s="2" t="str">
        <f t="shared" si="84"/>
        <v>March</v>
      </c>
      <c r="M953" s="2" t="str">
        <f t="shared" si="85"/>
        <v>Cancelled</v>
      </c>
      <c r="N953" t="str">
        <f t="shared" si="86"/>
        <v>Cancelled</v>
      </c>
      <c r="O953" t="str">
        <f t="shared" si="87"/>
        <v>Order Cancelled</v>
      </c>
      <c r="P953" t="str">
        <f t="shared" si="88"/>
        <v>Cancelled</v>
      </c>
      <c r="Q953" t="str">
        <f t="shared" si="89"/>
        <v>Cancelled</v>
      </c>
      <c r="R953" t="str">
        <f>_xlfn.XLOOKUP(B953,CustomerMaster!$A$2:$A$287,CustomerMaster!$B$2:$B$287)</f>
        <v>Customer_107</v>
      </c>
      <c r="S953" t="str">
        <f>_xlfn.XLOOKUP(C953,ProductMaster!$A$2:$A$51,ProductMaster!$B$2:$B$51)</f>
        <v>Product_15</v>
      </c>
      <c r="T953" t="str">
        <f>_xlfn.XLOOKUP(G953,RegionMaster!$A$2:$A$5,RegionMaster!$B$2:$B$5)</f>
        <v>B</v>
      </c>
    </row>
    <row r="954" spans="1:20" ht="15.75" customHeight="1">
      <c r="A954" s="2" t="s">
        <v>1664</v>
      </c>
      <c r="B954" s="2" t="s">
        <v>517</v>
      </c>
      <c r="C954" s="2" t="s">
        <v>29</v>
      </c>
      <c r="D954" s="3">
        <v>45714</v>
      </c>
      <c r="E954" s="3">
        <v>45720</v>
      </c>
      <c r="F954" s="4"/>
      <c r="G954" s="2" t="s">
        <v>7</v>
      </c>
      <c r="H954" s="2" t="s">
        <v>37</v>
      </c>
      <c r="I954" s="2" t="s">
        <v>90</v>
      </c>
      <c r="J954" s="2" t="s">
        <v>107</v>
      </c>
      <c r="K954" s="2">
        <v>1041.78</v>
      </c>
      <c r="L954" s="2" t="str">
        <f t="shared" si="84"/>
        <v>February</v>
      </c>
      <c r="M954" s="2" t="str">
        <f t="shared" si="85"/>
        <v>March</v>
      </c>
      <c r="N954" t="str">
        <f t="shared" si="86"/>
        <v>Delivered</v>
      </c>
      <c r="O954">
        <f t="shared" si="87"/>
        <v>6</v>
      </c>
      <c r="P954" t="str">
        <f t="shared" si="88"/>
        <v>Completed</v>
      </c>
      <c r="Q954" t="str">
        <f t="shared" si="89"/>
        <v>Slow</v>
      </c>
      <c r="R954" t="str">
        <f>_xlfn.XLOOKUP(B954,CustomerMaster!$A$2:$A$287,CustomerMaster!$B$2:$B$287)</f>
        <v>Customer_153</v>
      </c>
      <c r="S954" t="str">
        <f>_xlfn.XLOOKUP(C954,ProductMaster!$A$2:$A$51,ProductMaster!$B$2:$B$51)</f>
        <v>Product_2</v>
      </c>
      <c r="T954" t="str">
        <f>_xlfn.XLOOKUP(G954,RegionMaster!$A$2:$A$5,RegionMaster!$B$2:$B$5)</f>
        <v>A</v>
      </c>
    </row>
    <row r="955" spans="1:20" ht="15.75" customHeight="1">
      <c r="A955" s="2" t="s">
        <v>1665</v>
      </c>
      <c r="B955" s="2" t="s">
        <v>606</v>
      </c>
      <c r="C955" s="2" t="s">
        <v>122</v>
      </c>
      <c r="D955" s="3">
        <v>45680</v>
      </c>
      <c r="E955" s="4"/>
      <c r="F955" s="3">
        <v>45681</v>
      </c>
      <c r="G955" s="2" t="s">
        <v>17</v>
      </c>
      <c r="H955" s="2" t="s">
        <v>37</v>
      </c>
      <c r="I955" s="2" t="s">
        <v>90</v>
      </c>
      <c r="J955" s="2" t="s">
        <v>94</v>
      </c>
      <c r="K955" s="2">
        <v>4589.18</v>
      </c>
      <c r="L955" s="2" t="str">
        <f t="shared" si="84"/>
        <v>January</v>
      </c>
      <c r="M955" s="2" t="str">
        <f t="shared" si="85"/>
        <v>Cancelled</v>
      </c>
      <c r="N955" t="str">
        <f t="shared" si="86"/>
        <v>Cancelled</v>
      </c>
      <c r="O955" t="str">
        <f t="shared" si="87"/>
        <v>Order Cancelled</v>
      </c>
      <c r="P955" t="str">
        <f t="shared" si="88"/>
        <v>Cancelled</v>
      </c>
      <c r="Q955" t="str">
        <f t="shared" si="89"/>
        <v>Cancelled</v>
      </c>
      <c r="R955" t="str">
        <f>_xlfn.XLOOKUP(B955,CustomerMaster!$A$2:$A$287,CustomerMaster!$B$2:$B$287)</f>
        <v>Customer_189</v>
      </c>
      <c r="S955" t="str">
        <f>_xlfn.XLOOKUP(C955,ProductMaster!$A$2:$A$51,ProductMaster!$B$2:$B$51)</f>
        <v>Product_23</v>
      </c>
      <c r="T955" t="str">
        <f>_xlfn.XLOOKUP(G955,RegionMaster!$A$2:$A$5,RegionMaster!$B$2:$B$5)</f>
        <v>B</v>
      </c>
    </row>
    <row r="956" spans="1:20" ht="15.75" customHeight="1">
      <c r="A956" s="2" t="s">
        <v>1666</v>
      </c>
      <c r="B956" s="2" t="s">
        <v>758</v>
      </c>
      <c r="C956" s="2" t="s">
        <v>157</v>
      </c>
      <c r="D956" s="3">
        <v>45696</v>
      </c>
      <c r="E956" s="3">
        <v>45702</v>
      </c>
      <c r="F956" s="4"/>
      <c r="G956" s="2" t="s">
        <v>22</v>
      </c>
      <c r="H956" s="2" t="s">
        <v>54</v>
      </c>
      <c r="I956" s="2" t="s">
        <v>90</v>
      </c>
      <c r="J956" s="2" t="s">
        <v>94</v>
      </c>
      <c r="K956" s="2">
        <v>2210.1</v>
      </c>
      <c r="L956" s="2" t="str">
        <f t="shared" si="84"/>
        <v>February</v>
      </c>
      <c r="M956" s="2" t="str">
        <f t="shared" si="85"/>
        <v>February</v>
      </c>
      <c r="N956" t="str">
        <f t="shared" si="86"/>
        <v>Delivered</v>
      </c>
      <c r="O956">
        <f t="shared" si="87"/>
        <v>6</v>
      </c>
      <c r="P956" t="str">
        <f t="shared" si="88"/>
        <v>Completed</v>
      </c>
      <c r="Q956" t="str">
        <f t="shared" si="89"/>
        <v>Slow</v>
      </c>
      <c r="R956" t="str">
        <f>_xlfn.XLOOKUP(B956,CustomerMaster!$A$2:$A$287,CustomerMaster!$B$2:$B$287)</f>
        <v>Customer_259</v>
      </c>
      <c r="S956" t="str">
        <f>_xlfn.XLOOKUP(C956,ProductMaster!$A$2:$A$51,ProductMaster!$B$2:$B$51)</f>
        <v>Product_33</v>
      </c>
      <c r="T956" t="str">
        <f>_xlfn.XLOOKUP(G956,RegionMaster!$A$2:$A$5,RegionMaster!$B$2:$B$5)</f>
        <v>C</v>
      </c>
    </row>
    <row r="957" spans="1:20" ht="15.75" customHeight="1">
      <c r="A957" s="2" t="s">
        <v>1667</v>
      </c>
      <c r="B957" s="2" t="s">
        <v>51</v>
      </c>
      <c r="C957" s="2" t="s">
        <v>68</v>
      </c>
      <c r="D957" s="3">
        <v>45747</v>
      </c>
      <c r="E957" s="3">
        <v>45750</v>
      </c>
      <c r="F957" s="4"/>
      <c r="G957" s="2" t="s">
        <v>7</v>
      </c>
      <c r="H957" s="2" t="s">
        <v>54</v>
      </c>
      <c r="I957" s="2" t="s">
        <v>106</v>
      </c>
      <c r="J957" s="2" t="s">
        <v>133</v>
      </c>
      <c r="K957" s="2">
        <v>2039.06</v>
      </c>
      <c r="L957" s="2" t="str">
        <f t="shared" si="84"/>
        <v>March</v>
      </c>
      <c r="M957" s="2" t="str">
        <f t="shared" si="85"/>
        <v>April</v>
      </c>
      <c r="N957" t="str">
        <f t="shared" si="86"/>
        <v>Delivered</v>
      </c>
      <c r="O957">
        <f t="shared" si="87"/>
        <v>3</v>
      </c>
      <c r="P957" t="str">
        <f t="shared" si="88"/>
        <v>Completed</v>
      </c>
      <c r="Q957" t="str">
        <f t="shared" si="89"/>
        <v>Slow</v>
      </c>
      <c r="R957" t="str">
        <f>_xlfn.XLOOKUP(B957,CustomerMaster!$A$2:$A$287,CustomerMaster!$B$2:$B$287)</f>
        <v>Customer_5</v>
      </c>
      <c r="S957" t="str">
        <f>_xlfn.XLOOKUP(C957,ProductMaster!$A$2:$A$51,ProductMaster!$B$2:$B$51)</f>
        <v>Product_13</v>
      </c>
      <c r="T957" t="str">
        <f>_xlfn.XLOOKUP(G957,RegionMaster!$A$2:$A$5,RegionMaster!$B$2:$B$5)</f>
        <v>A</v>
      </c>
    </row>
    <row r="958" spans="1:20" ht="15.75" customHeight="1">
      <c r="A958" s="2" t="s">
        <v>1668</v>
      </c>
      <c r="B958" s="2" t="s">
        <v>667</v>
      </c>
      <c r="C958" s="2" t="s">
        <v>20</v>
      </c>
      <c r="D958" s="3">
        <v>45694</v>
      </c>
      <c r="E958" s="4"/>
      <c r="F958" s="3">
        <v>45695</v>
      </c>
      <c r="G958" s="2" t="s">
        <v>17</v>
      </c>
      <c r="H958" s="2" t="s">
        <v>54</v>
      </c>
      <c r="I958" s="2" t="s">
        <v>121</v>
      </c>
      <c r="J958" s="2" t="s">
        <v>94</v>
      </c>
      <c r="K958" s="2">
        <v>2690.8</v>
      </c>
      <c r="L958" s="2" t="str">
        <f t="shared" si="84"/>
        <v>February</v>
      </c>
      <c r="M958" s="2" t="str">
        <f t="shared" si="85"/>
        <v>Cancelled</v>
      </c>
      <c r="N958" t="str">
        <f t="shared" si="86"/>
        <v>Cancelled</v>
      </c>
      <c r="O958" t="str">
        <f t="shared" si="87"/>
        <v>Order Cancelled</v>
      </c>
      <c r="P958" t="str">
        <f t="shared" si="88"/>
        <v>Cancelled</v>
      </c>
      <c r="Q958" t="str">
        <f t="shared" si="89"/>
        <v>Cancelled</v>
      </c>
      <c r="R958" t="str">
        <f>_xlfn.XLOOKUP(B958,CustomerMaster!$A$2:$A$287,CustomerMaster!$B$2:$B$287)</f>
        <v>Customer_216</v>
      </c>
      <c r="S958" t="str">
        <f>_xlfn.XLOOKUP(C958,ProductMaster!$A$2:$A$51,ProductMaster!$B$2:$B$51)</f>
        <v>Product_1</v>
      </c>
      <c r="T958" t="str">
        <f>_xlfn.XLOOKUP(G958,RegionMaster!$A$2:$A$5,RegionMaster!$B$2:$B$5)</f>
        <v>B</v>
      </c>
    </row>
    <row r="959" spans="1:20" ht="15.75" customHeight="1">
      <c r="A959" s="2" t="s">
        <v>1669</v>
      </c>
      <c r="B959" s="2" t="s">
        <v>221</v>
      </c>
      <c r="C959" s="2" t="s">
        <v>141</v>
      </c>
      <c r="D959" s="3">
        <v>45712</v>
      </c>
      <c r="E959" s="3">
        <v>45713</v>
      </c>
      <c r="F959" s="4"/>
      <c r="G959" s="2" t="s">
        <v>22</v>
      </c>
      <c r="H959" s="2" t="s">
        <v>27</v>
      </c>
      <c r="I959" s="2" t="s">
        <v>195</v>
      </c>
      <c r="J959" s="2" t="s">
        <v>133</v>
      </c>
      <c r="K959" s="2">
        <v>425.44</v>
      </c>
      <c r="L959" s="2" t="str">
        <f t="shared" si="84"/>
        <v>February</v>
      </c>
      <c r="M959" s="2" t="str">
        <f t="shared" si="85"/>
        <v>February</v>
      </c>
      <c r="N959" t="str">
        <f t="shared" si="86"/>
        <v>Delivered</v>
      </c>
      <c r="O959">
        <f t="shared" si="87"/>
        <v>1</v>
      </c>
      <c r="P959" t="str">
        <f t="shared" si="88"/>
        <v>Completed</v>
      </c>
      <c r="Q959" t="str">
        <f t="shared" si="89"/>
        <v>Fast</v>
      </c>
      <c r="R959" t="str">
        <f>_xlfn.XLOOKUP(B959,CustomerMaster!$A$2:$A$287,CustomerMaster!$B$2:$B$287)</f>
        <v>Customer_68</v>
      </c>
      <c r="S959" t="str">
        <f>_xlfn.XLOOKUP(C959,ProductMaster!$A$2:$A$51,ProductMaster!$B$2:$B$51)</f>
        <v>Product_42</v>
      </c>
      <c r="T959" t="str">
        <f>_xlfn.XLOOKUP(G959,RegionMaster!$A$2:$A$5,RegionMaster!$B$2:$B$5)</f>
        <v>C</v>
      </c>
    </row>
    <row r="960" spans="1:20" ht="15.75" customHeight="1">
      <c r="A960" s="2" t="s">
        <v>1670</v>
      </c>
      <c r="B960" s="2" t="s">
        <v>581</v>
      </c>
      <c r="C960" s="2" t="s">
        <v>91</v>
      </c>
      <c r="D960" s="3">
        <v>45724</v>
      </c>
      <c r="E960" s="3">
        <v>45727</v>
      </c>
      <c r="F960" s="4"/>
      <c r="G960" s="2" t="s">
        <v>17</v>
      </c>
      <c r="H960" s="2" t="s">
        <v>54</v>
      </c>
      <c r="I960" s="2" t="s">
        <v>106</v>
      </c>
      <c r="J960" s="2" t="s">
        <v>107</v>
      </c>
      <c r="K960" s="2">
        <v>998.16</v>
      </c>
      <c r="L960" s="2" t="str">
        <f t="shared" si="84"/>
        <v>March</v>
      </c>
      <c r="M960" s="2" t="str">
        <f t="shared" si="85"/>
        <v>March</v>
      </c>
      <c r="N960" t="str">
        <f t="shared" si="86"/>
        <v>Delivered</v>
      </c>
      <c r="O960">
        <f t="shared" si="87"/>
        <v>3</v>
      </c>
      <c r="P960" t="str">
        <f t="shared" si="88"/>
        <v>Completed</v>
      </c>
      <c r="Q960" t="str">
        <f t="shared" si="89"/>
        <v>Slow</v>
      </c>
      <c r="R960" t="str">
        <f>_xlfn.XLOOKUP(B960,CustomerMaster!$A$2:$A$287,CustomerMaster!$B$2:$B$287)</f>
        <v>Customer_179</v>
      </c>
      <c r="S960" t="str">
        <f>_xlfn.XLOOKUP(C960,ProductMaster!$A$2:$A$51,ProductMaster!$B$2:$B$51)</f>
        <v>Product_16</v>
      </c>
      <c r="T960" t="str">
        <f>_xlfn.XLOOKUP(G960,RegionMaster!$A$2:$A$5,RegionMaster!$B$2:$B$5)</f>
        <v>B</v>
      </c>
    </row>
    <row r="961" spans="1:20" ht="15.75" customHeight="1">
      <c r="A961" s="2" t="s">
        <v>1671</v>
      </c>
      <c r="B961" s="2" t="s">
        <v>373</v>
      </c>
      <c r="C961" s="2" t="s">
        <v>83</v>
      </c>
      <c r="D961" s="3">
        <v>45701</v>
      </c>
      <c r="E961" s="3">
        <v>45704</v>
      </c>
      <c r="F961" s="4"/>
      <c r="G961" s="2" t="s">
        <v>22</v>
      </c>
      <c r="H961" s="2" t="s">
        <v>37</v>
      </c>
      <c r="I961" s="2" t="s">
        <v>195</v>
      </c>
      <c r="J961" s="2" t="s">
        <v>107</v>
      </c>
      <c r="K961" s="2">
        <v>3742.56</v>
      </c>
      <c r="L961" s="2" t="str">
        <f t="shared" si="84"/>
        <v>February</v>
      </c>
      <c r="M961" s="2" t="str">
        <f t="shared" si="85"/>
        <v>February</v>
      </c>
      <c r="N961" t="str">
        <f t="shared" si="86"/>
        <v>Delivered</v>
      </c>
      <c r="O961">
        <f t="shared" si="87"/>
        <v>3</v>
      </c>
      <c r="P961" t="str">
        <f t="shared" si="88"/>
        <v>Completed</v>
      </c>
      <c r="Q961" t="str">
        <f t="shared" si="89"/>
        <v>Slow</v>
      </c>
      <c r="R961" t="str">
        <f>_xlfn.XLOOKUP(B961,CustomerMaster!$A$2:$A$287,CustomerMaster!$B$2:$B$287)</f>
        <v>Customer_94</v>
      </c>
      <c r="S961" t="str">
        <f>_xlfn.XLOOKUP(C961,ProductMaster!$A$2:$A$51,ProductMaster!$B$2:$B$51)</f>
        <v>Product_14</v>
      </c>
      <c r="T961" t="str">
        <f>_xlfn.XLOOKUP(G961,RegionMaster!$A$2:$A$5,RegionMaster!$B$2:$B$5)</f>
        <v>C</v>
      </c>
    </row>
    <row r="962" spans="1:20" ht="15.75" customHeight="1">
      <c r="A962" s="2" t="s">
        <v>1672</v>
      </c>
      <c r="B962" s="2" t="s">
        <v>631</v>
      </c>
      <c r="C962" s="2" t="s">
        <v>199</v>
      </c>
      <c r="D962" s="3">
        <v>45733</v>
      </c>
      <c r="E962" s="3">
        <v>45735</v>
      </c>
      <c r="F962" s="4"/>
      <c r="G962" s="2" t="s">
        <v>17</v>
      </c>
      <c r="H962" s="2" t="s">
        <v>37</v>
      </c>
      <c r="I962" s="2" t="s">
        <v>195</v>
      </c>
      <c r="J962" s="2" t="s">
        <v>107</v>
      </c>
      <c r="K962" s="2">
        <v>597.42999999999995</v>
      </c>
      <c r="L962" s="2" t="str">
        <f t="shared" si="84"/>
        <v>March</v>
      </c>
      <c r="M962" s="2" t="str">
        <f t="shared" si="85"/>
        <v>March</v>
      </c>
      <c r="N962" t="str">
        <f t="shared" si="86"/>
        <v>Delivered</v>
      </c>
      <c r="O962">
        <f t="shared" si="87"/>
        <v>2</v>
      </c>
      <c r="P962" t="str">
        <f t="shared" si="88"/>
        <v>Completed</v>
      </c>
      <c r="Q962" t="str">
        <f t="shared" si="89"/>
        <v>Fast</v>
      </c>
      <c r="R962" t="str">
        <f>_xlfn.XLOOKUP(B962,CustomerMaster!$A$2:$A$287,CustomerMaster!$B$2:$B$287)</f>
        <v>Customer_201</v>
      </c>
      <c r="S962" t="str">
        <f>_xlfn.XLOOKUP(C962,ProductMaster!$A$2:$A$51,ProductMaster!$B$2:$B$51)</f>
        <v>Product_45</v>
      </c>
      <c r="T962" t="str">
        <f>_xlfn.XLOOKUP(G962,RegionMaster!$A$2:$A$5,RegionMaster!$B$2:$B$5)</f>
        <v>B</v>
      </c>
    </row>
    <row r="963" spans="1:20" ht="15.75" customHeight="1">
      <c r="A963" s="2" t="s">
        <v>1673</v>
      </c>
      <c r="B963" s="2" t="s">
        <v>758</v>
      </c>
      <c r="C963" s="2" t="s">
        <v>102</v>
      </c>
      <c r="D963" s="3">
        <v>45739</v>
      </c>
      <c r="E963" s="4"/>
      <c r="F963" s="3">
        <v>45739</v>
      </c>
      <c r="G963" s="2" t="s">
        <v>7</v>
      </c>
      <c r="H963" s="2" t="s">
        <v>54</v>
      </c>
      <c r="I963" s="2" t="s">
        <v>121</v>
      </c>
      <c r="J963" s="2" t="s">
        <v>94</v>
      </c>
      <c r="K963" s="2">
        <v>3095.13</v>
      </c>
      <c r="L963" s="2" t="str">
        <f t="shared" ref="L963:L1001" si="90">TEXT(D963,"MMMM")</f>
        <v>March</v>
      </c>
      <c r="M963" s="2" t="str">
        <f t="shared" ref="M963:M1001" si="91">IF(NOT(ISBLANK(E963)),TEXT(E963,"MMMM"),"Cancelled")</f>
        <v>Cancelled</v>
      </c>
      <c r="N963" t="str">
        <f t="shared" ref="N963:N1001" si="92">IF(F963="","Delivered","Cancelled")</f>
        <v>Cancelled</v>
      </c>
      <c r="O963" t="str">
        <f t="shared" ref="O963:O1001" si="93">IF(E963="","Order Cancelled",_xlfn.DAYS(E963,D963))</f>
        <v>Order Cancelled</v>
      </c>
      <c r="P963" t="str">
        <f t="shared" ref="P963:P1001" si="94">IF(F963="","Completed","Cancelled")</f>
        <v>Cancelled</v>
      </c>
      <c r="Q963" t="str">
        <f t="shared" ref="Q963:Q1001" si="95">IF(O963="Order Cancelled","Cancelled",IF(O963&lt;=2,"Fast","Slow"))</f>
        <v>Cancelled</v>
      </c>
      <c r="R963" t="str">
        <f>_xlfn.XLOOKUP(B963,CustomerMaster!$A$2:$A$287,CustomerMaster!$B$2:$B$287)</f>
        <v>Customer_259</v>
      </c>
      <c r="S963" t="str">
        <f>_xlfn.XLOOKUP(C963,ProductMaster!$A$2:$A$51,ProductMaster!$B$2:$B$51)</f>
        <v>Product_18</v>
      </c>
      <c r="T963" t="str">
        <f>_xlfn.XLOOKUP(G963,RegionMaster!$A$2:$A$5,RegionMaster!$B$2:$B$5)</f>
        <v>A</v>
      </c>
    </row>
    <row r="964" spans="1:20" ht="15.75" customHeight="1">
      <c r="A964" s="2" t="s">
        <v>1674</v>
      </c>
      <c r="B964" s="2" t="s">
        <v>363</v>
      </c>
      <c r="C964" s="2" t="s">
        <v>104</v>
      </c>
      <c r="D964" s="3">
        <v>45778</v>
      </c>
      <c r="E964" s="3">
        <v>45783</v>
      </c>
      <c r="F964" s="4"/>
      <c r="G964" s="2" t="s">
        <v>45</v>
      </c>
      <c r="H964" s="2" t="s">
        <v>27</v>
      </c>
      <c r="I964" s="2" t="s">
        <v>106</v>
      </c>
      <c r="J964" s="2" t="s">
        <v>107</v>
      </c>
      <c r="K964" s="2">
        <v>1377.68</v>
      </c>
      <c r="L964" s="2" t="str">
        <f t="shared" si="90"/>
        <v>May</v>
      </c>
      <c r="M964" s="2" t="str">
        <f t="shared" si="91"/>
        <v>May</v>
      </c>
      <c r="N964" t="str">
        <f t="shared" si="92"/>
        <v>Delivered</v>
      </c>
      <c r="O964">
        <f t="shared" si="93"/>
        <v>5</v>
      </c>
      <c r="P964" t="str">
        <f t="shared" si="94"/>
        <v>Completed</v>
      </c>
      <c r="Q964" t="str">
        <f t="shared" si="95"/>
        <v>Slow</v>
      </c>
      <c r="R964" t="str">
        <f>_xlfn.XLOOKUP(B964,CustomerMaster!$A$2:$A$287,CustomerMaster!$B$2:$B$287)</f>
        <v>Customer_89</v>
      </c>
      <c r="S964" t="str">
        <f>_xlfn.XLOOKUP(C964,ProductMaster!$A$2:$A$51,ProductMaster!$B$2:$B$51)</f>
        <v>Product_19</v>
      </c>
      <c r="T964" t="str">
        <f>_xlfn.XLOOKUP(G964,RegionMaster!$A$2:$A$5,RegionMaster!$B$2:$B$5)</f>
        <v>D</v>
      </c>
    </row>
    <row r="965" spans="1:20" ht="15.75" customHeight="1">
      <c r="A965" s="2" t="s">
        <v>1675</v>
      </c>
      <c r="B965" s="2" t="s">
        <v>355</v>
      </c>
      <c r="C965" s="2" t="s">
        <v>210</v>
      </c>
      <c r="D965" s="3">
        <v>45671</v>
      </c>
      <c r="E965" s="4"/>
      <c r="F965" s="3">
        <v>45673</v>
      </c>
      <c r="G965" s="2" t="s">
        <v>7</v>
      </c>
      <c r="H965" s="2" t="s">
        <v>54</v>
      </c>
      <c r="I965" s="2" t="s">
        <v>106</v>
      </c>
      <c r="J965" s="2" t="s">
        <v>133</v>
      </c>
      <c r="K965" s="2">
        <v>2068.62</v>
      </c>
      <c r="L965" s="2" t="str">
        <f t="shared" si="90"/>
        <v>January</v>
      </c>
      <c r="M965" s="2" t="str">
        <f t="shared" si="91"/>
        <v>Cancelled</v>
      </c>
      <c r="N965" t="str">
        <f t="shared" si="92"/>
        <v>Cancelled</v>
      </c>
      <c r="O965" t="str">
        <f t="shared" si="93"/>
        <v>Order Cancelled</v>
      </c>
      <c r="P965" t="str">
        <f t="shared" si="94"/>
        <v>Cancelled</v>
      </c>
      <c r="Q965" t="str">
        <f t="shared" si="95"/>
        <v>Cancelled</v>
      </c>
      <c r="R965" t="str">
        <f>_xlfn.XLOOKUP(B965,CustomerMaster!$A$2:$A$287,CustomerMaster!$B$2:$B$287)</f>
        <v>Customer_85</v>
      </c>
      <c r="S965" t="str">
        <f>_xlfn.XLOOKUP(C965,ProductMaster!$A$2:$A$51,ProductMaster!$B$2:$B$51)</f>
        <v>Product_48</v>
      </c>
      <c r="T965" t="str">
        <f>_xlfn.XLOOKUP(G965,RegionMaster!$A$2:$A$5,RegionMaster!$B$2:$B$5)</f>
        <v>A</v>
      </c>
    </row>
    <row r="966" spans="1:20" ht="15.75" customHeight="1">
      <c r="A966" s="2" t="s">
        <v>1676</v>
      </c>
      <c r="B966" s="2" t="s">
        <v>223</v>
      </c>
      <c r="C966" s="2" t="s">
        <v>87</v>
      </c>
      <c r="D966" s="3">
        <v>45710</v>
      </c>
      <c r="E966" s="4"/>
      <c r="F966" s="3">
        <v>45711</v>
      </c>
      <c r="G966" s="2" t="s">
        <v>45</v>
      </c>
      <c r="H966" s="2" t="s">
        <v>54</v>
      </c>
      <c r="I966" s="2" t="s">
        <v>106</v>
      </c>
      <c r="J966" s="2" t="s">
        <v>133</v>
      </c>
      <c r="K966" s="2">
        <v>1585.73</v>
      </c>
      <c r="L966" s="2" t="str">
        <f t="shared" si="90"/>
        <v>February</v>
      </c>
      <c r="M966" s="2" t="str">
        <f t="shared" si="91"/>
        <v>Cancelled</v>
      </c>
      <c r="N966" t="str">
        <f t="shared" si="92"/>
        <v>Cancelled</v>
      </c>
      <c r="O966" t="str">
        <f t="shared" si="93"/>
        <v>Order Cancelled</v>
      </c>
      <c r="P966" t="str">
        <f t="shared" si="94"/>
        <v>Cancelled</v>
      </c>
      <c r="Q966" t="str">
        <f t="shared" si="95"/>
        <v>Cancelled</v>
      </c>
      <c r="R966" t="str">
        <f>_xlfn.XLOOKUP(B966,CustomerMaster!$A$2:$A$287,CustomerMaster!$B$2:$B$287)</f>
        <v>Customer_44</v>
      </c>
      <c r="S966" t="str">
        <f>_xlfn.XLOOKUP(C966,ProductMaster!$A$2:$A$51,ProductMaster!$B$2:$B$51)</f>
        <v>Product_15</v>
      </c>
      <c r="T966" t="str">
        <f>_xlfn.XLOOKUP(G966,RegionMaster!$A$2:$A$5,RegionMaster!$B$2:$B$5)</f>
        <v>D</v>
      </c>
    </row>
    <row r="967" spans="1:20" ht="15.75" customHeight="1">
      <c r="A967" s="2" t="s">
        <v>1677</v>
      </c>
      <c r="B967" s="2" t="s">
        <v>419</v>
      </c>
      <c r="C967" s="2" t="s">
        <v>142</v>
      </c>
      <c r="D967" s="3">
        <v>45699</v>
      </c>
      <c r="E967" s="3">
        <v>45702</v>
      </c>
      <c r="F967" s="4"/>
      <c r="G967" s="2" t="s">
        <v>17</v>
      </c>
      <c r="H967" s="2" t="s">
        <v>16</v>
      </c>
      <c r="I967" s="2" t="s">
        <v>195</v>
      </c>
      <c r="J967" s="2" t="s">
        <v>94</v>
      </c>
      <c r="K967" s="2">
        <v>1907.23</v>
      </c>
      <c r="L967" s="2" t="str">
        <f t="shared" si="90"/>
        <v>February</v>
      </c>
      <c r="M967" s="2" t="str">
        <f t="shared" si="91"/>
        <v>February</v>
      </c>
      <c r="N967" t="str">
        <f t="shared" si="92"/>
        <v>Delivered</v>
      </c>
      <c r="O967">
        <f t="shared" si="93"/>
        <v>3</v>
      </c>
      <c r="P967" t="str">
        <f t="shared" si="94"/>
        <v>Completed</v>
      </c>
      <c r="Q967" t="str">
        <f t="shared" si="95"/>
        <v>Slow</v>
      </c>
      <c r="R967" t="str">
        <f>_xlfn.XLOOKUP(B967,CustomerMaster!$A$2:$A$287,CustomerMaster!$B$2:$B$287)</f>
        <v>Customer_113</v>
      </c>
      <c r="S967" t="str">
        <f>_xlfn.XLOOKUP(C967,ProductMaster!$A$2:$A$51,ProductMaster!$B$2:$B$51)</f>
        <v>Product_29</v>
      </c>
      <c r="T967" t="str">
        <f>_xlfn.XLOOKUP(G967,RegionMaster!$A$2:$A$5,RegionMaster!$B$2:$B$5)</f>
        <v>B</v>
      </c>
    </row>
    <row r="968" spans="1:20" ht="15.75" customHeight="1">
      <c r="A968" s="2" t="s">
        <v>1678</v>
      </c>
      <c r="B968" s="2" t="s">
        <v>512</v>
      </c>
      <c r="C968" s="2" t="s">
        <v>9</v>
      </c>
      <c r="D968" s="3">
        <v>45684</v>
      </c>
      <c r="E968" s="3">
        <v>45686</v>
      </c>
      <c r="F968" s="4"/>
      <c r="G968" s="2" t="s">
        <v>22</v>
      </c>
      <c r="H968" s="2" t="s">
        <v>16</v>
      </c>
      <c r="I968" s="2" t="s">
        <v>106</v>
      </c>
      <c r="J968" s="2" t="s">
        <v>133</v>
      </c>
      <c r="K968" s="2">
        <v>3651.42</v>
      </c>
      <c r="L968" s="2" t="str">
        <f t="shared" si="90"/>
        <v>January</v>
      </c>
      <c r="M968" s="2" t="str">
        <f t="shared" si="91"/>
        <v>January</v>
      </c>
      <c r="N968" t="str">
        <f t="shared" si="92"/>
        <v>Delivered</v>
      </c>
      <c r="O968">
        <f t="shared" si="93"/>
        <v>2</v>
      </c>
      <c r="P968" t="str">
        <f t="shared" si="94"/>
        <v>Completed</v>
      </c>
      <c r="Q968" t="str">
        <f t="shared" si="95"/>
        <v>Fast</v>
      </c>
      <c r="R968" t="str">
        <f>_xlfn.XLOOKUP(B968,CustomerMaster!$A$2:$A$287,CustomerMaster!$B$2:$B$287)</f>
        <v>Customer_151</v>
      </c>
      <c r="S968" t="str">
        <f>_xlfn.XLOOKUP(C968,ProductMaster!$A$2:$A$51,ProductMaster!$B$2:$B$51)</f>
        <v>Product_0</v>
      </c>
      <c r="T968" t="str">
        <f>_xlfn.XLOOKUP(G968,RegionMaster!$A$2:$A$5,RegionMaster!$B$2:$B$5)</f>
        <v>C</v>
      </c>
    </row>
    <row r="969" spans="1:20" ht="15.75" customHeight="1">
      <c r="A969" s="2" t="s">
        <v>1679</v>
      </c>
      <c r="B969" s="2" t="s">
        <v>750</v>
      </c>
      <c r="C969" s="2" t="s">
        <v>180</v>
      </c>
      <c r="D969" s="3">
        <v>45659</v>
      </c>
      <c r="E969" s="3">
        <v>45661</v>
      </c>
      <c r="F969" s="4"/>
      <c r="G969" s="2" t="s">
        <v>7</v>
      </c>
      <c r="H969" s="2" t="s">
        <v>27</v>
      </c>
      <c r="I969" s="2" t="s">
        <v>90</v>
      </c>
      <c r="J969" s="2" t="s">
        <v>133</v>
      </c>
      <c r="K969" s="2">
        <v>1626.18</v>
      </c>
      <c r="L969" s="2" t="str">
        <f t="shared" si="90"/>
        <v>January</v>
      </c>
      <c r="M969" s="2" t="str">
        <f t="shared" si="91"/>
        <v>January</v>
      </c>
      <c r="N969" t="str">
        <f t="shared" si="92"/>
        <v>Delivered</v>
      </c>
      <c r="O969">
        <f t="shared" si="93"/>
        <v>2</v>
      </c>
      <c r="P969" t="str">
        <f t="shared" si="94"/>
        <v>Completed</v>
      </c>
      <c r="Q969" t="str">
        <f t="shared" si="95"/>
        <v>Fast</v>
      </c>
      <c r="R969" t="str">
        <f>_xlfn.XLOOKUP(B969,CustomerMaster!$A$2:$A$287,CustomerMaster!$B$2:$B$287)</f>
        <v>Customer_254</v>
      </c>
      <c r="S969" t="str">
        <f>_xlfn.XLOOKUP(C969,ProductMaster!$A$2:$A$51,ProductMaster!$B$2:$B$51)</f>
        <v>Product_40</v>
      </c>
      <c r="T969" t="str">
        <f>_xlfn.XLOOKUP(G969,RegionMaster!$A$2:$A$5,RegionMaster!$B$2:$B$5)</f>
        <v>A</v>
      </c>
    </row>
    <row r="970" spans="1:20" ht="15.75" customHeight="1">
      <c r="A970" s="2" t="s">
        <v>1680</v>
      </c>
      <c r="B970" s="2" t="s">
        <v>267</v>
      </c>
      <c r="C970" s="2" t="s">
        <v>142</v>
      </c>
      <c r="D970" s="3">
        <v>45682</v>
      </c>
      <c r="E970" s="3">
        <v>45685</v>
      </c>
      <c r="F970" s="4"/>
      <c r="G970" s="2" t="s">
        <v>22</v>
      </c>
      <c r="H970" s="2" t="s">
        <v>54</v>
      </c>
      <c r="I970" s="2" t="s">
        <v>106</v>
      </c>
      <c r="J970" s="2" t="s">
        <v>133</v>
      </c>
      <c r="K970" s="2">
        <v>2918.74</v>
      </c>
      <c r="L970" s="2" t="str">
        <f t="shared" si="90"/>
        <v>January</v>
      </c>
      <c r="M970" s="2" t="str">
        <f t="shared" si="91"/>
        <v>January</v>
      </c>
      <c r="N970" t="str">
        <f t="shared" si="92"/>
        <v>Delivered</v>
      </c>
      <c r="O970">
        <f t="shared" si="93"/>
        <v>3</v>
      </c>
      <c r="P970" t="str">
        <f t="shared" si="94"/>
        <v>Completed</v>
      </c>
      <c r="Q970" t="str">
        <f t="shared" si="95"/>
        <v>Slow</v>
      </c>
      <c r="R970" t="str">
        <f>_xlfn.XLOOKUP(B970,CustomerMaster!$A$2:$A$287,CustomerMaster!$B$2:$B$287)</f>
        <v>Customer_205</v>
      </c>
      <c r="S970" t="str">
        <f>_xlfn.XLOOKUP(C970,ProductMaster!$A$2:$A$51,ProductMaster!$B$2:$B$51)</f>
        <v>Product_29</v>
      </c>
      <c r="T970" t="str">
        <f>_xlfn.XLOOKUP(G970,RegionMaster!$A$2:$A$5,RegionMaster!$B$2:$B$5)</f>
        <v>C</v>
      </c>
    </row>
    <row r="971" spans="1:20" ht="15.75" customHeight="1">
      <c r="A971" s="2" t="s">
        <v>1681</v>
      </c>
      <c r="B971" s="2" t="s">
        <v>31</v>
      </c>
      <c r="C971" s="2" t="s">
        <v>160</v>
      </c>
      <c r="D971" s="3">
        <v>45733</v>
      </c>
      <c r="E971" s="4"/>
      <c r="F971" s="3">
        <v>45733</v>
      </c>
      <c r="G971" s="2" t="s">
        <v>45</v>
      </c>
      <c r="H971" s="2" t="s">
        <v>54</v>
      </c>
      <c r="I971" s="2" t="s">
        <v>178</v>
      </c>
      <c r="J971" s="2" t="s">
        <v>107</v>
      </c>
      <c r="K971" s="2">
        <v>2485.04</v>
      </c>
      <c r="L971" s="2" t="str">
        <f t="shared" si="90"/>
        <v>March</v>
      </c>
      <c r="M971" s="2" t="str">
        <f t="shared" si="91"/>
        <v>Cancelled</v>
      </c>
      <c r="N971" t="str">
        <f t="shared" si="92"/>
        <v>Cancelled</v>
      </c>
      <c r="O971" t="str">
        <f t="shared" si="93"/>
        <v>Order Cancelled</v>
      </c>
      <c r="P971" t="str">
        <f t="shared" si="94"/>
        <v>Cancelled</v>
      </c>
      <c r="Q971" t="str">
        <f t="shared" si="95"/>
        <v>Cancelled</v>
      </c>
      <c r="R971" t="str">
        <f>_xlfn.XLOOKUP(B971,CustomerMaster!$A$2:$A$287,CustomerMaster!$B$2:$B$287)</f>
        <v>Customer_2</v>
      </c>
      <c r="S971" t="str">
        <f>_xlfn.XLOOKUP(C971,ProductMaster!$A$2:$A$51,ProductMaster!$B$2:$B$51)</f>
        <v>Product_34</v>
      </c>
      <c r="T971" t="str">
        <f>_xlfn.XLOOKUP(G971,RegionMaster!$A$2:$A$5,RegionMaster!$B$2:$B$5)</f>
        <v>D</v>
      </c>
    </row>
    <row r="972" spans="1:20" ht="15.75" customHeight="1">
      <c r="A972" s="2" t="s">
        <v>1682</v>
      </c>
      <c r="B972" s="2" t="s">
        <v>382</v>
      </c>
      <c r="C972" s="2" t="s">
        <v>32</v>
      </c>
      <c r="D972" s="3">
        <v>45671</v>
      </c>
      <c r="E972" s="4"/>
      <c r="F972" s="3">
        <v>45672</v>
      </c>
      <c r="G972" s="2" t="s">
        <v>22</v>
      </c>
      <c r="H972" s="2" t="s">
        <v>54</v>
      </c>
      <c r="I972" s="2" t="s">
        <v>121</v>
      </c>
      <c r="J972" s="2" t="s">
        <v>107</v>
      </c>
      <c r="K972" s="2">
        <v>3385.62</v>
      </c>
      <c r="L972" s="2" t="str">
        <f t="shared" si="90"/>
        <v>January</v>
      </c>
      <c r="M972" s="2" t="str">
        <f t="shared" si="91"/>
        <v>Cancelled</v>
      </c>
      <c r="N972" t="str">
        <f t="shared" si="92"/>
        <v>Cancelled</v>
      </c>
      <c r="O972" t="str">
        <f t="shared" si="93"/>
        <v>Order Cancelled</v>
      </c>
      <c r="P972" t="str">
        <f t="shared" si="94"/>
        <v>Cancelled</v>
      </c>
      <c r="Q972" t="str">
        <f t="shared" si="95"/>
        <v>Cancelled</v>
      </c>
      <c r="R972" t="str">
        <f>_xlfn.XLOOKUP(B972,CustomerMaster!$A$2:$A$287,CustomerMaster!$B$2:$B$287)</f>
        <v>Customer_98</v>
      </c>
      <c r="S972" t="str">
        <f>_xlfn.XLOOKUP(C972,ProductMaster!$A$2:$A$51,ProductMaster!$B$2:$B$51)</f>
        <v>Product_3</v>
      </c>
      <c r="T972" t="str">
        <f>_xlfn.XLOOKUP(G972,RegionMaster!$A$2:$A$5,RegionMaster!$B$2:$B$5)</f>
        <v>C</v>
      </c>
    </row>
    <row r="973" spans="1:20" ht="15.75" customHeight="1">
      <c r="A973" s="2" t="s">
        <v>1683</v>
      </c>
      <c r="B973" s="2" t="s">
        <v>643</v>
      </c>
      <c r="C973" s="2" t="s">
        <v>114</v>
      </c>
      <c r="D973" s="3">
        <v>45754</v>
      </c>
      <c r="E973" s="3">
        <v>45758</v>
      </c>
      <c r="F973" s="4"/>
      <c r="G973" s="2" t="s">
        <v>45</v>
      </c>
      <c r="H973" s="2" t="s">
        <v>54</v>
      </c>
      <c r="I973" s="2" t="s">
        <v>121</v>
      </c>
      <c r="J973" s="2" t="s">
        <v>94</v>
      </c>
      <c r="K973" s="2">
        <v>4696.78</v>
      </c>
      <c r="L973" s="2" t="str">
        <f t="shared" si="90"/>
        <v>April</v>
      </c>
      <c r="M973" s="2" t="str">
        <f t="shared" si="91"/>
        <v>April</v>
      </c>
      <c r="N973" t="str">
        <f t="shared" si="92"/>
        <v>Delivered</v>
      </c>
      <c r="O973">
        <f t="shared" si="93"/>
        <v>4</v>
      </c>
      <c r="P973" t="str">
        <f t="shared" si="94"/>
        <v>Completed</v>
      </c>
      <c r="Q973" t="str">
        <f t="shared" si="95"/>
        <v>Slow</v>
      </c>
      <c r="R973" t="str">
        <f>_xlfn.XLOOKUP(B973,CustomerMaster!$A$2:$A$287,CustomerMaster!$B$2:$B$287)</f>
        <v>Customer_206</v>
      </c>
      <c r="S973" t="str">
        <f>_xlfn.XLOOKUP(C973,ProductMaster!$A$2:$A$51,ProductMaster!$B$2:$B$51)</f>
        <v>Product_21</v>
      </c>
      <c r="T973" t="str">
        <f>_xlfn.XLOOKUP(G973,RegionMaster!$A$2:$A$5,RegionMaster!$B$2:$B$5)</f>
        <v>D</v>
      </c>
    </row>
    <row r="974" spans="1:20" ht="15.75" customHeight="1">
      <c r="A974" s="2" t="s">
        <v>1684</v>
      </c>
      <c r="B974" s="2" t="s">
        <v>801</v>
      </c>
      <c r="C974" s="2" t="s">
        <v>204</v>
      </c>
      <c r="D974" s="3">
        <v>45776</v>
      </c>
      <c r="E974" s="3">
        <v>45778</v>
      </c>
      <c r="F974" s="4"/>
      <c r="G974" s="2" t="s">
        <v>7</v>
      </c>
      <c r="H974" s="2" t="s">
        <v>54</v>
      </c>
      <c r="I974" s="2" t="s">
        <v>90</v>
      </c>
      <c r="J974" s="2" t="s">
        <v>107</v>
      </c>
      <c r="K974" s="2">
        <v>3716.35</v>
      </c>
      <c r="L974" s="2" t="str">
        <f t="shared" si="90"/>
        <v>April</v>
      </c>
      <c r="M974" s="2" t="str">
        <f t="shared" si="91"/>
        <v>May</v>
      </c>
      <c r="N974" t="str">
        <f t="shared" si="92"/>
        <v>Delivered</v>
      </c>
      <c r="O974">
        <f t="shared" si="93"/>
        <v>2</v>
      </c>
      <c r="P974" t="str">
        <f t="shared" si="94"/>
        <v>Completed</v>
      </c>
      <c r="Q974" t="str">
        <f t="shared" si="95"/>
        <v>Fast</v>
      </c>
      <c r="R974" t="str">
        <f>_xlfn.XLOOKUP(B974,CustomerMaster!$A$2:$A$287,CustomerMaster!$B$2:$B$287)</f>
        <v>Customer_285</v>
      </c>
      <c r="S974" t="str">
        <f>_xlfn.XLOOKUP(C974,ProductMaster!$A$2:$A$51,ProductMaster!$B$2:$B$51)</f>
        <v>Product_46</v>
      </c>
      <c r="T974" t="str">
        <f>_xlfn.XLOOKUP(G974,RegionMaster!$A$2:$A$5,RegionMaster!$B$2:$B$5)</f>
        <v>A</v>
      </c>
    </row>
    <row r="975" spans="1:20" ht="15.75" customHeight="1">
      <c r="A975" s="2" t="s">
        <v>1685</v>
      </c>
      <c r="B975" s="2" t="s">
        <v>65</v>
      </c>
      <c r="C975" s="2" t="s">
        <v>168</v>
      </c>
      <c r="D975" s="3">
        <v>45712</v>
      </c>
      <c r="E975" s="4"/>
      <c r="F975" s="3">
        <v>45714</v>
      </c>
      <c r="G975" s="2" t="s">
        <v>45</v>
      </c>
      <c r="H975" s="2" t="s">
        <v>59</v>
      </c>
      <c r="I975" s="2" t="s">
        <v>178</v>
      </c>
      <c r="J975" s="2" t="s">
        <v>133</v>
      </c>
      <c r="K975" s="2">
        <v>1231.71</v>
      </c>
      <c r="L975" s="2" t="str">
        <f t="shared" si="90"/>
        <v>February</v>
      </c>
      <c r="M975" s="2" t="str">
        <f t="shared" si="91"/>
        <v>Cancelled</v>
      </c>
      <c r="N975" t="str">
        <f t="shared" si="92"/>
        <v>Cancelled</v>
      </c>
      <c r="O975" t="str">
        <f t="shared" si="93"/>
        <v>Order Cancelled</v>
      </c>
      <c r="P975" t="str">
        <f t="shared" si="94"/>
        <v>Cancelled</v>
      </c>
      <c r="Q975" t="str">
        <f t="shared" si="95"/>
        <v>Cancelled</v>
      </c>
      <c r="R975" t="str">
        <f>_xlfn.XLOOKUP(B975,CustomerMaster!$A$2:$A$287,CustomerMaster!$B$2:$B$287)</f>
        <v>Customer_10</v>
      </c>
      <c r="S975" t="str">
        <f>_xlfn.XLOOKUP(C975,ProductMaster!$A$2:$A$51,ProductMaster!$B$2:$B$51)</f>
        <v>Product_37</v>
      </c>
      <c r="T975" t="str">
        <f>_xlfn.XLOOKUP(G975,RegionMaster!$A$2:$A$5,RegionMaster!$B$2:$B$5)</f>
        <v>D</v>
      </c>
    </row>
    <row r="976" spans="1:20" ht="15.75" customHeight="1">
      <c r="A976" s="2" t="s">
        <v>1686</v>
      </c>
      <c r="B976" s="2" t="s">
        <v>238</v>
      </c>
      <c r="C976" s="2" t="s">
        <v>95</v>
      </c>
      <c r="D976" s="3">
        <v>45768</v>
      </c>
      <c r="E976" s="3">
        <v>45771</v>
      </c>
      <c r="F976" s="4"/>
      <c r="G976" s="2" t="s">
        <v>17</v>
      </c>
      <c r="H976" s="2" t="s">
        <v>16</v>
      </c>
      <c r="I976" s="2" t="s">
        <v>90</v>
      </c>
      <c r="J976" s="2" t="s">
        <v>107</v>
      </c>
      <c r="K976" s="2">
        <v>349.68</v>
      </c>
      <c r="L976" s="2" t="str">
        <f t="shared" si="90"/>
        <v>April</v>
      </c>
      <c r="M976" s="2" t="str">
        <f t="shared" si="91"/>
        <v>April</v>
      </c>
      <c r="N976" t="str">
        <f t="shared" si="92"/>
        <v>Delivered</v>
      </c>
      <c r="O976">
        <f t="shared" si="93"/>
        <v>3</v>
      </c>
      <c r="P976" t="str">
        <f t="shared" si="94"/>
        <v>Completed</v>
      </c>
      <c r="Q976" t="str">
        <f t="shared" si="95"/>
        <v>Slow</v>
      </c>
      <c r="R976" t="str">
        <f>_xlfn.XLOOKUP(B976,CustomerMaster!$A$2:$A$287,CustomerMaster!$B$2:$B$287)</f>
        <v>Customer_37</v>
      </c>
      <c r="S976" t="str">
        <f>_xlfn.XLOOKUP(C976,ProductMaster!$A$2:$A$51,ProductMaster!$B$2:$B$51)</f>
        <v>Product_17</v>
      </c>
      <c r="T976" t="str">
        <f>_xlfn.XLOOKUP(G976,RegionMaster!$A$2:$A$5,RegionMaster!$B$2:$B$5)</f>
        <v>B</v>
      </c>
    </row>
    <row r="977" spans="1:20" ht="15.75" customHeight="1">
      <c r="A977" s="2" t="s">
        <v>1687</v>
      </c>
      <c r="B977" s="2" t="s">
        <v>547</v>
      </c>
      <c r="C977" s="2" t="s">
        <v>207</v>
      </c>
      <c r="D977" s="3">
        <v>45751</v>
      </c>
      <c r="E977" s="3">
        <v>45755</v>
      </c>
      <c r="F977" s="4"/>
      <c r="G977" s="2" t="s">
        <v>45</v>
      </c>
      <c r="H977" s="2" t="s">
        <v>59</v>
      </c>
      <c r="I977" s="2" t="s">
        <v>121</v>
      </c>
      <c r="J977" s="2" t="s">
        <v>107</v>
      </c>
      <c r="K977" s="2">
        <v>1458.87</v>
      </c>
      <c r="L977" s="2" t="str">
        <f t="shared" si="90"/>
        <v>April</v>
      </c>
      <c r="M977" s="2" t="str">
        <f t="shared" si="91"/>
        <v>April</v>
      </c>
      <c r="N977" t="str">
        <f t="shared" si="92"/>
        <v>Delivered</v>
      </c>
      <c r="O977">
        <f t="shared" si="93"/>
        <v>4</v>
      </c>
      <c r="P977" t="str">
        <f t="shared" si="94"/>
        <v>Completed</v>
      </c>
      <c r="Q977" t="str">
        <f t="shared" si="95"/>
        <v>Slow</v>
      </c>
      <c r="R977" t="str">
        <f>_xlfn.XLOOKUP(B977,CustomerMaster!$A$2:$A$287,CustomerMaster!$B$2:$B$287)</f>
        <v>Customer_164</v>
      </c>
      <c r="S977" t="str">
        <f>_xlfn.XLOOKUP(C977,ProductMaster!$A$2:$A$51,ProductMaster!$B$2:$B$51)</f>
        <v>Product_47</v>
      </c>
      <c r="T977" t="str">
        <f>_xlfn.XLOOKUP(G977,RegionMaster!$A$2:$A$5,RegionMaster!$B$2:$B$5)</f>
        <v>D</v>
      </c>
    </row>
    <row r="978" spans="1:20" ht="15.75" customHeight="1">
      <c r="A978" s="2" t="s">
        <v>1688</v>
      </c>
      <c r="B978" s="2" t="s">
        <v>386</v>
      </c>
      <c r="C978" s="2" t="s">
        <v>69</v>
      </c>
      <c r="D978" s="3">
        <v>45750</v>
      </c>
      <c r="E978" s="3">
        <v>45753</v>
      </c>
      <c r="F978" s="4"/>
      <c r="G978" s="2" t="s">
        <v>45</v>
      </c>
      <c r="H978" s="2" t="s">
        <v>27</v>
      </c>
      <c r="I978" s="2" t="s">
        <v>90</v>
      </c>
      <c r="J978" s="2" t="s">
        <v>133</v>
      </c>
      <c r="K978" s="2">
        <v>3056.37</v>
      </c>
      <c r="L978" s="2" t="str">
        <f t="shared" si="90"/>
        <v>April</v>
      </c>
      <c r="M978" s="2" t="str">
        <f t="shared" si="91"/>
        <v>April</v>
      </c>
      <c r="N978" t="str">
        <f t="shared" si="92"/>
        <v>Delivered</v>
      </c>
      <c r="O978">
        <f t="shared" si="93"/>
        <v>3</v>
      </c>
      <c r="P978" t="str">
        <f t="shared" si="94"/>
        <v>Completed</v>
      </c>
      <c r="Q978" t="str">
        <f t="shared" si="95"/>
        <v>Slow</v>
      </c>
      <c r="R978" t="str">
        <f>_xlfn.XLOOKUP(B978,CustomerMaster!$A$2:$A$287,CustomerMaster!$B$2:$B$287)</f>
        <v>Customer_99</v>
      </c>
      <c r="S978" t="str">
        <f>_xlfn.XLOOKUP(C978,ProductMaster!$A$2:$A$51,ProductMaster!$B$2:$B$51)</f>
        <v>Product_9</v>
      </c>
      <c r="T978" t="str">
        <f>_xlfn.XLOOKUP(G978,RegionMaster!$A$2:$A$5,RegionMaster!$B$2:$B$5)</f>
        <v>D</v>
      </c>
    </row>
    <row r="979" spans="1:20" ht="15.75" customHeight="1">
      <c r="A979" s="2" t="s">
        <v>1689</v>
      </c>
      <c r="B979" s="2" t="s">
        <v>187</v>
      </c>
      <c r="C979" s="2" t="s">
        <v>204</v>
      </c>
      <c r="D979" s="3">
        <v>45680</v>
      </c>
      <c r="E979" s="3">
        <v>45684</v>
      </c>
      <c r="F979" s="4"/>
      <c r="G979" s="2" t="s">
        <v>45</v>
      </c>
      <c r="H979" s="2" t="s">
        <v>54</v>
      </c>
      <c r="I979" s="2" t="s">
        <v>106</v>
      </c>
      <c r="J979" s="2" t="s">
        <v>107</v>
      </c>
      <c r="K979" s="2">
        <v>446.84</v>
      </c>
      <c r="L979" s="2" t="str">
        <f t="shared" si="90"/>
        <v>January</v>
      </c>
      <c r="M979" s="2" t="str">
        <f t="shared" si="91"/>
        <v>January</v>
      </c>
      <c r="N979" t="str">
        <f t="shared" si="92"/>
        <v>Delivered</v>
      </c>
      <c r="O979">
        <f t="shared" si="93"/>
        <v>4</v>
      </c>
      <c r="P979" t="str">
        <f t="shared" si="94"/>
        <v>Completed</v>
      </c>
      <c r="Q979" t="str">
        <f t="shared" si="95"/>
        <v>Slow</v>
      </c>
      <c r="R979" t="str">
        <f>_xlfn.XLOOKUP(B979,CustomerMaster!$A$2:$A$287,CustomerMaster!$B$2:$B$287)</f>
        <v>Customer_60</v>
      </c>
      <c r="S979" t="str">
        <f>_xlfn.XLOOKUP(C979,ProductMaster!$A$2:$A$51,ProductMaster!$B$2:$B$51)</f>
        <v>Product_46</v>
      </c>
      <c r="T979" t="str">
        <f>_xlfn.XLOOKUP(G979,RegionMaster!$A$2:$A$5,RegionMaster!$B$2:$B$5)</f>
        <v>D</v>
      </c>
    </row>
    <row r="980" spans="1:20" ht="15.75" customHeight="1">
      <c r="A980" s="2" t="s">
        <v>1690</v>
      </c>
      <c r="B980" s="2" t="s">
        <v>473</v>
      </c>
      <c r="C980" s="2" t="s">
        <v>39</v>
      </c>
      <c r="D980" s="3">
        <v>45673</v>
      </c>
      <c r="E980" s="4"/>
      <c r="F980" s="3">
        <v>45673</v>
      </c>
      <c r="G980" s="2" t="s">
        <v>17</v>
      </c>
      <c r="H980" s="2" t="s">
        <v>37</v>
      </c>
      <c r="I980" s="2" t="s">
        <v>90</v>
      </c>
      <c r="J980" s="2" t="s">
        <v>133</v>
      </c>
      <c r="K980" s="2">
        <v>2582.56</v>
      </c>
      <c r="L980" s="2" t="str">
        <f t="shared" si="90"/>
        <v>January</v>
      </c>
      <c r="M980" s="2" t="str">
        <f t="shared" si="91"/>
        <v>Cancelled</v>
      </c>
      <c r="N980" t="str">
        <f t="shared" si="92"/>
        <v>Cancelled</v>
      </c>
      <c r="O980" t="str">
        <f t="shared" si="93"/>
        <v>Order Cancelled</v>
      </c>
      <c r="P980" t="str">
        <f t="shared" si="94"/>
        <v>Cancelled</v>
      </c>
      <c r="Q980" t="str">
        <f t="shared" si="95"/>
        <v>Cancelled</v>
      </c>
      <c r="R980" t="str">
        <f>_xlfn.XLOOKUP(B980,CustomerMaster!$A$2:$A$287,CustomerMaster!$B$2:$B$287)</f>
        <v>Customer_135</v>
      </c>
      <c r="S980" t="str">
        <f>_xlfn.XLOOKUP(C980,ProductMaster!$A$2:$A$51,ProductMaster!$B$2:$B$51)</f>
        <v>Product_4</v>
      </c>
      <c r="T980" t="str">
        <f>_xlfn.XLOOKUP(G980,RegionMaster!$A$2:$A$5,RegionMaster!$B$2:$B$5)</f>
        <v>B</v>
      </c>
    </row>
    <row r="981" spans="1:20" ht="15.75" customHeight="1">
      <c r="A981" s="2" t="s">
        <v>1691</v>
      </c>
      <c r="B981" s="2" t="s">
        <v>155</v>
      </c>
      <c r="C981" s="2" t="s">
        <v>83</v>
      </c>
      <c r="D981" s="3">
        <v>45673</v>
      </c>
      <c r="E981" s="4"/>
      <c r="F981" s="3">
        <v>45674</v>
      </c>
      <c r="G981" s="2" t="s">
        <v>7</v>
      </c>
      <c r="H981" s="2" t="s">
        <v>54</v>
      </c>
      <c r="I981" s="2" t="s">
        <v>195</v>
      </c>
      <c r="J981" s="2" t="s">
        <v>107</v>
      </c>
      <c r="K981" s="2">
        <v>3064.85</v>
      </c>
      <c r="L981" s="2" t="str">
        <f t="shared" si="90"/>
        <v>January</v>
      </c>
      <c r="M981" s="2" t="str">
        <f t="shared" si="91"/>
        <v>Cancelled</v>
      </c>
      <c r="N981" t="str">
        <f t="shared" si="92"/>
        <v>Cancelled</v>
      </c>
      <c r="O981" t="str">
        <f t="shared" si="93"/>
        <v>Order Cancelled</v>
      </c>
      <c r="P981" t="str">
        <f t="shared" si="94"/>
        <v>Cancelled</v>
      </c>
      <c r="Q981" t="str">
        <f t="shared" si="95"/>
        <v>Cancelled</v>
      </c>
      <c r="R981" t="str">
        <f>_xlfn.XLOOKUP(B981,CustomerMaster!$A$2:$A$287,CustomerMaster!$B$2:$B$287)</f>
        <v>Customer_265</v>
      </c>
      <c r="S981" t="str">
        <f>_xlfn.XLOOKUP(C981,ProductMaster!$A$2:$A$51,ProductMaster!$B$2:$B$51)</f>
        <v>Product_14</v>
      </c>
      <c r="T981" t="str">
        <f>_xlfn.XLOOKUP(G981,RegionMaster!$A$2:$A$5,RegionMaster!$B$2:$B$5)</f>
        <v>A</v>
      </c>
    </row>
    <row r="982" spans="1:20" ht="15.75" customHeight="1">
      <c r="A982" s="2" t="s">
        <v>1692</v>
      </c>
      <c r="B982" s="2" t="s">
        <v>97</v>
      </c>
      <c r="C982" s="2" t="s">
        <v>199</v>
      </c>
      <c r="D982" s="3">
        <v>45729</v>
      </c>
      <c r="E982" s="3">
        <v>45732</v>
      </c>
      <c r="F982" s="4"/>
      <c r="G982" s="2" t="s">
        <v>7</v>
      </c>
      <c r="H982" s="2" t="s">
        <v>27</v>
      </c>
      <c r="I982" s="2" t="s">
        <v>106</v>
      </c>
      <c r="J982" s="2" t="s">
        <v>94</v>
      </c>
      <c r="K982" s="2">
        <v>1804.37</v>
      </c>
      <c r="L982" s="2" t="str">
        <f t="shared" si="90"/>
        <v>March</v>
      </c>
      <c r="M982" s="2" t="str">
        <f t="shared" si="91"/>
        <v>March</v>
      </c>
      <c r="N982" t="str">
        <f t="shared" si="92"/>
        <v>Delivered</v>
      </c>
      <c r="O982">
        <f t="shared" si="93"/>
        <v>3</v>
      </c>
      <c r="P982" t="str">
        <f t="shared" si="94"/>
        <v>Completed</v>
      </c>
      <c r="Q982" t="str">
        <f t="shared" si="95"/>
        <v>Slow</v>
      </c>
      <c r="R982" t="str">
        <f>_xlfn.XLOOKUP(B982,CustomerMaster!$A$2:$A$287,CustomerMaster!$B$2:$B$287)</f>
        <v>Customer_13</v>
      </c>
      <c r="S982" t="str">
        <f>_xlfn.XLOOKUP(C982,ProductMaster!$A$2:$A$51,ProductMaster!$B$2:$B$51)</f>
        <v>Product_45</v>
      </c>
      <c r="T982" t="str">
        <f>_xlfn.XLOOKUP(G982,RegionMaster!$A$2:$A$5,RegionMaster!$B$2:$B$5)</f>
        <v>A</v>
      </c>
    </row>
    <row r="983" spans="1:20" ht="15.75" customHeight="1">
      <c r="A983" s="2" t="s">
        <v>1693</v>
      </c>
      <c r="B983" s="2" t="s">
        <v>355</v>
      </c>
      <c r="C983" s="2" t="s">
        <v>141</v>
      </c>
      <c r="D983" s="3">
        <v>45662</v>
      </c>
      <c r="E983" s="3">
        <v>45665</v>
      </c>
      <c r="F983" s="4"/>
      <c r="G983" s="2" t="s">
        <v>7</v>
      </c>
      <c r="H983" s="2" t="s">
        <v>27</v>
      </c>
      <c r="I983" s="2" t="s">
        <v>90</v>
      </c>
      <c r="J983" s="2" t="s">
        <v>133</v>
      </c>
      <c r="K983" s="2">
        <v>3900.38</v>
      </c>
      <c r="L983" s="2" t="str">
        <f t="shared" si="90"/>
        <v>January</v>
      </c>
      <c r="M983" s="2" t="str">
        <f t="shared" si="91"/>
        <v>January</v>
      </c>
      <c r="N983" t="str">
        <f t="shared" si="92"/>
        <v>Delivered</v>
      </c>
      <c r="O983">
        <f t="shared" si="93"/>
        <v>3</v>
      </c>
      <c r="P983" t="str">
        <f t="shared" si="94"/>
        <v>Completed</v>
      </c>
      <c r="Q983" t="str">
        <f t="shared" si="95"/>
        <v>Slow</v>
      </c>
      <c r="R983" t="str">
        <f>_xlfn.XLOOKUP(B983,CustomerMaster!$A$2:$A$287,CustomerMaster!$B$2:$B$287)</f>
        <v>Customer_85</v>
      </c>
      <c r="S983" t="str">
        <f>_xlfn.XLOOKUP(C983,ProductMaster!$A$2:$A$51,ProductMaster!$B$2:$B$51)</f>
        <v>Product_42</v>
      </c>
      <c r="T983" t="str">
        <f>_xlfn.XLOOKUP(G983,RegionMaster!$A$2:$A$5,RegionMaster!$B$2:$B$5)</f>
        <v>A</v>
      </c>
    </row>
    <row r="984" spans="1:20" ht="15.75" customHeight="1">
      <c r="A984" s="2" t="s">
        <v>1694</v>
      </c>
      <c r="B984" s="2" t="s">
        <v>639</v>
      </c>
      <c r="C984" s="2" t="s">
        <v>63</v>
      </c>
      <c r="D984" s="3">
        <v>45701</v>
      </c>
      <c r="E984" s="3">
        <v>45706</v>
      </c>
      <c r="F984" s="4"/>
      <c r="G984" s="2" t="s">
        <v>22</v>
      </c>
      <c r="H984" s="2" t="s">
        <v>54</v>
      </c>
      <c r="I984" s="2" t="s">
        <v>195</v>
      </c>
      <c r="J984" s="2" t="s">
        <v>133</v>
      </c>
      <c r="K984" s="2">
        <v>711.67</v>
      </c>
      <c r="L984" s="2" t="str">
        <f t="shared" si="90"/>
        <v>February</v>
      </c>
      <c r="M984" s="2" t="str">
        <f t="shared" si="91"/>
        <v>February</v>
      </c>
      <c r="N984" t="str">
        <f t="shared" si="92"/>
        <v>Delivered</v>
      </c>
      <c r="O984">
        <f t="shared" si="93"/>
        <v>5</v>
      </c>
      <c r="P984" t="str">
        <f t="shared" si="94"/>
        <v>Completed</v>
      </c>
      <c r="Q984" t="str">
        <f t="shared" si="95"/>
        <v>Slow</v>
      </c>
      <c r="R984" t="str">
        <f>_xlfn.XLOOKUP(B984,CustomerMaster!$A$2:$A$287,CustomerMaster!$B$2:$B$287)</f>
        <v>Customer_204</v>
      </c>
      <c r="S984" t="str">
        <f>_xlfn.XLOOKUP(C984,ProductMaster!$A$2:$A$51,ProductMaster!$B$2:$B$51)</f>
        <v>Product_8</v>
      </c>
      <c r="T984" t="str">
        <f>_xlfn.XLOOKUP(G984,RegionMaster!$A$2:$A$5,RegionMaster!$B$2:$B$5)</f>
        <v>C</v>
      </c>
    </row>
    <row r="985" spans="1:20" ht="15.75" customHeight="1">
      <c r="A985" s="2" t="s">
        <v>1695</v>
      </c>
      <c r="B985" s="2" t="s">
        <v>704</v>
      </c>
      <c r="C985" s="2" t="s">
        <v>162</v>
      </c>
      <c r="D985" s="3">
        <v>45721</v>
      </c>
      <c r="E985" s="4"/>
      <c r="F985" s="3">
        <v>45723</v>
      </c>
      <c r="G985" s="2" t="s">
        <v>22</v>
      </c>
      <c r="H985" s="2" t="s">
        <v>37</v>
      </c>
      <c r="I985" s="2" t="s">
        <v>106</v>
      </c>
      <c r="J985" s="2" t="s">
        <v>107</v>
      </c>
      <c r="K985" s="2">
        <v>560.66</v>
      </c>
      <c r="L985" s="2" t="str">
        <f t="shared" si="90"/>
        <v>March</v>
      </c>
      <c r="M985" s="2" t="str">
        <f t="shared" si="91"/>
        <v>Cancelled</v>
      </c>
      <c r="N985" t="str">
        <f t="shared" si="92"/>
        <v>Cancelled</v>
      </c>
      <c r="O985" t="str">
        <f t="shared" si="93"/>
        <v>Order Cancelled</v>
      </c>
      <c r="P985" t="str">
        <f t="shared" si="94"/>
        <v>Cancelled</v>
      </c>
      <c r="Q985" t="str">
        <f t="shared" si="95"/>
        <v>Cancelled</v>
      </c>
      <c r="R985" t="str">
        <f>_xlfn.XLOOKUP(B985,CustomerMaster!$A$2:$A$287,CustomerMaster!$B$2:$B$287)</f>
        <v>Customer_242</v>
      </c>
      <c r="S985" t="str">
        <f>_xlfn.XLOOKUP(C985,ProductMaster!$A$2:$A$51,ProductMaster!$B$2:$B$51)</f>
        <v>Product_35</v>
      </c>
      <c r="T985" t="str">
        <f>_xlfn.XLOOKUP(G985,RegionMaster!$A$2:$A$5,RegionMaster!$B$2:$B$5)</f>
        <v>C</v>
      </c>
    </row>
    <row r="986" spans="1:20" ht="15.75" customHeight="1">
      <c r="A986" s="2" t="s">
        <v>1696</v>
      </c>
      <c r="B986" s="2" t="s">
        <v>664</v>
      </c>
      <c r="C986" s="2" t="s">
        <v>63</v>
      </c>
      <c r="D986" s="3">
        <v>45702</v>
      </c>
      <c r="E986" s="3">
        <v>45706</v>
      </c>
      <c r="F986" s="4"/>
      <c r="G986" s="2" t="s">
        <v>7</v>
      </c>
      <c r="H986" s="2" t="s">
        <v>16</v>
      </c>
      <c r="I986" s="2" t="s">
        <v>106</v>
      </c>
      <c r="J986" s="2" t="s">
        <v>133</v>
      </c>
      <c r="K986" s="2">
        <v>3695.31</v>
      </c>
      <c r="L986" s="2" t="str">
        <f t="shared" si="90"/>
        <v>February</v>
      </c>
      <c r="M986" s="2" t="str">
        <f t="shared" si="91"/>
        <v>February</v>
      </c>
      <c r="N986" t="str">
        <f t="shared" si="92"/>
        <v>Delivered</v>
      </c>
      <c r="O986">
        <f t="shared" si="93"/>
        <v>4</v>
      </c>
      <c r="P986" t="str">
        <f t="shared" si="94"/>
        <v>Completed</v>
      </c>
      <c r="Q986" t="str">
        <f t="shared" si="95"/>
        <v>Slow</v>
      </c>
      <c r="R986" t="str">
        <f>_xlfn.XLOOKUP(B986,CustomerMaster!$A$2:$A$287,CustomerMaster!$B$2:$B$287)</f>
        <v>Customer_280</v>
      </c>
      <c r="S986" t="str">
        <f>_xlfn.XLOOKUP(C986,ProductMaster!$A$2:$A$51,ProductMaster!$B$2:$B$51)</f>
        <v>Product_8</v>
      </c>
      <c r="T986" t="str">
        <f>_xlfn.XLOOKUP(G986,RegionMaster!$A$2:$A$5,RegionMaster!$B$2:$B$5)</f>
        <v>A</v>
      </c>
    </row>
    <row r="987" spans="1:20" ht="15.75" customHeight="1">
      <c r="A987" s="2" t="s">
        <v>1697</v>
      </c>
      <c r="B987" s="2" t="s">
        <v>363</v>
      </c>
      <c r="C987" s="2" t="s">
        <v>104</v>
      </c>
      <c r="D987" s="3">
        <v>45719</v>
      </c>
      <c r="E987" s="3">
        <v>45722</v>
      </c>
      <c r="F987" s="4"/>
      <c r="G987" s="2" t="s">
        <v>17</v>
      </c>
      <c r="H987" s="2" t="s">
        <v>37</v>
      </c>
      <c r="I987" s="2" t="s">
        <v>195</v>
      </c>
      <c r="J987" s="2" t="s">
        <v>133</v>
      </c>
      <c r="K987" s="2">
        <v>2578.36</v>
      </c>
      <c r="L987" s="2" t="str">
        <f t="shared" si="90"/>
        <v>March</v>
      </c>
      <c r="M987" s="2" t="str">
        <f t="shared" si="91"/>
        <v>March</v>
      </c>
      <c r="N987" t="str">
        <f t="shared" si="92"/>
        <v>Delivered</v>
      </c>
      <c r="O987">
        <f t="shared" si="93"/>
        <v>3</v>
      </c>
      <c r="P987" t="str">
        <f t="shared" si="94"/>
        <v>Completed</v>
      </c>
      <c r="Q987" t="str">
        <f t="shared" si="95"/>
        <v>Slow</v>
      </c>
      <c r="R987" t="str">
        <f>_xlfn.XLOOKUP(B987,CustomerMaster!$A$2:$A$287,CustomerMaster!$B$2:$B$287)</f>
        <v>Customer_89</v>
      </c>
      <c r="S987" t="str">
        <f>_xlfn.XLOOKUP(C987,ProductMaster!$A$2:$A$51,ProductMaster!$B$2:$B$51)</f>
        <v>Product_19</v>
      </c>
      <c r="T987" t="str">
        <f>_xlfn.XLOOKUP(G987,RegionMaster!$A$2:$A$5,RegionMaster!$B$2:$B$5)</f>
        <v>B</v>
      </c>
    </row>
    <row r="988" spans="1:20" ht="15.75" customHeight="1">
      <c r="A988" s="2" t="s">
        <v>1698</v>
      </c>
      <c r="B988" s="2" t="s">
        <v>149</v>
      </c>
      <c r="C988" s="2" t="s">
        <v>180</v>
      </c>
      <c r="D988" s="3">
        <v>45751</v>
      </c>
      <c r="E988" s="3">
        <v>45757</v>
      </c>
      <c r="F988" s="4"/>
      <c r="G988" s="2" t="s">
        <v>22</v>
      </c>
      <c r="H988" s="2" t="s">
        <v>37</v>
      </c>
      <c r="I988" s="2" t="s">
        <v>121</v>
      </c>
      <c r="J988" s="2" t="s">
        <v>133</v>
      </c>
      <c r="K988" s="2">
        <v>3504.33</v>
      </c>
      <c r="L988" s="2" t="str">
        <f t="shared" si="90"/>
        <v>April</v>
      </c>
      <c r="M988" s="2" t="str">
        <f t="shared" si="91"/>
        <v>April</v>
      </c>
      <c r="N988" t="str">
        <f t="shared" si="92"/>
        <v>Delivered</v>
      </c>
      <c r="O988">
        <f t="shared" si="93"/>
        <v>6</v>
      </c>
      <c r="P988" t="str">
        <f t="shared" si="94"/>
        <v>Completed</v>
      </c>
      <c r="Q988" t="str">
        <f t="shared" si="95"/>
        <v>Slow</v>
      </c>
      <c r="R988" t="str">
        <f>_xlfn.XLOOKUP(B988,CustomerMaster!$A$2:$A$287,CustomerMaster!$B$2:$B$287)</f>
        <v>Customer_19</v>
      </c>
      <c r="S988" t="str">
        <f>_xlfn.XLOOKUP(C988,ProductMaster!$A$2:$A$51,ProductMaster!$B$2:$B$51)</f>
        <v>Product_40</v>
      </c>
      <c r="T988" t="str">
        <f>_xlfn.XLOOKUP(G988,RegionMaster!$A$2:$A$5,RegionMaster!$B$2:$B$5)</f>
        <v>C</v>
      </c>
    </row>
    <row r="989" spans="1:20" ht="15.75" customHeight="1">
      <c r="A989" s="2" t="s">
        <v>1699</v>
      </c>
      <c r="B989" s="2" t="s">
        <v>686</v>
      </c>
      <c r="C989" s="2" t="s">
        <v>153</v>
      </c>
      <c r="D989" s="3">
        <v>45776</v>
      </c>
      <c r="E989" s="4"/>
      <c r="F989" s="3">
        <v>45776</v>
      </c>
      <c r="G989" s="2" t="s">
        <v>45</v>
      </c>
      <c r="H989" s="2" t="s">
        <v>27</v>
      </c>
      <c r="I989" s="2" t="s">
        <v>195</v>
      </c>
      <c r="J989" s="2" t="s">
        <v>94</v>
      </c>
      <c r="K989" s="2">
        <v>2287.17</v>
      </c>
      <c r="L989" s="2" t="str">
        <f t="shared" si="90"/>
        <v>April</v>
      </c>
      <c r="M989" s="2" t="str">
        <f t="shared" si="91"/>
        <v>Cancelled</v>
      </c>
      <c r="N989" t="str">
        <f t="shared" si="92"/>
        <v>Cancelled</v>
      </c>
      <c r="O989" t="str">
        <f t="shared" si="93"/>
        <v>Order Cancelled</v>
      </c>
      <c r="P989" t="str">
        <f t="shared" si="94"/>
        <v>Cancelled</v>
      </c>
      <c r="Q989" t="str">
        <f t="shared" si="95"/>
        <v>Cancelled</v>
      </c>
      <c r="R989" t="str">
        <f>_xlfn.XLOOKUP(B989,CustomerMaster!$A$2:$A$287,CustomerMaster!$B$2:$B$287)</f>
        <v>Customer_225</v>
      </c>
      <c r="S989" t="str">
        <f>_xlfn.XLOOKUP(C989,ProductMaster!$A$2:$A$51,ProductMaster!$B$2:$B$51)</f>
        <v>Product_32</v>
      </c>
      <c r="T989" t="str">
        <f>_xlfn.XLOOKUP(G989,RegionMaster!$A$2:$A$5,RegionMaster!$B$2:$B$5)</f>
        <v>D</v>
      </c>
    </row>
    <row r="990" spans="1:20" ht="15.75" customHeight="1">
      <c r="A990" s="2" t="s">
        <v>1700</v>
      </c>
      <c r="B990" s="2" t="s">
        <v>377</v>
      </c>
      <c r="C990" s="2" t="s">
        <v>83</v>
      </c>
      <c r="D990" s="3">
        <v>45776</v>
      </c>
      <c r="E990" s="3">
        <v>45777</v>
      </c>
      <c r="F990" s="4"/>
      <c r="G990" s="2" t="s">
        <v>7</v>
      </c>
      <c r="H990" s="2" t="s">
        <v>37</v>
      </c>
      <c r="I990" s="2" t="s">
        <v>178</v>
      </c>
      <c r="J990" s="2" t="s">
        <v>107</v>
      </c>
      <c r="K990" s="2">
        <v>1382.73</v>
      </c>
      <c r="L990" s="2" t="str">
        <f t="shared" si="90"/>
        <v>April</v>
      </c>
      <c r="M990" s="2" t="str">
        <f t="shared" si="91"/>
        <v>April</v>
      </c>
      <c r="N990" t="str">
        <f t="shared" si="92"/>
        <v>Delivered</v>
      </c>
      <c r="O990">
        <f t="shared" si="93"/>
        <v>1</v>
      </c>
      <c r="P990" t="str">
        <f t="shared" si="94"/>
        <v>Completed</v>
      </c>
      <c r="Q990" t="str">
        <f t="shared" si="95"/>
        <v>Fast</v>
      </c>
      <c r="R990" t="str">
        <f>_xlfn.XLOOKUP(B990,CustomerMaster!$A$2:$A$287,CustomerMaster!$B$2:$B$287)</f>
        <v>Customer_271</v>
      </c>
      <c r="S990" t="str">
        <f>_xlfn.XLOOKUP(C990,ProductMaster!$A$2:$A$51,ProductMaster!$B$2:$B$51)</f>
        <v>Product_14</v>
      </c>
      <c r="T990" t="str">
        <f>_xlfn.XLOOKUP(G990,RegionMaster!$A$2:$A$5,RegionMaster!$B$2:$B$5)</f>
        <v>A</v>
      </c>
    </row>
    <row r="991" spans="1:20" ht="15.75" customHeight="1">
      <c r="A991" s="2" t="s">
        <v>1701</v>
      </c>
      <c r="B991" s="2" t="s">
        <v>249</v>
      </c>
      <c r="C991" s="2" t="s">
        <v>122</v>
      </c>
      <c r="D991" s="3">
        <v>45753</v>
      </c>
      <c r="E991" s="4"/>
      <c r="F991" s="3">
        <v>45753</v>
      </c>
      <c r="G991" s="2" t="s">
        <v>45</v>
      </c>
      <c r="H991" s="2" t="s">
        <v>59</v>
      </c>
      <c r="I991" s="2" t="s">
        <v>178</v>
      </c>
      <c r="J991" s="2" t="s">
        <v>94</v>
      </c>
      <c r="K991" s="2">
        <v>4131.6899999999996</v>
      </c>
      <c r="L991" s="2" t="str">
        <f t="shared" si="90"/>
        <v>April</v>
      </c>
      <c r="M991" s="2" t="str">
        <f t="shared" si="91"/>
        <v>Cancelled</v>
      </c>
      <c r="N991" t="str">
        <f t="shared" si="92"/>
        <v>Cancelled</v>
      </c>
      <c r="O991" t="str">
        <f t="shared" si="93"/>
        <v>Order Cancelled</v>
      </c>
      <c r="P991" t="str">
        <f t="shared" si="94"/>
        <v>Cancelled</v>
      </c>
      <c r="Q991" t="str">
        <f t="shared" si="95"/>
        <v>Cancelled</v>
      </c>
      <c r="R991" t="str">
        <f>_xlfn.XLOOKUP(B991,CustomerMaster!$A$2:$A$287,CustomerMaster!$B$2:$B$287)</f>
        <v>Customer_41</v>
      </c>
      <c r="S991" t="str">
        <f>_xlfn.XLOOKUP(C991,ProductMaster!$A$2:$A$51,ProductMaster!$B$2:$B$51)</f>
        <v>Product_23</v>
      </c>
      <c r="T991" t="str">
        <f>_xlfn.XLOOKUP(G991,RegionMaster!$A$2:$A$5,RegionMaster!$B$2:$B$5)</f>
        <v>D</v>
      </c>
    </row>
    <row r="992" spans="1:20" ht="15.75" customHeight="1">
      <c r="A992" s="2" t="s">
        <v>1702</v>
      </c>
      <c r="B992" s="2" t="s">
        <v>459</v>
      </c>
      <c r="C992" s="2" t="s">
        <v>160</v>
      </c>
      <c r="D992" s="3">
        <v>45711</v>
      </c>
      <c r="E992" s="3">
        <v>45715</v>
      </c>
      <c r="F992" s="4"/>
      <c r="G992" s="2" t="s">
        <v>7</v>
      </c>
      <c r="H992" s="2" t="s">
        <v>37</v>
      </c>
      <c r="I992" s="2" t="s">
        <v>178</v>
      </c>
      <c r="J992" s="2" t="s">
        <v>133</v>
      </c>
      <c r="K992" s="2">
        <v>4037.2</v>
      </c>
      <c r="L992" s="2" t="str">
        <f t="shared" si="90"/>
        <v>February</v>
      </c>
      <c r="M992" s="2" t="str">
        <f t="shared" si="91"/>
        <v>February</v>
      </c>
      <c r="N992" t="str">
        <f t="shared" si="92"/>
        <v>Delivered</v>
      </c>
      <c r="O992">
        <f t="shared" si="93"/>
        <v>4</v>
      </c>
      <c r="P992" t="str">
        <f t="shared" si="94"/>
        <v>Completed</v>
      </c>
      <c r="Q992" t="str">
        <f t="shared" si="95"/>
        <v>Slow</v>
      </c>
      <c r="R992" t="str">
        <f>_xlfn.XLOOKUP(B992,CustomerMaster!$A$2:$A$287,CustomerMaster!$B$2:$B$287)</f>
        <v>Customer_129</v>
      </c>
      <c r="S992" t="str">
        <f>_xlfn.XLOOKUP(C992,ProductMaster!$A$2:$A$51,ProductMaster!$B$2:$B$51)</f>
        <v>Product_34</v>
      </c>
      <c r="T992" t="str">
        <f>_xlfn.XLOOKUP(G992,RegionMaster!$A$2:$A$5,RegionMaster!$B$2:$B$5)</f>
        <v>A</v>
      </c>
    </row>
    <row r="993" spans="1:20" ht="15.75" customHeight="1">
      <c r="A993" s="2" t="s">
        <v>1703</v>
      </c>
      <c r="B993" s="2" t="s">
        <v>593</v>
      </c>
      <c r="C993" s="2" t="s">
        <v>39</v>
      </c>
      <c r="D993" s="3">
        <v>45759</v>
      </c>
      <c r="E993" s="3">
        <v>45763</v>
      </c>
      <c r="F993" s="4"/>
      <c r="G993" s="2" t="s">
        <v>45</v>
      </c>
      <c r="H993" s="2" t="s">
        <v>37</v>
      </c>
      <c r="I993" s="2" t="s">
        <v>121</v>
      </c>
      <c r="J993" s="2" t="s">
        <v>107</v>
      </c>
      <c r="K993" s="2">
        <v>3534.54</v>
      </c>
      <c r="L993" s="2" t="str">
        <f t="shared" si="90"/>
        <v>April</v>
      </c>
      <c r="M993" s="2" t="str">
        <f t="shared" si="91"/>
        <v>April</v>
      </c>
      <c r="N993" t="str">
        <f t="shared" si="92"/>
        <v>Delivered</v>
      </c>
      <c r="O993">
        <f t="shared" si="93"/>
        <v>4</v>
      </c>
      <c r="P993" t="str">
        <f t="shared" si="94"/>
        <v>Completed</v>
      </c>
      <c r="Q993" t="str">
        <f t="shared" si="95"/>
        <v>Slow</v>
      </c>
      <c r="R993" t="str">
        <f>_xlfn.XLOOKUP(B993,CustomerMaster!$A$2:$A$287,CustomerMaster!$B$2:$B$287)</f>
        <v>Customer_184</v>
      </c>
      <c r="S993" t="str">
        <f>_xlfn.XLOOKUP(C993,ProductMaster!$A$2:$A$51,ProductMaster!$B$2:$B$51)</f>
        <v>Product_4</v>
      </c>
      <c r="T993" t="str">
        <f>_xlfn.XLOOKUP(G993,RegionMaster!$A$2:$A$5,RegionMaster!$B$2:$B$5)</f>
        <v>D</v>
      </c>
    </row>
    <row r="994" spans="1:20" ht="15.75" customHeight="1">
      <c r="A994" s="2" t="s">
        <v>1704</v>
      </c>
      <c r="B994" s="2" t="s">
        <v>302</v>
      </c>
      <c r="C994" s="2" t="s">
        <v>162</v>
      </c>
      <c r="D994" s="3">
        <v>45771</v>
      </c>
      <c r="E994" s="3">
        <v>45773</v>
      </c>
      <c r="F994" s="4"/>
      <c r="G994" s="2" t="s">
        <v>45</v>
      </c>
      <c r="H994" s="2" t="s">
        <v>54</v>
      </c>
      <c r="I994" s="2" t="s">
        <v>195</v>
      </c>
      <c r="J994" s="2" t="s">
        <v>133</v>
      </c>
      <c r="K994" s="2">
        <v>1506.3</v>
      </c>
      <c r="L994" s="2" t="str">
        <f t="shared" si="90"/>
        <v>April</v>
      </c>
      <c r="M994" s="2" t="str">
        <f t="shared" si="91"/>
        <v>April</v>
      </c>
      <c r="N994" t="str">
        <f t="shared" si="92"/>
        <v>Delivered</v>
      </c>
      <c r="O994">
        <f t="shared" si="93"/>
        <v>2</v>
      </c>
      <c r="P994" t="str">
        <f t="shared" si="94"/>
        <v>Completed</v>
      </c>
      <c r="Q994" t="str">
        <f t="shared" si="95"/>
        <v>Fast</v>
      </c>
      <c r="R994" t="str">
        <f>_xlfn.XLOOKUP(B994,CustomerMaster!$A$2:$A$287,CustomerMaster!$B$2:$B$287)</f>
        <v>Customer_267</v>
      </c>
      <c r="S994" t="str">
        <f>_xlfn.XLOOKUP(C994,ProductMaster!$A$2:$A$51,ProductMaster!$B$2:$B$51)</f>
        <v>Product_35</v>
      </c>
      <c r="T994" t="str">
        <f>_xlfn.XLOOKUP(G994,RegionMaster!$A$2:$A$5,RegionMaster!$B$2:$B$5)</f>
        <v>D</v>
      </c>
    </row>
    <row r="995" spans="1:20" ht="15.75" customHeight="1">
      <c r="A995" s="2" t="s">
        <v>1705</v>
      </c>
      <c r="B995" s="2" t="s">
        <v>417</v>
      </c>
      <c r="C995" s="2" t="s">
        <v>210</v>
      </c>
      <c r="D995" s="3">
        <v>45665</v>
      </c>
      <c r="E995" s="3">
        <v>45668</v>
      </c>
      <c r="F995" s="4"/>
      <c r="G995" s="2" t="s">
        <v>17</v>
      </c>
      <c r="H995" s="2" t="s">
        <v>37</v>
      </c>
      <c r="I995" s="2" t="s">
        <v>121</v>
      </c>
      <c r="J995" s="2" t="s">
        <v>94</v>
      </c>
      <c r="K995" s="2">
        <v>3033.11</v>
      </c>
      <c r="L995" s="2" t="str">
        <f t="shared" si="90"/>
        <v>January</v>
      </c>
      <c r="M995" s="2" t="str">
        <f t="shared" si="91"/>
        <v>January</v>
      </c>
      <c r="N995" t="str">
        <f t="shared" si="92"/>
        <v>Delivered</v>
      </c>
      <c r="O995">
        <f t="shared" si="93"/>
        <v>3</v>
      </c>
      <c r="P995" t="str">
        <f t="shared" si="94"/>
        <v>Completed</v>
      </c>
      <c r="Q995" t="str">
        <f t="shared" si="95"/>
        <v>Slow</v>
      </c>
      <c r="R995" t="str">
        <f>_xlfn.XLOOKUP(B995,CustomerMaster!$A$2:$A$287,CustomerMaster!$B$2:$B$287)</f>
        <v>Customer_112</v>
      </c>
      <c r="S995" t="str">
        <f>_xlfn.XLOOKUP(C995,ProductMaster!$A$2:$A$51,ProductMaster!$B$2:$B$51)</f>
        <v>Product_48</v>
      </c>
      <c r="T995" t="str">
        <f>_xlfn.XLOOKUP(G995,RegionMaster!$A$2:$A$5,RegionMaster!$B$2:$B$5)</f>
        <v>B</v>
      </c>
    </row>
    <row r="996" spans="1:20" ht="15.75" customHeight="1">
      <c r="A996" s="2" t="s">
        <v>1706</v>
      </c>
      <c r="B996" s="2" t="s">
        <v>728</v>
      </c>
      <c r="C996" s="2" t="s">
        <v>75</v>
      </c>
      <c r="D996" s="3">
        <v>45724</v>
      </c>
      <c r="E996" s="3">
        <v>45727</v>
      </c>
      <c r="F996" s="4"/>
      <c r="G996" s="2" t="s">
        <v>17</v>
      </c>
      <c r="H996" s="2" t="s">
        <v>59</v>
      </c>
      <c r="I996" s="2" t="s">
        <v>121</v>
      </c>
      <c r="J996" s="2" t="s">
        <v>107</v>
      </c>
      <c r="K996" s="2">
        <v>1932.67</v>
      </c>
      <c r="L996" s="2" t="str">
        <f t="shared" si="90"/>
        <v>March</v>
      </c>
      <c r="M996" s="2" t="str">
        <f t="shared" si="91"/>
        <v>March</v>
      </c>
      <c r="N996" t="str">
        <f t="shared" si="92"/>
        <v>Delivered</v>
      </c>
      <c r="O996">
        <f t="shared" si="93"/>
        <v>3</v>
      </c>
      <c r="P996" t="str">
        <f t="shared" si="94"/>
        <v>Completed</v>
      </c>
      <c r="Q996" t="str">
        <f t="shared" si="95"/>
        <v>Slow</v>
      </c>
      <c r="R996" t="str">
        <f>_xlfn.XLOOKUP(B996,CustomerMaster!$A$2:$A$287,CustomerMaster!$B$2:$B$287)</f>
        <v>Customer_244</v>
      </c>
      <c r="S996" t="str">
        <f>_xlfn.XLOOKUP(C996,ProductMaster!$A$2:$A$51,ProductMaster!$B$2:$B$51)</f>
        <v>Product_11</v>
      </c>
      <c r="T996" t="str">
        <f>_xlfn.XLOOKUP(G996,RegionMaster!$A$2:$A$5,RegionMaster!$B$2:$B$5)</f>
        <v>B</v>
      </c>
    </row>
    <row r="997" spans="1:20" ht="15.75" customHeight="1">
      <c r="A997" s="2" t="s">
        <v>1707</v>
      </c>
      <c r="B997" s="2" t="s">
        <v>223</v>
      </c>
      <c r="C997" s="2" t="s">
        <v>20</v>
      </c>
      <c r="D997" s="3">
        <v>45702</v>
      </c>
      <c r="E997" s="4"/>
      <c r="F997" s="3">
        <v>45704</v>
      </c>
      <c r="G997" s="2" t="s">
        <v>17</v>
      </c>
      <c r="H997" s="2" t="s">
        <v>59</v>
      </c>
      <c r="I997" s="2" t="s">
        <v>195</v>
      </c>
      <c r="J997" s="2" t="s">
        <v>133</v>
      </c>
      <c r="K997" s="2">
        <v>639.59</v>
      </c>
      <c r="L997" s="2" t="str">
        <f t="shared" si="90"/>
        <v>February</v>
      </c>
      <c r="M997" s="2" t="str">
        <f t="shared" si="91"/>
        <v>Cancelled</v>
      </c>
      <c r="N997" t="str">
        <f t="shared" si="92"/>
        <v>Cancelled</v>
      </c>
      <c r="O997" t="str">
        <f t="shared" si="93"/>
        <v>Order Cancelled</v>
      </c>
      <c r="P997" t="str">
        <f t="shared" si="94"/>
        <v>Cancelled</v>
      </c>
      <c r="Q997" t="str">
        <f t="shared" si="95"/>
        <v>Cancelled</v>
      </c>
      <c r="R997" t="str">
        <f>_xlfn.XLOOKUP(B997,CustomerMaster!$A$2:$A$287,CustomerMaster!$B$2:$B$287)</f>
        <v>Customer_44</v>
      </c>
      <c r="S997" t="str">
        <f>_xlfn.XLOOKUP(C997,ProductMaster!$A$2:$A$51,ProductMaster!$B$2:$B$51)</f>
        <v>Product_1</v>
      </c>
      <c r="T997" t="str">
        <f>_xlfn.XLOOKUP(G997,RegionMaster!$A$2:$A$5,RegionMaster!$B$2:$B$5)</f>
        <v>B</v>
      </c>
    </row>
    <row r="998" spans="1:20" ht="15.75" customHeight="1">
      <c r="A998" s="2" t="s">
        <v>1708</v>
      </c>
      <c r="B998" s="2" t="s">
        <v>421</v>
      </c>
      <c r="C998" s="2" t="s">
        <v>102</v>
      </c>
      <c r="D998" s="3">
        <v>45709</v>
      </c>
      <c r="E998" s="3">
        <v>45710</v>
      </c>
      <c r="F998" s="4"/>
      <c r="G998" s="2" t="s">
        <v>45</v>
      </c>
      <c r="H998" s="2" t="s">
        <v>59</v>
      </c>
      <c r="I998" s="2" t="s">
        <v>178</v>
      </c>
      <c r="J998" s="2" t="s">
        <v>133</v>
      </c>
      <c r="K998" s="2">
        <v>4603.1099999999997</v>
      </c>
      <c r="L998" s="2" t="str">
        <f t="shared" si="90"/>
        <v>February</v>
      </c>
      <c r="M998" s="2" t="str">
        <f t="shared" si="91"/>
        <v>February</v>
      </c>
      <c r="N998" t="str">
        <f t="shared" si="92"/>
        <v>Delivered</v>
      </c>
      <c r="O998">
        <f t="shared" si="93"/>
        <v>1</v>
      </c>
      <c r="P998" t="str">
        <f t="shared" si="94"/>
        <v>Completed</v>
      </c>
      <c r="Q998" t="str">
        <f t="shared" si="95"/>
        <v>Fast</v>
      </c>
      <c r="R998" t="str">
        <f>_xlfn.XLOOKUP(B998,CustomerMaster!$A$2:$A$287,CustomerMaster!$B$2:$B$287)</f>
        <v>Customer_114</v>
      </c>
      <c r="S998" t="str">
        <f>_xlfn.XLOOKUP(C998,ProductMaster!$A$2:$A$51,ProductMaster!$B$2:$B$51)</f>
        <v>Product_18</v>
      </c>
      <c r="T998" t="str">
        <f>_xlfn.XLOOKUP(G998,RegionMaster!$A$2:$A$5,RegionMaster!$B$2:$B$5)</f>
        <v>D</v>
      </c>
    </row>
    <row r="999" spans="1:20" ht="15.75" customHeight="1">
      <c r="A999" s="2" t="s">
        <v>1709</v>
      </c>
      <c r="B999" s="2" t="s">
        <v>716</v>
      </c>
      <c r="C999" s="2" t="s">
        <v>146</v>
      </c>
      <c r="D999" s="3">
        <v>45732</v>
      </c>
      <c r="E999" s="4"/>
      <c r="F999" s="3">
        <v>45734</v>
      </c>
      <c r="G999" s="2" t="s">
        <v>7</v>
      </c>
      <c r="H999" s="2" t="s">
        <v>27</v>
      </c>
      <c r="I999" s="2" t="s">
        <v>106</v>
      </c>
      <c r="J999" s="2" t="s">
        <v>133</v>
      </c>
      <c r="K999" s="2">
        <v>856.73</v>
      </c>
      <c r="L999" s="2" t="str">
        <f t="shared" si="90"/>
        <v>March</v>
      </c>
      <c r="M999" s="2" t="str">
        <f t="shared" si="91"/>
        <v>Cancelled</v>
      </c>
      <c r="N999" t="str">
        <f t="shared" si="92"/>
        <v>Cancelled</v>
      </c>
      <c r="O999" t="str">
        <f t="shared" si="93"/>
        <v>Order Cancelled</v>
      </c>
      <c r="P999" t="str">
        <f t="shared" si="94"/>
        <v>Cancelled</v>
      </c>
      <c r="Q999" t="str">
        <f t="shared" si="95"/>
        <v>Cancelled</v>
      </c>
      <c r="R999" t="str">
        <f>_xlfn.XLOOKUP(B999,CustomerMaster!$A$2:$A$287,CustomerMaster!$B$2:$B$287)</f>
        <v>Customer_238</v>
      </c>
      <c r="S999" t="str">
        <f>_xlfn.XLOOKUP(C999,ProductMaster!$A$2:$A$51,ProductMaster!$B$2:$B$51)</f>
        <v>Product_30</v>
      </c>
      <c r="T999" t="str">
        <f>_xlfn.XLOOKUP(G999,RegionMaster!$A$2:$A$5,RegionMaster!$B$2:$B$5)</f>
        <v>A</v>
      </c>
    </row>
    <row r="1000" spans="1:20" ht="15.75" customHeight="1">
      <c r="A1000" s="2" t="s">
        <v>1710</v>
      </c>
      <c r="B1000" s="2" t="s">
        <v>636</v>
      </c>
      <c r="C1000" s="2" t="s">
        <v>79</v>
      </c>
      <c r="D1000" s="3">
        <v>45770</v>
      </c>
      <c r="E1000" s="3">
        <v>45775</v>
      </c>
      <c r="G1000" s="2" t="s">
        <v>22</v>
      </c>
      <c r="H1000" s="2" t="s">
        <v>27</v>
      </c>
      <c r="I1000" s="2" t="s">
        <v>178</v>
      </c>
      <c r="J1000" s="2" t="s">
        <v>107</v>
      </c>
      <c r="K1000" s="2">
        <v>4761.1400000000003</v>
      </c>
      <c r="L1000" s="2" t="str">
        <f t="shared" si="90"/>
        <v>April</v>
      </c>
      <c r="M1000" s="2" t="str">
        <f t="shared" si="91"/>
        <v>April</v>
      </c>
      <c r="N1000" t="str">
        <f t="shared" si="92"/>
        <v>Delivered</v>
      </c>
      <c r="O1000">
        <f t="shared" si="93"/>
        <v>5</v>
      </c>
      <c r="P1000" t="str">
        <f t="shared" si="94"/>
        <v>Completed</v>
      </c>
      <c r="Q1000" t="str">
        <f t="shared" si="95"/>
        <v>Slow</v>
      </c>
      <c r="R1000" t="str">
        <f>_xlfn.XLOOKUP(B1000,CustomerMaster!$A$2:$A$287,CustomerMaster!$B$2:$B$287)</f>
        <v>Customer_223</v>
      </c>
      <c r="S1000" t="str">
        <f>_xlfn.XLOOKUP(C1000,ProductMaster!$A$2:$A$51,ProductMaster!$B$2:$B$51)</f>
        <v>Product_12</v>
      </c>
      <c r="T1000" t="str">
        <f>_xlfn.XLOOKUP(G1000,RegionMaster!$A$2:$A$5,RegionMaster!$B$2:$B$5)</f>
        <v>C</v>
      </c>
    </row>
    <row r="1001" spans="1:20" ht="15.75" customHeight="1">
      <c r="A1001" s="2" t="s">
        <v>1711</v>
      </c>
      <c r="B1001" s="2" t="s">
        <v>272</v>
      </c>
      <c r="C1001" s="2" t="s">
        <v>39</v>
      </c>
      <c r="D1001" s="3">
        <v>45773</v>
      </c>
      <c r="E1001" s="3">
        <v>45774</v>
      </c>
      <c r="G1001" s="2" t="s">
        <v>45</v>
      </c>
      <c r="H1001" s="2" t="s">
        <v>54</v>
      </c>
      <c r="I1001" s="2" t="s">
        <v>90</v>
      </c>
      <c r="J1001" s="2" t="s">
        <v>107</v>
      </c>
      <c r="K1001" s="2">
        <v>2340.83</v>
      </c>
      <c r="L1001" s="2" t="str">
        <f t="shared" si="90"/>
        <v>April</v>
      </c>
      <c r="M1001" s="2" t="str">
        <f t="shared" si="91"/>
        <v>April</v>
      </c>
      <c r="N1001" t="str">
        <f t="shared" si="92"/>
        <v>Delivered</v>
      </c>
      <c r="O1001">
        <f t="shared" si="93"/>
        <v>1</v>
      </c>
      <c r="P1001" t="str">
        <f t="shared" si="94"/>
        <v>Completed</v>
      </c>
      <c r="Q1001" t="str">
        <f t="shared" si="95"/>
        <v>Fast</v>
      </c>
      <c r="R1001" t="str">
        <f>_xlfn.XLOOKUP(B1001,CustomerMaster!$A$2:$A$287,CustomerMaster!$B$2:$B$287)</f>
        <v>Customer_50</v>
      </c>
      <c r="S1001" t="str">
        <f>_xlfn.XLOOKUP(C1001,ProductMaster!$A$2:$A$51,ProductMaster!$B$2:$B$51)</f>
        <v>Product_4</v>
      </c>
      <c r="T1001" t="str">
        <f>_xlfn.XLOOKUP(G1001,RegionMaster!$A$2:$A$5,RegionMaster!$B$2:$B$5)</f>
        <v>D</v>
      </c>
    </row>
  </sheetData>
  <autoFilter ref="A1:T1001" xr:uid="{00000000-0001-0000-0000-000000000000}"/>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7965-23AE-4D5D-8BB9-153615BE300F}">
  <dimension ref="B1:Q75"/>
  <sheetViews>
    <sheetView workbookViewId="0">
      <selection activeCell="F30" sqref="F30"/>
    </sheetView>
  </sheetViews>
  <sheetFormatPr defaultRowHeight="14.4"/>
  <cols>
    <col min="2" max="2" width="18.77734375" bestFit="1" customWidth="1"/>
    <col min="3" max="3" width="15.5546875" bestFit="1" customWidth="1"/>
    <col min="4" max="7" width="10" bestFit="1" customWidth="1"/>
    <col min="8" max="8" width="11" bestFit="1" customWidth="1"/>
    <col min="9" max="9" width="18.77734375" bestFit="1" customWidth="1"/>
    <col min="10" max="10" width="15.44140625" bestFit="1" customWidth="1"/>
    <col min="11" max="11" width="10.77734375" bestFit="1" customWidth="1"/>
    <col min="12" max="12" width="15" bestFit="1" customWidth="1"/>
    <col min="13" max="13" width="12.88671875" bestFit="1" customWidth="1"/>
    <col min="16" max="16" width="12.5546875" bestFit="1" customWidth="1"/>
    <col min="17" max="17" width="25.21875" bestFit="1" customWidth="1"/>
  </cols>
  <sheetData>
    <row r="1" spans="2:17">
      <c r="B1" s="10" t="s">
        <v>1726</v>
      </c>
    </row>
    <row r="3" spans="2:17">
      <c r="B3" s="7" t="s">
        <v>1713</v>
      </c>
      <c r="C3" t="s">
        <v>1725</v>
      </c>
    </row>
    <row r="4" spans="2:17">
      <c r="P4" s="7" t="s">
        <v>1713</v>
      </c>
      <c r="Q4" t="s">
        <v>1725</v>
      </c>
    </row>
    <row r="5" spans="2:17">
      <c r="B5" s="7" t="s">
        <v>1718</v>
      </c>
      <c r="C5" s="7" t="s">
        <v>1721</v>
      </c>
    </row>
    <row r="6" spans="2:17">
      <c r="B6" s="7" t="s">
        <v>1719</v>
      </c>
      <c r="C6" t="s">
        <v>54</v>
      </c>
      <c r="D6" t="s">
        <v>37</v>
      </c>
      <c r="E6" t="s">
        <v>27</v>
      </c>
      <c r="F6" t="s">
        <v>59</v>
      </c>
      <c r="G6" t="s">
        <v>16</v>
      </c>
      <c r="H6" t="s">
        <v>1720</v>
      </c>
      <c r="M6" s="11" t="s">
        <v>1730</v>
      </c>
      <c r="P6" t="s">
        <v>1718</v>
      </c>
    </row>
    <row r="7" spans="2:17">
      <c r="B7" s="8" t="s">
        <v>22</v>
      </c>
      <c r="C7" s="6">
        <v>64394.790000000015</v>
      </c>
      <c r="D7" s="6">
        <v>98799.05</v>
      </c>
      <c r="E7" s="6">
        <v>89735.060000000012</v>
      </c>
      <c r="F7" s="6">
        <v>81471.279999999984</v>
      </c>
      <c r="G7" s="6">
        <v>102436.89000000001</v>
      </c>
      <c r="H7" s="6">
        <v>436837.07</v>
      </c>
      <c r="L7" t="s">
        <v>1731</v>
      </c>
      <c r="M7" s="14">
        <f>GETPIVOTDATA("SalesAmount",$P$6)</f>
        <v>1747718.2499999986</v>
      </c>
      <c r="P7" s="6">
        <v>1747718.2499999986</v>
      </c>
    </row>
    <row r="8" spans="2:17">
      <c r="B8" s="8" t="s">
        <v>7</v>
      </c>
      <c r="C8" s="9">
        <v>75766.3</v>
      </c>
      <c r="D8" s="6">
        <v>91599.630000000019</v>
      </c>
      <c r="E8" s="6">
        <v>96200.3</v>
      </c>
      <c r="F8" s="6">
        <v>74627.56</v>
      </c>
      <c r="G8" s="6">
        <v>112197.3</v>
      </c>
      <c r="H8" s="6">
        <v>450391.09</v>
      </c>
      <c r="L8" t="s">
        <v>1732</v>
      </c>
      <c r="M8">
        <f>GETPIVOTDATA("OrderID",$P$9)</f>
        <v>1000</v>
      </c>
    </row>
    <row r="9" spans="2:17">
      <c r="B9" s="8" t="s">
        <v>17</v>
      </c>
      <c r="C9" s="6">
        <v>62105.819999999985</v>
      </c>
      <c r="D9" s="6">
        <v>101312.43999999999</v>
      </c>
      <c r="E9" s="6">
        <v>97828.87</v>
      </c>
      <c r="F9" s="6">
        <v>93661.090000000011</v>
      </c>
      <c r="G9" s="6">
        <v>112017.03999999998</v>
      </c>
      <c r="H9" s="6">
        <v>466925.25999999995</v>
      </c>
      <c r="L9" t="s">
        <v>1733</v>
      </c>
      <c r="M9">
        <f>GETPIVOTDATA("CustomerID",$P$12)</f>
        <v>1000</v>
      </c>
      <c r="P9" t="s">
        <v>1723</v>
      </c>
    </row>
    <row r="10" spans="2:17">
      <c r="B10" s="8" t="s">
        <v>45</v>
      </c>
      <c r="C10" s="6">
        <v>72325.819999999992</v>
      </c>
      <c r="D10" s="6">
        <v>81786.520000000019</v>
      </c>
      <c r="E10" s="6">
        <v>84219.780000000013</v>
      </c>
      <c r="F10" s="6">
        <v>81966.890000000014</v>
      </c>
      <c r="G10" s="6">
        <v>73265.819999999992</v>
      </c>
      <c r="H10" s="6">
        <v>393564.83000000007</v>
      </c>
      <c r="L10" t="s">
        <v>1736</v>
      </c>
      <c r="M10" s="12">
        <f>GETPIVOTDATA("Delivery Category",$P$18,"Delivery Category","Cancelled")</f>
        <v>0.32</v>
      </c>
      <c r="P10" s="6">
        <v>1000</v>
      </c>
    </row>
    <row r="11" spans="2:17">
      <c r="B11" s="8" t="s">
        <v>1720</v>
      </c>
      <c r="C11" s="6">
        <v>274592.73</v>
      </c>
      <c r="D11" s="6">
        <v>373497.64</v>
      </c>
      <c r="E11" s="6">
        <v>367984.01</v>
      </c>
      <c r="F11" s="6">
        <v>331726.82</v>
      </c>
      <c r="G11" s="6">
        <v>399917.05</v>
      </c>
      <c r="H11" s="6">
        <v>1747718.25</v>
      </c>
      <c r="L11" t="s">
        <v>1737</v>
      </c>
      <c r="M11" s="12">
        <f>GETPIVOTDATA("Order performance",$P$25,"Order performance","Fast")</f>
        <v>0.2897058823529412</v>
      </c>
    </row>
    <row r="12" spans="2:17">
      <c r="P12" t="s">
        <v>1734</v>
      </c>
    </row>
    <row r="13" spans="2:17">
      <c r="H13" s="10" t="s">
        <v>1729</v>
      </c>
      <c r="P13" s="6">
        <v>1000</v>
      </c>
    </row>
    <row r="15" spans="2:17">
      <c r="H15" s="7" t="s">
        <v>1713</v>
      </c>
      <c r="I15" t="s">
        <v>1725</v>
      </c>
    </row>
    <row r="16" spans="2:17">
      <c r="B16" s="10" t="s">
        <v>1727</v>
      </c>
    </row>
    <row r="17" spans="2:17">
      <c r="H17" s="7" t="s">
        <v>1719</v>
      </c>
      <c r="I17" t="s">
        <v>1718</v>
      </c>
    </row>
    <row r="18" spans="2:17">
      <c r="B18" s="7" t="s">
        <v>1719</v>
      </c>
      <c r="C18" t="s">
        <v>1723</v>
      </c>
      <c r="H18" s="8" t="s">
        <v>178</v>
      </c>
      <c r="I18" s="6">
        <v>379377.58000000013</v>
      </c>
      <c r="P18" s="7" t="s">
        <v>1719</v>
      </c>
      <c r="Q18" t="s">
        <v>1735</v>
      </c>
    </row>
    <row r="19" spans="2:17">
      <c r="B19" s="8" t="s">
        <v>94</v>
      </c>
      <c r="C19" s="6">
        <v>680</v>
      </c>
      <c r="H19" s="8" t="s">
        <v>121</v>
      </c>
      <c r="I19" s="6">
        <v>365034.33999999991</v>
      </c>
      <c r="P19" s="8" t="s">
        <v>133</v>
      </c>
      <c r="Q19" s="12">
        <v>0.32</v>
      </c>
    </row>
    <row r="20" spans="2:17">
      <c r="B20" s="8" t="s">
        <v>133</v>
      </c>
      <c r="C20" s="6">
        <v>320</v>
      </c>
      <c r="H20" s="8" t="s">
        <v>106</v>
      </c>
      <c r="I20" s="6">
        <v>342915.39</v>
      </c>
      <c r="P20" s="8" t="s">
        <v>94</v>
      </c>
      <c r="Q20" s="12">
        <v>0.68</v>
      </c>
    </row>
    <row r="21" spans="2:17">
      <c r="B21" s="8" t="s">
        <v>1720</v>
      </c>
      <c r="C21" s="6">
        <v>1000</v>
      </c>
      <c r="H21" s="8" t="s">
        <v>90</v>
      </c>
      <c r="I21" s="6">
        <v>332299.05999999994</v>
      </c>
      <c r="P21" s="8" t="s">
        <v>1720</v>
      </c>
      <c r="Q21" s="12">
        <v>1</v>
      </c>
    </row>
    <row r="22" spans="2:17">
      <c r="H22" s="8" t="s">
        <v>195</v>
      </c>
      <c r="I22" s="6">
        <v>328091.87999999977</v>
      </c>
    </row>
    <row r="23" spans="2:17">
      <c r="H23" s="8" t="s">
        <v>1720</v>
      </c>
      <c r="I23" s="6">
        <v>1747718.25</v>
      </c>
      <c r="P23" s="7" t="s">
        <v>1713</v>
      </c>
      <c r="Q23" t="s">
        <v>1725</v>
      </c>
    </row>
    <row r="25" spans="2:17">
      <c r="P25" s="7" t="s">
        <v>1719</v>
      </c>
      <c r="Q25" t="s">
        <v>1740</v>
      </c>
    </row>
    <row r="26" spans="2:17">
      <c r="H26" s="7" t="s">
        <v>1713</v>
      </c>
      <c r="I26" t="s">
        <v>133</v>
      </c>
      <c r="P26" s="8" t="s">
        <v>1738</v>
      </c>
      <c r="Q26" s="12">
        <v>0.2897058823529412</v>
      </c>
    </row>
    <row r="27" spans="2:17">
      <c r="P27" s="8" t="s">
        <v>1739</v>
      </c>
      <c r="Q27" s="12">
        <v>0.71029411764705885</v>
      </c>
    </row>
    <row r="28" spans="2:17">
      <c r="B28" s="10" t="s">
        <v>1728</v>
      </c>
      <c r="H28" s="7" t="s">
        <v>1719</v>
      </c>
      <c r="I28" t="s">
        <v>1741</v>
      </c>
      <c r="P28" s="8" t="s">
        <v>1720</v>
      </c>
      <c r="Q28" s="12">
        <v>1</v>
      </c>
    </row>
    <row r="29" spans="2:17">
      <c r="H29" s="8" t="s">
        <v>195</v>
      </c>
      <c r="I29" s="12">
        <v>0.234375</v>
      </c>
    </row>
    <row r="30" spans="2:17">
      <c r="B30" s="7" t="s">
        <v>1719</v>
      </c>
      <c r="C30" t="s">
        <v>1724</v>
      </c>
      <c r="H30" s="8" t="s">
        <v>106</v>
      </c>
      <c r="I30" s="12">
        <v>0.20937500000000001</v>
      </c>
    </row>
    <row r="31" spans="2:17">
      <c r="B31" s="8" t="s">
        <v>22</v>
      </c>
      <c r="C31" s="9">
        <v>3.65</v>
      </c>
      <c r="H31" s="8" t="s">
        <v>90</v>
      </c>
      <c r="I31" s="12">
        <v>0.20624999999999999</v>
      </c>
    </row>
    <row r="32" spans="2:17">
      <c r="B32" s="8" t="s">
        <v>7</v>
      </c>
      <c r="C32" s="9">
        <v>3.6298342541436464</v>
      </c>
      <c r="H32" s="8" t="s">
        <v>178</v>
      </c>
      <c r="I32" s="12">
        <v>0.1875</v>
      </c>
    </row>
    <row r="33" spans="2:9">
      <c r="B33" s="8" t="s">
        <v>17</v>
      </c>
      <c r="C33" s="9">
        <v>3.4468085106382977</v>
      </c>
      <c r="H33" s="8" t="s">
        <v>121</v>
      </c>
      <c r="I33" s="12">
        <v>0.16250000000000001</v>
      </c>
    </row>
    <row r="34" spans="2:9">
      <c r="B34" s="8" t="s">
        <v>45</v>
      </c>
      <c r="C34" s="9">
        <v>3.3576158940397351</v>
      </c>
      <c r="H34" s="8" t="s">
        <v>1720</v>
      </c>
      <c r="I34" s="12">
        <v>1</v>
      </c>
    </row>
    <row r="35" spans="2:9">
      <c r="B35" s="8" t="s">
        <v>1720</v>
      </c>
      <c r="C35" s="9">
        <v>3.5235294117647058</v>
      </c>
    </row>
    <row r="37" spans="2:9">
      <c r="C37" s="7" t="s">
        <v>1713</v>
      </c>
      <c r="D37" t="s">
        <v>1725</v>
      </c>
    </row>
    <row r="39" spans="2:9">
      <c r="C39" s="7" t="s">
        <v>1719</v>
      </c>
      <c r="D39" t="s">
        <v>1718</v>
      </c>
    </row>
    <row r="40" spans="2:9">
      <c r="C40" s="8" t="s">
        <v>45</v>
      </c>
      <c r="D40" s="6">
        <v>393564.82999999996</v>
      </c>
    </row>
    <row r="41" spans="2:9">
      <c r="C41" s="8" t="s">
        <v>22</v>
      </c>
      <c r="D41" s="6">
        <v>436837.07</v>
      </c>
    </row>
    <row r="42" spans="2:9">
      <c r="C42" s="8" t="s">
        <v>7</v>
      </c>
      <c r="D42" s="6">
        <v>450391.09000000008</v>
      </c>
    </row>
    <row r="43" spans="2:9">
      <c r="C43" s="8" t="s">
        <v>17</v>
      </c>
      <c r="D43" s="6">
        <v>466925.25999999989</v>
      </c>
    </row>
    <row r="44" spans="2:9">
      <c r="C44" s="8" t="s">
        <v>1720</v>
      </c>
      <c r="D44" s="6">
        <v>1747718.25</v>
      </c>
    </row>
    <row r="49" spans="3:10">
      <c r="C49" s="7" t="s">
        <v>1740</v>
      </c>
      <c r="D49" s="7" t="s">
        <v>1721</v>
      </c>
    </row>
    <row r="50" spans="3:10">
      <c r="C50" s="7" t="s">
        <v>1719</v>
      </c>
      <c r="D50" t="s">
        <v>1738</v>
      </c>
      <c r="E50" t="s">
        <v>1739</v>
      </c>
      <c r="F50" t="s">
        <v>1720</v>
      </c>
    </row>
    <row r="51" spans="3:10">
      <c r="C51" s="8" t="s">
        <v>1742</v>
      </c>
      <c r="D51" s="12">
        <v>7.7941176470588236E-2</v>
      </c>
      <c r="E51" s="12">
        <v>0.15</v>
      </c>
      <c r="F51" s="12">
        <v>0.22794117647058823</v>
      </c>
    </row>
    <row r="52" spans="3:10">
      <c r="C52" s="8" t="s">
        <v>1743</v>
      </c>
      <c r="D52" s="12">
        <v>7.7941176470588236E-2</v>
      </c>
      <c r="E52" s="12">
        <v>0.15441176470588236</v>
      </c>
      <c r="F52" s="12">
        <v>0.2323529411764706</v>
      </c>
    </row>
    <row r="53" spans="3:10">
      <c r="C53" s="8" t="s">
        <v>1744</v>
      </c>
      <c r="D53" s="12">
        <v>6.1764705882352944E-2</v>
      </c>
      <c r="E53" s="12">
        <v>0.19558823529411765</v>
      </c>
      <c r="F53" s="12">
        <v>0.25735294117647056</v>
      </c>
    </row>
    <row r="54" spans="3:10">
      <c r="C54" s="8" t="s">
        <v>1745</v>
      </c>
      <c r="D54" s="12">
        <v>6.3235294117647056E-2</v>
      </c>
      <c r="E54" s="12">
        <v>0.17941176470588235</v>
      </c>
      <c r="F54" s="12">
        <v>0.24264705882352941</v>
      </c>
    </row>
    <row r="55" spans="3:10">
      <c r="C55" s="8" t="s">
        <v>1746</v>
      </c>
      <c r="D55" s="12">
        <v>8.8235294117647058E-3</v>
      </c>
      <c r="E55" s="12">
        <v>3.0882352941176472E-2</v>
      </c>
      <c r="F55" s="12">
        <v>3.9705882352941174E-2</v>
      </c>
    </row>
    <row r="56" spans="3:10">
      <c r="C56" s="8" t="s">
        <v>1720</v>
      </c>
      <c r="D56" s="12">
        <v>0.2897058823529412</v>
      </c>
      <c r="E56" s="12">
        <v>0.71029411764705885</v>
      </c>
      <c r="F56" s="12">
        <v>1</v>
      </c>
    </row>
    <row r="57" spans="3:10">
      <c r="I57" s="7" t="s">
        <v>1719</v>
      </c>
      <c r="J57" t="s">
        <v>1724</v>
      </c>
    </row>
    <row r="58" spans="3:10">
      <c r="I58" s="8" t="s">
        <v>54</v>
      </c>
      <c r="J58" s="9">
        <v>3.4454545454545453</v>
      </c>
    </row>
    <row r="59" spans="3:10">
      <c r="I59" s="8" t="s">
        <v>37</v>
      </c>
      <c r="J59" s="9">
        <v>3.5539568345323742</v>
      </c>
    </row>
    <row r="60" spans="3:10">
      <c r="C60" s="7" t="s">
        <v>1713</v>
      </c>
      <c r="D60" t="s">
        <v>1725</v>
      </c>
      <c r="I60" s="8" t="s">
        <v>27</v>
      </c>
      <c r="J60" s="9">
        <v>3.6</v>
      </c>
    </row>
    <row r="61" spans="3:10">
      <c r="I61" s="8" t="s">
        <v>59</v>
      </c>
      <c r="J61" s="9">
        <v>3.3550724637681157</v>
      </c>
    </row>
    <row r="62" spans="3:10">
      <c r="C62" s="7" t="s">
        <v>1719</v>
      </c>
      <c r="D62" t="s">
        <v>1718</v>
      </c>
      <c r="I62" s="8" t="s">
        <v>16</v>
      </c>
      <c r="J62" s="9">
        <v>3.6351351351351351</v>
      </c>
    </row>
    <row r="63" spans="3:10">
      <c r="C63" s="8" t="s">
        <v>163</v>
      </c>
      <c r="D63" s="6">
        <v>65586.31</v>
      </c>
      <c r="I63" s="8" t="s">
        <v>1720</v>
      </c>
      <c r="J63" s="9">
        <v>3.5235294117647058</v>
      </c>
    </row>
    <row r="64" spans="3:10">
      <c r="C64" s="8" t="s">
        <v>140</v>
      </c>
      <c r="D64" s="6">
        <v>58749.75</v>
      </c>
    </row>
    <row r="65" spans="3:10">
      <c r="C65" s="8" t="s">
        <v>205</v>
      </c>
      <c r="D65" s="6">
        <v>54977.659999999996</v>
      </c>
    </row>
    <row r="66" spans="3:10">
      <c r="C66" s="8" t="s">
        <v>88</v>
      </c>
      <c r="D66" s="6">
        <v>53793.62999999999</v>
      </c>
    </row>
    <row r="67" spans="3:10">
      <c r="C67" s="8" t="s">
        <v>82</v>
      </c>
      <c r="D67" s="6">
        <v>51151.06</v>
      </c>
    </row>
    <row r="68" spans="3:10">
      <c r="C68" s="8" t="s">
        <v>1720</v>
      </c>
      <c r="D68" s="6">
        <v>284258.40999999997</v>
      </c>
    </row>
    <row r="69" spans="3:10">
      <c r="I69" s="7" t="s">
        <v>1719</v>
      </c>
      <c r="J69" t="s">
        <v>1723</v>
      </c>
    </row>
    <row r="70" spans="3:10">
      <c r="I70" s="8" t="s">
        <v>1742</v>
      </c>
      <c r="J70" s="6">
        <v>254</v>
      </c>
    </row>
    <row r="71" spans="3:10">
      <c r="I71" s="8" t="s">
        <v>1743</v>
      </c>
      <c r="J71" s="6">
        <v>217</v>
      </c>
    </row>
    <row r="72" spans="3:10">
      <c r="I72" s="8" t="s">
        <v>1744</v>
      </c>
      <c r="J72" s="6">
        <v>261</v>
      </c>
    </row>
    <row r="73" spans="3:10">
      <c r="I73" s="8" t="s">
        <v>1745</v>
      </c>
      <c r="J73" s="6">
        <v>257</v>
      </c>
    </row>
    <row r="74" spans="3:10">
      <c r="I74" s="8" t="s">
        <v>1746</v>
      </c>
      <c r="J74" s="6">
        <v>11</v>
      </c>
    </row>
    <row r="75" spans="3:10">
      <c r="I75" s="8" t="s">
        <v>1720</v>
      </c>
      <c r="J75" s="6">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4412-E749-4527-9ACE-396DE0322C44}">
  <dimension ref="P11"/>
  <sheetViews>
    <sheetView showGridLines="0" showRowColHeaders="0" tabSelected="1" zoomScaleNormal="100" workbookViewId="0">
      <selection activeCell="C38" sqref="C38"/>
    </sheetView>
  </sheetViews>
  <sheetFormatPr defaultRowHeight="14.4"/>
  <cols>
    <col min="1" max="16384" width="8.88671875" style="13"/>
  </cols>
  <sheetData>
    <row r="11" spans="16:16">
      <c r="P1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CustomerMaster</vt:lpstr>
      <vt:lpstr>ProductMaster</vt:lpstr>
      <vt:lpstr>RegionMaster</vt:lpstr>
      <vt:lpstr>FlipkartSales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KHUSHI SINGHAL</cp:lastModifiedBy>
  <dcterms:modified xsi:type="dcterms:W3CDTF">2026-09-16T13:58:50Z</dcterms:modified>
</cp:coreProperties>
</file>